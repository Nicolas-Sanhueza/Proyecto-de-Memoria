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https://d.docs.live.net/d8e212a0ac5b1962/Trabajo de Título/Análisis Costo-Beneficio/"/>
    </mc:Choice>
  </mc:AlternateContent>
  <xr:revisionPtr revIDLastSave="3570" documentId="11_AD4D2F04E46CFB4ACB3E206EFD56D1F2693EDF1B" xr6:coauthVersionLast="47" xr6:coauthVersionMax="47" xr10:uidLastSave="{C87FE18A-4234-4EA6-8ABC-170CCF3DD1E0}"/>
  <bookViews>
    <workbookView xWindow="-108" yWindow="-108" windowWidth="23256" windowHeight="12456" firstSheet="5" activeTab="7" xr2:uid="{00000000-000D-0000-FFFF-FFFF00000000}"/>
  </bookViews>
  <sheets>
    <sheet name="CAPEX" sheetId="4" r:id="rId1"/>
    <sheet name="OPEX" sheetId="7" r:id="rId2"/>
    <sheet name="Opciones CAPEX" sheetId="2" r:id="rId3"/>
    <sheet name="Opciones OPEX" sheetId="6" r:id="rId4"/>
    <sheet name="Comunicación DCU-SGO" sheetId="9" r:id="rId5"/>
    <sheet name="Comunicación DCU-SGO 2034" sheetId="10" r:id="rId6"/>
    <sheet name="Estructura de costos" sheetId="8" r:id="rId7"/>
    <sheet name="Comunicación DCU-SGO SMI"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0" i="11" l="1"/>
  <c r="Z10" i="11"/>
  <c r="Z15" i="11" s="1"/>
  <c r="Z19" i="11" s="1"/>
  <c r="S10" i="11"/>
  <c r="L10" i="11"/>
  <c r="AG52" i="11"/>
  <c r="Z52" i="11"/>
  <c r="S52" i="11"/>
  <c r="AG49" i="11"/>
  <c r="Z49" i="11"/>
  <c r="S49" i="11"/>
  <c r="L49" i="11"/>
  <c r="L52" i="11" s="1"/>
  <c r="L17" i="11" s="1"/>
  <c r="AG43" i="11"/>
  <c r="Z43" i="11"/>
  <c r="Z46" i="11" s="1"/>
  <c r="Z16" i="11" s="1"/>
  <c r="S43" i="11"/>
  <c r="S46" i="11" s="1"/>
  <c r="S16" i="11" s="1"/>
  <c r="L43" i="11"/>
  <c r="L46" i="11" s="1"/>
  <c r="L16" i="11" s="1"/>
  <c r="AG42" i="11"/>
  <c r="AG46" i="11" s="1"/>
  <c r="AG16" i="11" s="1"/>
  <c r="Z42" i="11"/>
  <c r="S42" i="11"/>
  <c r="L42" i="11"/>
  <c r="AG40" i="11"/>
  <c r="Z40" i="11"/>
  <c r="S40" i="11"/>
  <c r="S8" i="11" s="1"/>
  <c r="L40" i="11"/>
  <c r="L8" i="11" s="1"/>
  <c r="G29" i="11"/>
  <c r="AG18" i="11"/>
  <c r="Z18" i="11"/>
  <c r="S18" i="11"/>
  <c r="L18" i="11"/>
  <c r="AG17" i="11"/>
  <c r="Z17" i="11"/>
  <c r="S17" i="11"/>
  <c r="AG15" i="11"/>
  <c r="AG19" i="11" s="1"/>
  <c r="AG8" i="11"/>
  <c r="Z8" i="11"/>
  <c r="R16" i="9"/>
  <c r="E11" i="6"/>
  <c r="S15" i="11" l="1"/>
  <c r="S19" i="11" s="1"/>
  <c r="L15" i="11"/>
  <c r="L19" i="11" s="1"/>
  <c r="L20" i="11" s="1"/>
  <c r="L21" i="11" s="1"/>
  <c r="AG20" i="11"/>
  <c r="AG21" i="11" s="1"/>
  <c r="Z20" i="11"/>
  <c r="Z21" i="11" s="1"/>
  <c r="S20" i="11"/>
  <c r="S21" i="11" s="1"/>
  <c r="R10" i="9"/>
  <c r="R15" i="9" s="1"/>
  <c r="F28" i="6"/>
  <c r="F29" i="6"/>
  <c r="F30" i="6"/>
  <c r="F31" i="6"/>
  <c r="F27" i="6"/>
  <c r="D11" i="6"/>
  <c r="I72" i="2" l="1"/>
  <c r="AG49" i="10"/>
  <c r="AG52" i="10" s="1"/>
  <c r="AG17" i="10" s="1"/>
  <c r="Z49" i="10"/>
  <c r="Z52" i="10" s="1"/>
  <c r="Z17" i="10" s="1"/>
  <c r="S49" i="10"/>
  <c r="S52" i="10" s="1"/>
  <c r="S17" i="10" s="1"/>
  <c r="L49" i="10"/>
  <c r="L52" i="10" s="1"/>
  <c r="L17" i="10" s="1"/>
  <c r="AG43" i="10"/>
  <c r="Z43" i="10"/>
  <c r="S43" i="10"/>
  <c r="L43" i="10"/>
  <c r="AG42" i="10"/>
  <c r="Z42" i="10"/>
  <c r="S42" i="10"/>
  <c r="L42" i="10"/>
  <c r="AG40" i="10"/>
  <c r="AG8" i="10" s="1"/>
  <c r="Z40" i="10"/>
  <c r="Z8" i="10" s="1"/>
  <c r="S40" i="10"/>
  <c r="S8" i="10" s="1"/>
  <c r="L40" i="10"/>
  <c r="L8" i="10" s="1"/>
  <c r="G29" i="10"/>
  <c r="AG18" i="10"/>
  <c r="Z18" i="10"/>
  <c r="S18" i="10"/>
  <c r="L18" i="10"/>
  <c r="AG10" i="10"/>
  <c r="Z10" i="10"/>
  <c r="S10" i="10"/>
  <c r="L10" i="10"/>
  <c r="S15" i="10" l="1"/>
  <c r="Z15" i="10"/>
  <c r="Z19" i="10" s="1"/>
  <c r="Z20" i="10" s="1"/>
  <c r="Z21" i="10" s="1"/>
  <c r="AG15" i="10"/>
  <c r="Z46" i="10"/>
  <c r="Z16" i="10" s="1"/>
  <c r="S46" i="10"/>
  <c r="S16" i="10" s="1"/>
  <c r="L46" i="10"/>
  <c r="L16" i="10" s="1"/>
  <c r="L15" i="10"/>
  <c r="AG46" i="10"/>
  <c r="AG16" i="10" s="1"/>
  <c r="AG19" i="10" s="1"/>
  <c r="AG20" i="10" s="1"/>
  <c r="AG21" i="10" s="1"/>
  <c r="S19" i="10"/>
  <c r="S20" i="10" s="1"/>
  <c r="S21" i="10" s="1"/>
  <c r="L19" i="10"/>
  <c r="L20" i="10" s="1"/>
  <c r="L21" i="10" s="1"/>
  <c r="BB49" i="9"/>
  <c r="BB52" i="9" s="1"/>
  <c r="BB17" i="9" s="1"/>
  <c r="AV49" i="9"/>
  <c r="AV52" i="9" s="1"/>
  <c r="AV17" i="9" s="1"/>
  <c r="AP49" i="9"/>
  <c r="AP52" i="9" s="1"/>
  <c r="AP17" i="9" s="1"/>
  <c r="AJ49" i="9"/>
  <c r="AJ52" i="9" s="1"/>
  <c r="AJ17" i="9" s="1"/>
  <c r="BB43" i="9"/>
  <c r="BB46" i="9" s="1"/>
  <c r="BB16" i="9" s="1"/>
  <c r="AV43" i="9"/>
  <c r="AP43" i="9"/>
  <c r="AP46" i="9" s="1"/>
  <c r="AP16" i="9" s="1"/>
  <c r="AJ43" i="9"/>
  <c r="AJ46" i="9" s="1"/>
  <c r="AJ16" i="9" s="1"/>
  <c r="BB42" i="9"/>
  <c r="AV42" i="9"/>
  <c r="AP42" i="9"/>
  <c r="AJ42" i="9"/>
  <c r="BB40" i="9"/>
  <c r="BB8" i="9" s="1"/>
  <c r="BB15" i="9" s="1"/>
  <c r="AV40" i="9"/>
  <c r="AV8" i="9" s="1"/>
  <c r="AP40" i="9"/>
  <c r="AP8" i="9" s="1"/>
  <c r="AP15" i="9" s="1"/>
  <c r="AJ40" i="9"/>
  <c r="AJ8" i="9" s="1"/>
  <c r="AJ15" i="9" s="1"/>
  <c r="BB18" i="9"/>
  <c r="AV18" i="9"/>
  <c r="AP18" i="9"/>
  <c r="AJ18" i="9"/>
  <c r="BB10" i="9"/>
  <c r="AV10" i="9"/>
  <c r="AP10" i="9"/>
  <c r="AJ10" i="9"/>
  <c r="X40" i="9"/>
  <c r="X8" i="9" s="1"/>
  <c r="AD49" i="9"/>
  <c r="AD52" i="9" s="1"/>
  <c r="AD17" i="9" s="1"/>
  <c r="X49" i="9"/>
  <c r="X52" i="9" s="1"/>
  <c r="X17" i="9" s="1"/>
  <c r="AD43" i="9"/>
  <c r="X43" i="9"/>
  <c r="AD42" i="9"/>
  <c r="AD46" i="9" s="1"/>
  <c r="AD16" i="9" s="1"/>
  <c r="X42" i="9"/>
  <c r="AD40" i="9"/>
  <c r="AD8" i="9" s="1"/>
  <c r="AD18" i="9"/>
  <c r="X18" i="9"/>
  <c r="AD10" i="9"/>
  <c r="AD15" i="9" s="1"/>
  <c r="X10" i="9"/>
  <c r="R18" i="9"/>
  <c r="R49" i="9"/>
  <c r="R52" i="9" s="1"/>
  <c r="R17" i="9" s="1"/>
  <c r="R43" i="9"/>
  <c r="R42" i="9"/>
  <c r="R40" i="9"/>
  <c r="R8" i="9" s="1"/>
  <c r="G29" i="9"/>
  <c r="L18" i="9"/>
  <c r="L10" i="9"/>
  <c r="L49" i="9"/>
  <c r="L52" i="9" s="1"/>
  <c r="L17" i="9" s="1"/>
  <c r="L43" i="9"/>
  <c r="L42" i="9"/>
  <c r="L40" i="9"/>
  <c r="L8" i="9" s="1"/>
  <c r="AV15" i="9" l="1"/>
  <c r="AD19" i="9"/>
  <c r="AD20" i="9" s="1"/>
  <c r="AD21" i="9" s="1"/>
  <c r="L15" i="9"/>
  <c r="AV46" i="9"/>
  <c r="AV16" i="9" s="1"/>
  <c r="AV19" i="9" s="1"/>
  <c r="BB19" i="9"/>
  <c r="BB20" i="9" s="1"/>
  <c r="BB21" i="9" s="1"/>
  <c r="AP19" i="9"/>
  <c r="AP20" i="9" s="1"/>
  <c r="AP21" i="9" s="1"/>
  <c r="AJ19" i="9"/>
  <c r="AJ20" i="9" s="1"/>
  <c r="AJ21" i="9" s="1"/>
  <c r="R46" i="9"/>
  <c r="X15" i="9"/>
  <c r="R19" i="9"/>
  <c r="R20" i="9" s="1"/>
  <c r="R21" i="9" s="1"/>
  <c r="X46" i="9"/>
  <c r="X16" i="9" s="1"/>
  <c r="L46" i="9"/>
  <c r="L16" i="9" s="1"/>
  <c r="X19" i="9" l="1"/>
  <c r="X20" i="9" s="1"/>
  <c r="X21" i="9" s="1"/>
  <c r="AV20" i="9"/>
  <c r="AV21" i="9" s="1"/>
  <c r="L19" i="9"/>
  <c r="L20" i="9" s="1"/>
  <c r="L21" i="9" s="1"/>
  <c r="D27" i="6" l="1"/>
  <c r="J9" i="2"/>
  <c r="G6" i="7" l="1"/>
  <c r="G7" i="7"/>
  <c r="G8" i="7"/>
  <c r="G9" i="7"/>
  <c r="G10" i="7"/>
  <c r="D7" i="7"/>
  <c r="D8" i="7"/>
  <c r="D9" i="7"/>
  <c r="D10" i="7"/>
  <c r="G11" i="7"/>
  <c r="G12" i="7"/>
  <c r="G13" i="7"/>
  <c r="G14" i="7"/>
  <c r="G15" i="7"/>
  <c r="D12" i="7"/>
  <c r="D13" i="7"/>
  <c r="D14" i="7"/>
  <c r="D15" i="7"/>
  <c r="G16" i="7"/>
  <c r="G17" i="7"/>
  <c r="G18" i="7"/>
  <c r="G19" i="7"/>
  <c r="G20" i="7"/>
  <c r="D17" i="7"/>
  <c r="D18" i="7"/>
  <c r="D19" i="7"/>
  <c r="D20" i="7"/>
  <c r="G21" i="7"/>
  <c r="G22" i="7"/>
  <c r="G23" i="7"/>
  <c r="G24" i="7"/>
  <c r="G25" i="7"/>
  <c r="D22" i="7"/>
  <c r="D23" i="7"/>
  <c r="D24" i="7"/>
  <c r="D25" i="7"/>
  <c r="F26" i="7"/>
  <c r="F16" i="7" s="1"/>
  <c r="G26" i="7"/>
  <c r="F27" i="7"/>
  <c r="F12" i="7" s="1"/>
  <c r="G27" i="7"/>
  <c r="F28" i="7"/>
  <c r="F18" i="7" s="1"/>
  <c r="G28" i="7"/>
  <c r="F29" i="7"/>
  <c r="F24" i="7" s="1"/>
  <c r="G29" i="7"/>
  <c r="F30" i="7"/>
  <c r="F10" i="7" s="1"/>
  <c r="G30" i="7"/>
  <c r="D27" i="7"/>
  <c r="D28" i="7"/>
  <c r="D29" i="7"/>
  <c r="D30" i="7"/>
  <c r="D26" i="7"/>
  <c r="D16" i="7" s="1"/>
  <c r="J27" i="4"/>
  <c r="K27" i="4"/>
  <c r="L27" i="4"/>
  <c r="J22" i="4"/>
  <c r="K22" i="4"/>
  <c r="L22" i="4"/>
  <c r="J17" i="4"/>
  <c r="K17" i="4"/>
  <c r="L17" i="4"/>
  <c r="M17" i="4" s="1"/>
  <c r="M27" i="4"/>
  <c r="M22" i="4"/>
  <c r="M12" i="4"/>
  <c r="J12" i="4"/>
  <c r="K12" i="4"/>
  <c r="L12" i="4"/>
  <c r="J13" i="4"/>
  <c r="K13" i="4"/>
  <c r="L13" i="4"/>
  <c r="J14" i="4"/>
  <c r="K14" i="4"/>
  <c r="L14" i="4"/>
  <c r="J15" i="4"/>
  <c r="K15" i="4"/>
  <c r="L15" i="4"/>
  <c r="M7" i="4"/>
  <c r="L7" i="4"/>
  <c r="K7" i="4"/>
  <c r="J7" i="4"/>
  <c r="D27" i="4"/>
  <c r="E27" i="4"/>
  <c r="F27" i="4"/>
  <c r="G27" i="4"/>
  <c r="G7" i="4" s="1"/>
  <c r="H27" i="4"/>
  <c r="H12" i="4" s="1"/>
  <c r="D28" i="4"/>
  <c r="E28" i="4"/>
  <c r="F28" i="4"/>
  <c r="G28" i="4"/>
  <c r="H28" i="4"/>
  <c r="D29" i="4"/>
  <c r="E29" i="4"/>
  <c r="F29" i="4"/>
  <c r="G29" i="4"/>
  <c r="H29" i="4"/>
  <c r="D30" i="4"/>
  <c r="E30" i="4"/>
  <c r="F30" i="4"/>
  <c r="G30" i="4"/>
  <c r="H30" i="4"/>
  <c r="I30" i="4"/>
  <c r="I25" i="4" s="1"/>
  <c r="H26" i="4"/>
  <c r="G26" i="4"/>
  <c r="E26" i="4"/>
  <c r="F26" i="4"/>
  <c r="D26" i="4"/>
  <c r="E41" i="2"/>
  <c r="I39" i="2"/>
  <c r="G37" i="2"/>
  <c r="D22" i="4"/>
  <c r="E22" i="4"/>
  <c r="F22" i="4"/>
  <c r="H22" i="4"/>
  <c r="D17" i="4"/>
  <c r="E17" i="4"/>
  <c r="F17" i="4"/>
  <c r="G17" i="4"/>
  <c r="H17" i="4"/>
  <c r="D12" i="4"/>
  <c r="E12" i="4"/>
  <c r="F12" i="4"/>
  <c r="G12" i="4"/>
  <c r="D7" i="4"/>
  <c r="E7" i="4"/>
  <c r="F7" i="4"/>
  <c r="H7" i="4"/>
  <c r="H76" i="2"/>
  <c r="K37" i="2"/>
  <c r="I38" i="2"/>
  <c r="H41" i="2"/>
  <c r="H38" i="2"/>
  <c r="G38" i="2"/>
  <c r="G41" i="2"/>
  <c r="E38" i="2"/>
  <c r="F38" i="2"/>
  <c r="K34" i="2"/>
  <c r="F34" i="2"/>
  <c r="F14" i="2"/>
  <c r="F37" i="2" s="1"/>
  <c r="J14" i="2"/>
  <c r="J41" i="2" s="1"/>
  <c r="F15" i="7" l="1"/>
  <c r="F20" i="7"/>
  <c r="F17" i="7"/>
  <c r="F25" i="7"/>
  <c r="F22" i="7"/>
  <c r="F7" i="7"/>
  <c r="F13" i="7"/>
  <c r="F23" i="7"/>
  <c r="F19" i="7"/>
  <c r="F9" i="7"/>
  <c r="F8" i="7"/>
  <c r="F14" i="7"/>
  <c r="F6" i="7"/>
  <c r="F21" i="7"/>
  <c r="F11" i="7"/>
  <c r="I20" i="4"/>
  <c r="I15" i="4"/>
  <c r="J38" i="2"/>
  <c r="I27" i="4" s="1"/>
  <c r="D21" i="7"/>
  <c r="D6" i="7"/>
  <c r="D11" i="7"/>
  <c r="G22" i="4"/>
  <c r="I10" i="4"/>
  <c r="J37" i="2"/>
  <c r="I26" i="4" s="1"/>
  <c r="J15" i="2"/>
  <c r="I11" i="4" l="1"/>
  <c r="I6" i="4"/>
  <c r="I16" i="4"/>
  <c r="I21" i="4"/>
  <c r="I17" i="4"/>
  <c r="I7" i="4"/>
  <c r="I12" i="4"/>
  <c r="I22" i="4"/>
  <c r="J40" i="2"/>
  <c r="I29" i="4" s="1"/>
  <c r="J39" i="2"/>
  <c r="I28" i="4" s="1"/>
  <c r="I18" i="4" l="1"/>
  <c r="I13" i="4"/>
  <c r="I23" i="4"/>
  <c r="I8" i="4"/>
  <c r="I9" i="4"/>
  <c r="I14" i="4"/>
  <c r="I19" i="4"/>
  <c r="I24" i="4"/>
  <c r="H72" i="2"/>
  <c r="F24" i="6"/>
  <c r="G16" i="6"/>
  <c r="E28" i="6" l="1"/>
  <c r="E27" i="7" s="1"/>
  <c r="E29" i="6"/>
  <c r="E28" i="7" s="1"/>
  <c r="E30" i="6"/>
  <c r="E29" i="7" s="1"/>
  <c r="E31" i="6"/>
  <c r="E30" i="7" s="1"/>
  <c r="E27" i="6"/>
  <c r="E26" i="7" s="1"/>
  <c r="H85" i="2"/>
  <c r="K23" i="4" s="1"/>
  <c r="G27" i="6"/>
  <c r="L8" i="4"/>
  <c r="L9" i="4"/>
  <c r="L10" i="4"/>
  <c r="K8" i="4"/>
  <c r="K9" i="4"/>
  <c r="K10" i="4"/>
  <c r="L6" i="4"/>
  <c r="K6" i="4"/>
  <c r="J8" i="4"/>
  <c r="J9" i="4"/>
  <c r="J10" i="4"/>
  <c r="J6" i="4"/>
  <c r="E25" i="7" l="1"/>
  <c r="E10" i="7"/>
  <c r="E15" i="7"/>
  <c r="E20" i="7"/>
  <c r="E14" i="7"/>
  <c r="E19" i="7"/>
  <c r="E24" i="7"/>
  <c r="E9" i="7"/>
  <c r="E18" i="7"/>
  <c r="E8" i="7"/>
  <c r="E23" i="7"/>
  <c r="E13" i="7"/>
  <c r="E16" i="7"/>
  <c r="E21" i="7"/>
  <c r="E11" i="7"/>
  <c r="E6" i="7"/>
  <c r="E22" i="7"/>
  <c r="E17" i="7"/>
  <c r="E7" i="7"/>
  <c r="E12" i="7"/>
  <c r="K24" i="4"/>
  <c r="K21" i="4"/>
  <c r="K25" i="4"/>
  <c r="H90" i="2" l="1"/>
  <c r="H86" i="2"/>
  <c r="H82" i="2"/>
  <c r="H78" i="2"/>
  <c r="H77" i="2"/>
  <c r="H89" i="2"/>
  <c r="H87" i="2"/>
  <c r="H81" i="2"/>
  <c r="AC65" i="2"/>
  <c r="AC61" i="2"/>
  <c r="AC57" i="2"/>
  <c r="AC53" i="2"/>
  <c r="AC64" i="2"/>
  <c r="AC60" i="2"/>
  <c r="AC56" i="2"/>
  <c r="AC52" i="2"/>
  <c r="F91" i="2"/>
  <c r="F87" i="2"/>
  <c r="F83" i="2"/>
  <c r="F79" i="2"/>
  <c r="H75" i="2"/>
  <c r="F75" i="2"/>
  <c r="P83" i="2"/>
  <c r="P80" i="2"/>
  <c r="P93" i="2"/>
  <c r="N75" i="2"/>
  <c r="O75" i="2" s="1"/>
  <c r="P75" i="2" s="1"/>
  <c r="N74" i="2"/>
  <c r="O74" i="2" s="1"/>
  <c r="P74" i="2" s="1"/>
  <c r="N73" i="2"/>
  <c r="O73" i="2" s="1"/>
  <c r="P73" i="2" s="1"/>
  <c r="N72" i="2"/>
  <c r="O72" i="2" s="1"/>
  <c r="P72" i="2" s="1"/>
  <c r="L20" i="4" l="1"/>
  <c r="L16" i="4"/>
  <c r="L18" i="4"/>
  <c r="L19" i="4"/>
  <c r="H83" i="2"/>
  <c r="K18" i="4"/>
  <c r="K19" i="4"/>
  <c r="K16" i="4"/>
  <c r="K20" i="4"/>
  <c r="L23" i="4"/>
  <c r="L24" i="4"/>
  <c r="L25" i="4"/>
  <c r="L21" i="4"/>
  <c r="L26" i="4"/>
  <c r="L29" i="4"/>
  <c r="L28" i="4"/>
  <c r="L30" i="4"/>
  <c r="H91" i="2"/>
  <c r="K28" i="4"/>
  <c r="K29" i="4"/>
  <c r="K30" i="4"/>
  <c r="K26" i="4"/>
  <c r="J11" i="4"/>
  <c r="M23" i="4"/>
  <c r="M24" i="4"/>
  <c r="M25" i="4"/>
  <c r="M9" i="4"/>
  <c r="M8" i="4"/>
  <c r="M10" i="4"/>
  <c r="H79" i="2"/>
  <c r="K11" i="4"/>
  <c r="L11" i="4"/>
  <c r="P79" i="2"/>
  <c r="P85" i="2" s="1"/>
  <c r="P88" i="2" s="1"/>
  <c r="P90" i="2" s="1"/>
  <c r="Q73" i="2"/>
  <c r="Q72" i="2"/>
  <c r="Q74" i="2"/>
  <c r="Q75" i="2"/>
  <c r="H88" i="2"/>
  <c r="H84" i="2"/>
  <c r="H80" i="2"/>
  <c r="J29" i="4" l="1"/>
  <c r="J30" i="4"/>
  <c r="J28" i="4"/>
  <c r="J26" i="4"/>
  <c r="M20" i="4"/>
  <c r="M18" i="4"/>
  <c r="M19" i="4"/>
  <c r="M29" i="4"/>
  <c r="M30" i="4"/>
  <c r="M28" i="4"/>
  <c r="J23" i="4"/>
  <c r="J21" i="4"/>
  <c r="J24" i="4"/>
  <c r="J25" i="4"/>
  <c r="J20" i="4"/>
  <c r="J16" i="4"/>
  <c r="J18" i="4"/>
  <c r="J19" i="4"/>
  <c r="M13" i="4"/>
  <c r="M14" i="4"/>
  <c r="M15" i="4"/>
  <c r="H21" i="2"/>
  <c r="G21" i="2"/>
  <c r="F21" i="2"/>
  <c r="H20" i="2"/>
  <c r="G20" i="2"/>
  <c r="E21" i="2"/>
  <c r="G22" i="6"/>
  <c r="G30" i="6" s="1"/>
  <c r="G31" i="6" s="1"/>
  <c r="G23" i="6"/>
  <c r="G21" i="6"/>
  <c r="D24" i="6"/>
  <c r="I27" i="2"/>
  <c r="I28" i="2"/>
  <c r="I29" i="2"/>
  <c r="I26" i="2"/>
  <c r="H29" i="2"/>
  <c r="H28" i="2"/>
  <c r="H27" i="2"/>
  <c r="H26" i="2"/>
  <c r="G29" i="2"/>
  <c r="G28" i="2"/>
  <c r="G27" i="2"/>
  <c r="G26" i="2"/>
  <c r="D16" i="6"/>
  <c r="G29" i="6" l="1"/>
  <c r="G28" i="6"/>
  <c r="F41" i="2"/>
  <c r="D25" i="4"/>
  <c r="D20" i="4"/>
  <c r="D10" i="4"/>
  <c r="D15" i="4"/>
  <c r="E15" i="4"/>
  <c r="E10" i="4"/>
  <c r="E25" i="4"/>
  <c r="E20" i="4"/>
  <c r="F15" i="4"/>
  <c r="F25" i="4"/>
  <c r="F10" i="4"/>
  <c r="F20" i="4"/>
  <c r="E20" i="2"/>
  <c r="F6" i="6"/>
  <c r="E14" i="2"/>
  <c r="H11" i="2"/>
  <c r="I10" i="2"/>
  <c r="I14" i="2" s="1"/>
  <c r="H10" i="2"/>
  <c r="H14" i="2" s="1"/>
  <c r="H37" i="2" s="1"/>
  <c r="E15" i="2"/>
  <c r="G10" i="2"/>
  <c r="G14" i="2" s="1"/>
  <c r="G11" i="2"/>
  <c r="F11" i="2"/>
  <c r="F15" i="2" s="1"/>
  <c r="I11" i="2"/>
  <c r="I15" i="2" s="1"/>
  <c r="H12" i="2"/>
  <c r="H7" i="2"/>
  <c r="E39" i="2" l="1"/>
  <c r="E40" i="2"/>
  <c r="F39" i="2"/>
  <c r="F40" i="2"/>
  <c r="D6" i="4"/>
  <c r="D11" i="4"/>
  <c r="D21" i="4"/>
  <c r="D16" i="4"/>
  <c r="E37" i="2"/>
  <c r="I40" i="2"/>
  <c r="I37" i="2"/>
  <c r="I41" i="2"/>
  <c r="H15" i="2"/>
  <c r="G16" i="4"/>
  <c r="G21" i="4"/>
  <c r="G6" i="4"/>
  <c r="G11" i="4"/>
  <c r="G15" i="4"/>
  <c r="G20" i="4"/>
  <c r="G25" i="4"/>
  <c r="G10" i="4"/>
  <c r="E21" i="4"/>
  <c r="E11" i="4"/>
  <c r="E6" i="4"/>
  <c r="E16" i="4"/>
  <c r="G15" i="2"/>
  <c r="AK48" i="2"/>
  <c r="AK50" i="2"/>
  <c r="AA58" i="2" s="1"/>
  <c r="AC58" i="2" s="1"/>
  <c r="AK49" i="2"/>
  <c r="AA54" i="2" s="1"/>
  <c r="AK51" i="2"/>
  <c r="AA62" i="2" s="1"/>
  <c r="AC62" i="2" s="1"/>
  <c r="AK52" i="2"/>
  <c r="AA66" i="2" s="1"/>
  <c r="AC66" i="2" s="1"/>
  <c r="Q52" i="2"/>
  <c r="F65" i="2" s="1"/>
  <c r="Q51" i="2"/>
  <c r="F61" i="2" s="1"/>
  <c r="H61" i="2" s="1"/>
  <c r="Q50" i="2"/>
  <c r="F57" i="2" s="1"/>
  <c r="H57" i="2" s="1"/>
  <c r="Q49" i="2"/>
  <c r="F53" i="2" s="1"/>
  <c r="H53" i="2" s="1"/>
  <c r="Q48" i="2"/>
  <c r="F49" i="2" s="1"/>
  <c r="H49" i="2" s="1"/>
  <c r="P52" i="2"/>
  <c r="F64" i="2" s="1"/>
  <c r="H64" i="2" s="1"/>
  <c r="P51" i="2"/>
  <c r="P50" i="2"/>
  <c r="F56" i="2" s="1"/>
  <c r="H56" i="2" s="1"/>
  <c r="P49" i="2"/>
  <c r="F52" i="2" s="1"/>
  <c r="H52" i="2" s="1"/>
  <c r="P48" i="2"/>
  <c r="F48" i="2" s="1"/>
  <c r="H48" i="2" s="1"/>
  <c r="G39" i="2" l="1"/>
  <c r="G40" i="2"/>
  <c r="H39" i="2"/>
  <c r="H40" i="2"/>
  <c r="F9" i="4"/>
  <c r="F23" i="4"/>
  <c r="D9" i="4"/>
  <c r="D14" i="4"/>
  <c r="D24" i="4"/>
  <c r="D19" i="4"/>
  <c r="E23" i="4"/>
  <c r="D18" i="4"/>
  <c r="D13" i="4"/>
  <c r="D23" i="4"/>
  <c r="D8" i="4"/>
  <c r="F21" i="4"/>
  <c r="F11" i="4"/>
  <c r="F16" i="4"/>
  <c r="F6" i="4"/>
  <c r="AC54" i="2"/>
  <c r="F67" i="2"/>
  <c r="H67" i="2" s="1"/>
  <c r="H65" i="2"/>
  <c r="AA50" i="2"/>
  <c r="AC50" i="2" s="1"/>
  <c r="F60" i="2"/>
  <c r="H60" i="2" s="1"/>
  <c r="F51" i="2"/>
  <c r="H51" i="2" s="1"/>
  <c r="F63" i="2"/>
  <c r="H63" i="2" s="1"/>
  <c r="F59" i="2"/>
  <c r="H59" i="2" s="1"/>
  <c r="F55" i="2"/>
  <c r="H55" i="2" s="1"/>
  <c r="F18" i="4" l="1"/>
  <c r="F13" i="4"/>
  <c r="F8" i="4"/>
  <c r="G23" i="4"/>
  <c r="G9" i="4"/>
  <c r="F24" i="4"/>
  <c r="F14" i="4"/>
  <c r="F19" i="4"/>
  <c r="G14" i="4"/>
  <c r="G24" i="4"/>
  <c r="H23" i="4"/>
  <c r="E9" i="4"/>
  <c r="E24" i="4"/>
  <c r="E14" i="4"/>
  <c r="E19" i="4"/>
  <c r="E18" i="4"/>
  <c r="E13" i="4"/>
  <c r="E8" i="4"/>
  <c r="H11" i="4"/>
  <c r="G8" i="4"/>
  <c r="G13" i="4"/>
  <c r="G18" i="4"/>
  <c r="G19" i="4" l="1"/>
  <c r="H15" i="4"/>
  <c r="H20" i="4"/>
  <c r="H10" i="4"/>
  <c r="H25" i="4"/>
  <c r="H16" i="4"/>
  <c r="H9" i="4"/>
  <c r="H14" i="4"/>
  <c r="H24" i="4"/>
  <c r="H19" i="4"/>
  <c r="H21" i="4"/>
  <c r="H6" i="4"/>
  <c r="H8" i="4"/>
  <c r="H13" i="4"/>
  <c r="H18" i="4"/>
</calcChain>
</file>

<file path=xl/sharedStrings.xml><?xml version="1.0" encoding="utf-8"?>
<sst xmlns="http://schemas.openxmlformats.org/spreadsheetml/2006/main" count="1348" uniqueCount="226">
  <si>
    <t>(-): No aplica o no hay información en la cotización.</t>
  </si>
  <si>
    <t>Proveedor</t>
  </si>
  <si>
    <t>Tecnología</t>
  </si>
  <si>
    <t>Modulo de comunicaciones</t>
  </si>
  <si>
    <t>Comentarios</t>
  </si>
  <si>
    <t>EasyMetering (medidores Aclara)</t>
  </si>
  <si>
    <t>Celular</t>
  </si>
  <si>
    <t>Integrado en el medidor</t>
  </si>
  <si>
    <t>-</t>
  </si>
  <si>
    <t>EasyMetering (medidores Wasion)</t>
  </si>
  <si>
    <t>Quatro System</t>
  </si>
  <si>
    <t>GEM (Wasion)</t>
  </si>
  <si>
    <t>Trilliant (Wasion)</t>
  </si>
  <si>
    <t>Concentración de clientes</t>
  </si>
  <si>
    <t>Equipo</t>
  </si>
  <si>
    <t>Productividad
[equipos/día]</t>
  </si>
  <si>
    <t>Alta*</t>
  </si>
  <si>
    <t>UM 1F</t>
  </si>
  <si>
    <t>DCU</t>
  </si>
  <si>
    <t>Media</t>
  </si>
  <si>
    <t>Baja</t>
  </si>
  <si>
    <t>Muy Baja*</t>
  </si>
  <si>
    <t>Extremadamente Baja</t>
  </si>
  <si>
    <t>CAPEX</t>
  </si>
  <si>
    <t>(Pag 74 Informe GTD 1)</t>
  </si>
  <si>
    <t>(Aproximación)</t>
  </si>
  <si>
    <t>Inversión</t>
  </si>
  <si>
    <t>Costo Instalación</t>
  </si>
  <si>
    <t>UM 1F
[USD/u]</t>
  </si>
  <si>
    <t>UM 3F
[USD/u]</t>
  </si>
  <si>
    <t>DCU
[USD/u]</t>
  </si>
  <si>
    <t>PLC</t>
  </si>
  <si>
    <t>RF Mesh</t>
  </si>
  <si>
    <t>RF P2MP</t>
  </si>
  <si>
    <t>Informante</t>
  </si>
  <si>
    <t>INECON</t>
  </si>
  <si>
    <t>Costos Operacionales</t>
  </si>
  <si>
    <t>LS Energía</t>
  </si>
  <si>
    <t>Integrado en el medidor
(USD 31)</t>
  </si>
  <si>
    <t>Integrado en el medidor
(USD 35)</t>
  </si>
  <si>
    <t>Costos de Equipos e Infraestructura SMMC</t>
  </si>
  <si>
    <t>Costos de Instalación y Despliegue</t>
  </si>
  <si>
    <t># de Brigadas</t>
  </si>
  <si>
    <t># de técnicos por Brigada</t>
  </si>
  <si>
    <t>Productividad
1F
[Medidores/día]</t>
  </si>
  <si>
    <t>(Aproximación, 8 clientes/km de linea)</t>
  </si>
  <si>
    <t>Concentración de 
clientes</t>
  </si>
  <si>
    <t>Fuente de 
Información</t>
  </si>
  <si>
    <t>Productividad
3F Directo
[Medidores/día]</t>
  </si>
  <si>
    <t>Muy Baja</t>
  </si>
  <si>
    <t>Productividad
3F Indirecto
[Medidores/día]</t>
  </si>
  <si>
    <t>Fuente de
Información</t>
  </si>
  <si>
    <t>(Información de Lizy, chilquinta)</t>
  </si>
  <si>
    <t>*: Informado</t>
  </si>
  <si>
    <t>Tabla de datos provenientes de: Informe GTD 1</t>
  </si>
  <si>
    <t>Tabla de datos provenientes de: Chilquinta (Lizy)</t>
  </si>
  <si>
    <t xml:space="preserve">Estimaciones de costo de Instalación: Informe GTD 1 </t>
  </si>
  <si>
    <t>Estimaciones de costo de Instalación: Chilquinta (Lizy)</t>
  </si>
  <si>
    <t>Costos de inversión: Proporcionada por Informe GTD 1</t>
  </si>
  <si>
    <t>Tecnologías</t>
  </si>
  <si>
    <t>RF + Celular?</t>
  </si>
  <si>
    <t>RF</t>
  </si>
  <si>
    <t>Transformador 3F
[USD/u]</t>
  </si>
  <si>
    <t>SGO 
[USD/medidor]</t>
  </si>
  <si>
    <t>PLC NB</t>
  </si>
  <si>
    <t>Costos SMMC para el cálculo del VAD 2020-2024</t>
  </si>
  <si>
    <t>Comunicaciones
[USD/medidor]</t>
  </si>
  <si>
    <t>Operación
SGO
[USD/medidor]</t>
  </si>
  <si>
    <t>Soporte y Mantenimiento
Equipos
[USD/medidor]</t>
  </si>
  <si>
    <t>Soporte y Mantenimiento
Equipos
[%/equipo]</t>
  </si>
  <si>
    <t>Costos de Operación AMI: SMMC para el cálculo del VAD 2020-2024</t>
  </si>
  <si>
    <t>Chilquinta</t>
  </si>
  <si>
    <t>Soporte y Mantenimiento
Equipos
[USD/año]</t>
  </si>
  <si>
    <t>- Todos los montos son anuales.
- 1 UF = USD 40,88 a Oct 16.'</t>
  </si>
  <si>
    <t>Costos de Operación AMI: Informe GTD 1</t>
  </si>
  <si>
    <t>GTD</t>
  </si>
  <si>
    <t>- Montos extraidos de la página 80 del Informe GTD 1.
- Los montos estaban en USD del año de cotización (2016), por lo que se ha aplicado ajuste por CPI (1,35 según: https://www.usinflationcalculator.com/).'</t>
  </si>
  <si>
    <t>- Todos los montos son anuales.
- Los montos estaban en USD del año de cotización (2016), por lo que se ha aplicado ajuste por CPI (1,35 según: https://www.usinflationcalculator.com/).'</t>
  </si>
  <si>
    <t>LoRa</t>
  </si>
  <si>
    <t>Integrado en el medidor
($27.527)</t>
  </si>
  <si>
    <r>
      <t xml:space="preserve">- Los montos estaban en CLP por lo que se han pasado a USD del año de cotización (Dic 2022) y posteriormente se ha aplicado ajuste por CPI (1,11).
- INECON indica que: "...respecto de compra y transporte por volumen,  es posible estimar que comprando equipamiento en grandes cantidades y programados con anterioridad es posible llegar a un valor menor </t>
    </r>
    <r>
      <rPr>
        <b/>
        <sz val="11"/>
        <color theme="1"/>
        <rFont val="Calibri"/>
        <family val="2"/>
        <scheme val="minor"/>
      </rPr>
      <t>en hasta un 20% de su valor lista</t>
    </r>
    <r>
      <rPr>
        <sz val="11"/>
        <color theme="1"/>
        <rFont val="Calibri"/>
        <family val="2"/>
        <scheme val="minor"/>
      </rPr>
      <t>".'</t>
    </r>
  </si>
  <si>
    <t>INSTALACION SMMC Y CAMPAÑA DE MEDICION</t>
  </si>
  <si>
    <t>Costo Cuadrilla Diario</t>
  </si>
  <si>
    <t>HH ( TE+Ayudante+Chofer Ayudante)</t>
  </si>
  <si>
    <t>Arriendo Camioneta + combustible + peajes</t>
  </si>
  <si>
    <t>Materiales ( Herramientas, Ferrules, Cables, PVC)</t>
  </si>
  <si>
    <t>Alimentación</t>
  </si>
  <si>
    <t>Costo Dia</t>
  </si>
  <si>
    <t>Numero Instalaciones diarias</t>
  </si>
  <si>
    <t>Costo Unitario x Instalación</t>
  </si>
  <si>
    <t>Margen Comercial ( Utilidad )</t>
  </si>
  <si>
    <t>Precio Instalación</t>
  </si>
  <si>
    <t>VALORES</t>
  </si>
  <si>
    <t>UF</t>
  </si>
  <si>
    <t>USD</t>
  </si>
  <si>
    <t>HH Jornada</t>
  </si>
  <si>
    <t>Rol</t>
  </si>
  <si>
    <t>HH</t>
  </si>
  <si>
    <t>HD</t>
  </si>
  <si>
    <t>HM</t>
  </si>
  <si>
    <t>COSTO EMPRESA 
CLP</t>
  </si>
  <si>
    <t>Técnico Especialista</t>
  </si>
  <si>
    <t>Técnico Armado Equipos</t>
  </si>
  <si>
    <t>Ayudante</t>
  </si>
  <si>
    <t>Chofer Ayudante</t>
  </si>
  <si>
    <t>Estimaciones de costo de Instalación: SMMC para el cálculo del VAD 2020-2024</t>
  </si>
  <si>
    <t>AL 31-DIC-2022</t>
  </si>
  <si>
    <t>incl en costo hh</t>
  </si>
  <si>
    <t>EMPRESA MODELO
(Indice ATD 1)</t>
  </si>
  <si>
    <r>
      <t xml:space="preserve">- Todos los montos en USD a Oct 16 (1 UF = USD 40,88).
- Fuente: Información de Chilquinta (Lizy).
- Se considera una brigada compuesta por 2 electricistas, los costos de instalación son: 
    - 2 UF, para UM 1F (equivalente a USD </t>
    </r>
    <r>
      <rPr>
        <b/>
        <sz val="11"/>
        <color theme="1"/>
        <rFont val="Calibri"/>
        <family val="2"/>
        <scheme val="minor"/>
      </rPr>
      <t>81,77</t>
    </r>
    <r>
      <rPr>
        <sz val="11"/>
        <color theme="1"/>
        <rFont val="Calibri"/>
        <family val="2"/>
        <scheme val="minor"/>
      </rPr>
      <t xml:space="preserve">)
    - 5 UF para UM 3F Directo (equivalente a USD </t>
    </r>
    <r>
      <rPr>
        <b/>
        <sz val="11"/>
        <color theme="1"/>
        <rFont val="Calibri"/>
        <family val="2"/>
        <scheme val="minor"/>
      </rPr>
      <t>204,42</t>
    </r>
    <r>
      <rPr>
        <sz val="11"/>
        <color theme="1"/>
        <rFont val="Calibri"/>
        <family val="2"/>
        <scheme val="minor"/>
      </rPr>
      <t xml:space="preserve">)
   -9 UF para UM 3F Indirecto (equivalente a USD </t>
    </r>
    <r>
      <rPr>
        <b/>
        <sz val="11"/>
        <color theme="1"/>
        <rFont val="Calibri"/>
        <family val="2"/>
        <scheme val="minor"/>
      </rPr>
      <t>367,96</t>
    </r>
    <r>
      <rPr>
        <sz val="11"/>
        <color theme="1"/>
        <rFont val="Calibri"/>
        <family val="2"/>
        <scheme val="minor"/>
      </rPr>
      <t>)
- Además, solo se sabe que esos 9 UF vienen de una productividad de 3 diarios.'</t>
    </r>
  </si>
  <si>
    <t>- Fuente: página 74 Informe GTD 1.
- Se considera una brigada compuesta por 2 electricistas, equipada y movilizada tiene un costo mensual de USD 8.099,16 (ajustado por CPI).
- Según página 74 Informe GTD 1, el costo de intalación de un concentrador DCU, se puede aproximar al costo de instalación de un UM 3F.
'</t>
  </si>
  <si>
    <t>UM 3F
Indirecta
[USD/u]</t>
  </si>
  <si>
    <t>UM 3F
Directa
[USD/u]</t>
  </si>
  <si>
    <t>Sistema de Gestión y Operación 
(SGO)
[USD/Medidor]</t>
  </si>
  <si>
    <t>Estimación</t>
  </si>
  <si>
    <t>UM 3F Directa</t>
  </si>
  <si>
    <t>UM 3F Indirecta</t>
  </si>
  <si>
    <t>OPEX (Anual)</t>
  </si>
  <si>
    <t>Densidad</t>
  </si>
  <si>
    <t>ALTA</t>
  </si>
  <si>
    <t>BAJA</t>
  </si>
  <si>
    <t>EXTREMADAMENTE BAJA</t>
  </si>
  <si>
    <t>MEDIA</t>
  </si>
  <si>
    <t>MUY BAJA</t>
  </si>
  <si>
    <t>Operación y Mantenimiento</t>
  </si>
  <si>
    <t>Instalación 
UM 1F
[USD/u]</t>
  </si>
  <si>
    <t>Instalación
UM 3F
Directa
[USD/u]</t>
  </si>
  <si>
    <t>Instalación
UM 3F
Indirecta
[USD/u]</t>
  </si>
  <si>
    <t>Instalación
DCU
[USD/u]</t>
  </si>
  <si>
    <t>PLC TWACS</t>
  </si>
  <si>
    <t>Sistema de Gestión
(MDMS)
[USD/medidor]</t>
  </si>
  <si>
    <t>Módulo de comunicaciones
[USD/unidad]</t>
  </si>
  <si>
    <t>Unidad de Medida Monofásica
[USD/unidad]</t>
  </si>
  <si>
    <t>Unidad de Medida Trifásica
[USD/unidad]</t>
  </si>
  <si>
    <t>Operación del
MDMS
[USD/medidor]</t>
  </si>
  <si>
    <t>Soporte y Mantenimiento
del MDMS
[USD/medidor]</t>
  </si>
  <si>
    <t>Soporte y Mantenimiento
Equipos y Redes
[USD/medidor]</t>
  </si>
  <si>
    <t>Costo Inversión</t>
  </si>
  <si>
    <t>Unidad Concentradora
(DCU)
[USD/unidad]</t>
  </si>
  <si>
    <t>Costos de Operación y Mantenimiento (OPEX) - Costos Anuales</t>
  </si>
  <si>
    <t>DCU [USD/u]</t>
  </si>
  <si>
    <t>UM 1F [USD/u]</t>
  </si>
  <si>
    <t>UM 3F Directa [USD/u]</t>
  </si>
  <si>
    <t>UM 3F Indirecta [USD/u]</t>
  </si>
  <si>
    <t>Instalación UM 1F [USD/u]</t>
  </si>
  <si>
    <t>Instalación UM 3F Directa [USD/u]</t>
  </si>
  <si>
    <t>Instalación UM 3F Indirecta [USD/u]</t>
  </si>
  <si>
    <t>Instalación DCU [USD/u]</t>
  </si>
  <si>
    <t>SGO [USD/Medidor]</t>
  </si>
  <si>
    <t>Comunicaciones [USD/medidor]</t>
  </si>
  <si>
    <t>Operación SGO [USD/medidor]</t>
  </si>
  <si>
    <t>Soporte y Mantenimiento Equipos [USD/medidor]</t>
  </si>
  <si>
    <t>ESTUDIO TRAFICO</t>
  </si>
  <si>
    <t>TAMAÑO TRAMA</t>
  </si>
  <si>
    <t>MENSAJES X HORA</t>
  </si>
  <si>
    <t>MENSAJES x MES</t>
  </si>
  <si>
    <t>N° ALARMAS DIARIAS ESTIMADO</t>
  </si>
  <si>
    <t>N° MENSAJES CONTROL</t>
  </si>
  <si>
    <t>TAMAÑO FIRMWARE ( KB)</t>
  </si>
  <si>
    <t>KBYTES x MES</t>
  </si>
  <si>
    <t>KBYTES DATA</t>
  </si>
  <si>
    <t>KB ALARMA</t>
  </si>
  <si>
    <t>KB CONTROL</t>
  </si>
  <si>
    <t>KB ACTUALIZACION FW (1 x AÑO/12)</t>
  </si>
  <si>
    <t>OVERHEAD (20%)</t>
  </si>
  <si>
    <t>TOTAL KBYES x MES</t>
  </si>
  <si>
    <t>TOTAL KBYES x COMPRIMIDO</t>
  </si>
  <si>
    <t>Comunicación
UM-SGO
[USD/medidor]</t>
  </si>
  <si>
    <t>MDMS
[USD/medidor]</t>
  </si>
  <si>
    <t>MDMS 
[USD/medidor]</t>
  </si>
  <si>
    <t>Cotizaciones de FENACOPEL</t>
  </si>
  <si>
    <t>Integrado en el medidor 
(USD 31)</t>
  </si>
  <si>
    <t>Síntesis</t>
  </si>
  <si>
    <t>Costos de inversión: Información de Hubbell</t>
  </si>
  <si>
    <t>TWACS</t>
  </si>
  <si>
    <t>Hubbell</t>
  </si>
  <si>
    <t>G3-PLC</t>
  </si>
  <si>
    <t>RF-Mesh</t>
  </si>
  <si>
    <t>G3-PLC + RF-Mesh</t>
  </si>
  <si>
    <t>Costo instalación
[USD/u]</t>
  </si>
  <si>
    <t>MDMS [USD/Medidor]</t>
  </si>
  <si>
    <t>Operación
MDMS
[USD/medidor]</t>
  </si>
  <si>
    <t>Operación MDMS [USD/medidor]</t>
  </si>
  <si>
    <t>Costos de Operación AMI: FENACOPEL</t>
  </si>
  <si>
    <t>- Todos los montos son anuales.
 - El monto de op MDMS considera solo el mantenimiento.'</t>
  </si>
  <si>
    <t>Costos de Operación AMI (Solo Referencial): Chilquinta</t>
  </si>
  <si>
    <t>DATOS MEDIDOS SEGUN NORMA</t>
  </si>
  <si>
    <t>Marca de Tiempo</t>
  </si>
  <si>
    <t>Energía Activa Consumida</t>
  </si>
  <si>
    <t>Energía Reactiva Consumida</t>
  </si>
  <si>
    <t>Energía Activa Inyectada</t>
  </si>
  <si>
    <t>Energía Reactiva Inyectada</t>
  </si>
  <si>
    <t>Voltaje 1</t>
  </si>
  <si>
    <t>Voltaje 2</t>
  </si>
  <si>
    <t>Voltaje 3</t>
  </si>
  <si>
    <t>Corriente 1</t>
  </si>
  <si>
    <t>Corriente 2</t>
  </si>
  <si>
    <t>Corriente 3</t>
  </si>
  <si>
    <t>Potencia Activa</t>
  </si>
  <si>
    <t>Potencia Reactiva</t>
  </si>
  <si>
    <t>Potencia Aparente</t>
  </si>
  <si>
    <t>Checksum</t>
  </si>
  <si>
    <t>DATOS ALARMA</t>
  </si>
  <si>
    <t>Variable</t>
  </si>
  <si>
    <t>Estado</t>
  </si>
  <si>
    <t>DATOS CONTROL</t>
  </si>
  <si>
    <t>Costo de comunicaciones entre el DCU y el SGO (VAD 2024-2028, Hoja Anexos SMMC)</t>
  </si>
  <si>
    <t>cada 15 min</t>
  </si>
  <si>
    <t>Tamaño Inicial Bytes</t>
  </si>
  <si>
    <t>Tamaño Final Bytes</t>
  </si>
  <si>
    <t>% COMPRESION</t>
  </si>
  <si>
    <t>cada 60 min</t>
  </si>
  <si>
    <t>Trafico requerido para Clientes 3F en Zonas: 
ALTA, MEDIA</t>
  </si>
  <si>
    <t>Trafico requerido para Clientes 3F en Zonas: 
BAJA, MUY BAJA, EXTREMADAMENTE BAJA</t>
  </si>
  <si>
    <t>Trafico requerido para Clientes 1F en Zonas: 
ALTA, MEDIA</t>
  </si>
  <si>
    <t>Trafico requerido para Clientes 1F en Zonas: 
BAJA, MUY BAJA, EXTREMADAMENTE BAJA</t>
  </si>
  <si>
    <t>Trafico requerido para TD 3F en Zonas: 
ALTA, MEDIA</t>
  </si>
  <si>
    <t>Trafico requerido para TD 3F en Zonas: 
BAJA, MUY BAJA, EXTREMADAMENTE BAJA</t>
  </si>
  <si>
    <t>Trafico requerido para TD 1F en Zonas: 
ALTA, MEDIA</t>
  </si>
  <si>
    <t>Trafico requerido para TD 1F en Zonas: 
BAJA, MUY BAJA, EXTREMADAMENTE BAJA</t>
  </si>
  <si>
    <t>Trafico requerido para Clientes 3F en Zonas: 
ALTA, MEDIA, BAJA, MUY BAJA y EXT. BAJA</t>
  </si>
  <si>
    <t>Trafico requerido para Clientes 1F en Zonas: 
ALTA, MEDIA, BAJA, MUY BAJA y EXT. BAJA</t>
  </si>
  <si>
    <t>Trafico requerido para TD 3F en Zonas: 
ALTA, MEDIA, BAJA, MUY BAJA y EXT. BAJA</t>
  </si>
  <si>
    <t>Trafico requerido para TD 1F en Zonas: 
ALTA, MEDIA, BAJA, MUY BAJA y EXT. BAJA</t>
  </si>
  <si>
    <t xml:space="preserve">
- 956,58 USD es el dolar considerado para el cáculo del TM, dada su fecha de cotización de 31 Julio 2024.
- Para obtener el [$/medidor] se realizó la división entre el monto que figura como el costo total entre la cantidad de medidores para el cual está dimensionado (según las cotizaciones).
- Se debe considerar el Transformador 3F para los equipos de conexión Indirecto, pues el monto no lo considera.
- EL SGO (que incluye al HES y a la base de datos), considera que la compañía ya cuenta con una base de datos, por lo que en los montos este gasto no es parte del SGO.
- El soporte y mantenimiento del MDMS de Quatro System se paga aparte (USD 64.000 anual).
- La solución de GEM considera el soporte y mantenimiento del sistema ofertado por 1 año.
- Los medidores de la marca Wasion son de la serie aMeter 100 y 300, y estos tienen capacidad de comunicación RFMesh según su página web. En cuanto al PLC, operan con el estandar G3-PLC.
'</t>
  </si>
  <si>
    <t>- Todos los montos son anuales y ajustados por IPC (12,3% desde Dic 2022) según VAD. Además se considera dolar 959,36 a Oct 16 2025.
- Se considera un 5% anual de la inversión para el "mantenimiento", sin embargo, este monto aplica solo a equipos distintos a las UM para facturación.
- Para la operación del SGO (HES + Base de Datos) se ha considerado la licencia de operación - Data hub centralizado.'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</si>
</sst>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 &quot;$&quot;* #,##0_ ;_ &quot;$&quot;* \-#,##0_ ;_ &quot;$&quot;* &quot;-&quot;_ ;_ @_ "/>
    <numFmt numFmtId="164" formatCode="_ &quot;$&quot;* #,##0.00_ ;_ &quot;$&quot;* \-#,##0.00_ ;_ &quot;$&quot;* &quot;-&quot;_ ;_ @_ "/>
    <numFmt numFmtId="165" formatCode="0.0%"/>
    <numFmt numFmtId="166" formatCode="#,##0.0_ ;\-#,##0.0\ "/>
    <numFmt numFmtId="167" formatCode="_ * #,##0.00_ ;_ * \-#,##0.00_ ;_ * &quot;-&quot;_ ;_ @_ "/>
    <numFmt numFmtId="168" formatCode="0.0"/>
  </numFmts>
  <fonts count="21" x14ac:knownFonts="1">
    <font>
      <sz val="11"/>
      <color theme="1"/>
      <name val="Calibri"/>
      <family val="2"/>
      <scheme val="minor"/>
    </font>
    <font>
      <sz val="11"/>
      <color theme="1"/>
      <name val="Calibri"/>
      <family val="2"/>
      <scheme val="minor"/>
    </font>
    <font>
      <b/>
      <sz val="11"/>
      <color theme="1"/>
      <name val="Calibri"/>
      <family val="2"/>
      <scheme val="minor"/>
    </font>
    <font>
      <b/>
      <sz val="18"/>
      <color theme="3"/>
      <name val="Calibri"/>
      <family val="2"/>
      <scheme val="minor"/>
    </font>
    <font>
      <b/>
      <sz val="18"/>
      <color theme="3"/>
      <name val="Calibri"/>
      <family val="2"/>
    </font>
    <font>
      <b/>
      <sz val="11"/>
      <name val="Calibri"/>
      <family val="2"/>
    </font>
    <font>
      <b/>
      <sz val="11"/>
      <name val="Calibri"/>
      <family val="2"/>
    </font>
    <font>
      <sz val="8"/>
      <name val="Calibri"/>
      <family val="2"/>
      <scheme val="minor"/>
    </font>
    <font>
      <sz val="11"/>
      <name val="Calibri"/>
      <family val="2"/>
    </font>
    <font>
      <sz val="11"/>
      <color theme="1"/>
      <name val="Calibri"/>
      <family val="2"/>
    </font>
    <font>
      <sz val="10"/>
      <color rgb="FF000000"/>
      <name val="Calibri"/>
      <family val="2"/>
      <scheme val="minor"/>
    </font>
    <font>
      <b/>
      <u/>
      <sz val="11"/>
      <color theme="1"/>
      <name val="Calibri"/>
      <family val="2"/>
    </font>
    <font>
      <b/>
      <sz val="11"/>
      <color theme="1"/>
      <name val="Calibri"/>
      <family val="2"/>
    </font>
    <font>
      <sz val="10"/>
      <name val="Arial"/>
      <family val="2"/>
    </font>
    <font>
      <b/>
      <sz val="18"/>
      <color theme="1"/>
      <name val="Calibri"/>
      <family val="2"/>
      <scheme val="minor"/>
    </font>
    <font>
      <b/>
      <sz val="12"/>
      <color theme="1"/>
      <name val="Calibri"/>
      <family val="2"/>
      <scheme val="minor"/>
    </font>
    <font>
      <b/>
      <sz val="16"/>
      <color theme="1"/>
      <name val="Calibri"/>
      <family val="2"/>
      <scheme val="minor"/>
    </font>
    <font>
      <b/>
      <sz val="10"/>
      <color rgb="FF000000"/>
      <name val="Arial"/>
      <family val="2"/>
    </font>
    <font>
      <sz val="10"/>
      <color rgb="FF000000"/>
      <name val="Arial"/>
      <family val="2"/>
    </font>
    <font>
      <b/>
      <sz val="10"/>
      <color theme="1"/>
      <name val="Calibri"/>
      <family val="2"/>
      <scheme val="minor"/>
    </font>
    <font>
      <sz val="10"/>
      <color theme="1"/>
      <name val="Calibri"/>
      <family val="2"/>
      <scheme val="minor"/>
    </font>
  </fonts>
  <fills count="9">
    <fill>
      <patternFill patternType="none"/>
    </fill>
    <fill>
      <patternFill patternType="gray125"/>
    </fill>
    <fill>
      <patternFill patternType="solid">
        <fgColor theme="5"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rgb="FFD9E2F3"/>
        <bgColor rgb="FFD9E2F3"/>
      </patternFill>
    </fill>
    <fill>
      <patternFill patternType="solid">
        <fgColor rgb="FFFFFF00"/>
        <bgColor rgb="FFFFFF00"/>
      </patternFill>
    </fill>
    <fill>
      <patternFill patternType="solid">
        <fgColor rgb="FFD2F1DA"/>
        <bgColor rgb="FFD2F1DA"/>
      </patternFill>
    </fill>
    <fill>
      <patternFill patternType="solid">
        <fgColor theme="0" tint="-0.14999847407452621"/>
        <bgColor indexed="64"/>
      </patternFill>
    </fill>
  </fills>
  <borders count="50">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
      <left style="thin">
        <color auto="1"/>
      </left>
      <right/>
      <top/>
      <bottom/>
      <diagonal/>
    </border>
    <border>
      <left style="thin">
        <color auto="1"/>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thin">
        <color indexed="64"/>
      </top>
      <bottom/>
      <diagonal/>
    </border>
    <border>
      <left style="thin">
        <color auto="1"/>
      </left>
      <right/>
      <top style="thin">
        <color auto="1"/>
      </top>
      <bottom/>
      <diagonal/>
    </border>
    <border>
      <left/>
      <right/>
      <top style="thin">
        <color auto="1"/>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style="thin">
        <color auto="1"/>
      </left>
      <right/>
      <top style="thin">
        <color auto="1"/>
      </top>
      <bottom style="medium">
        <color indexed="64"/>
      </bottom>
      <diagonal/>
    </border>
    <border>
      <left/>
      <right style="thin">
        <color indexed="64"/>
      </right>
      <top style="thin">
        <color auto="1"/>
      </top>
      <bottom style="medium">
        <color indexed="64"/>
      </bottom>
      <diagonal/>
    </border>
    <border>
      <left style="thin">
        <color auto="1"/>
      </left>
      <right style="thin">
        <color auto="1"/>
      </right>
      <top style="medium">
        <color indexed="64"/>
      </top>
      <bottom style="thin">
        <color auto="1"/>
      </bottom>
      <diagonal/>
    </border>
    <border>
      <left style="thin">
        <color indexed="64"/>
      </left>
      <right/>
      <top style="medium">
        <color indexed="64"/>
      </top>
      <bottom style="thin">
        <color auto="1"/>
      </bottom>
      <diagonal/>
    </border>
    <border>
      <left/>
      <right style="thin">
        <color indexed="64"/>
      </right>
      <top style="medium">
        <color indexed="64"/>
      </top>
      <bottom style="thin">
        <color auto="1"/>
      </bottom>
      <diagonal/>
    </border>
    <border>
      <left style="thin">
        <color rgb="FF000000"/>
      </left>
      <right/>
      <top/>
      <bottom/>
      <diagonal/>
    </border>
    <border>
      <left/>
      <right style="thin">
        <color rgb="FF000000"/>
      </right>
      <top/>
      <bottom/>
      <diagonal/>
    </border>
    <border>
      <left/>
      <right/>
      <top style="thick">
        <color theme="3"/>
      </top>
      <bottom/>
      <diagonal/>
    </border>
    <border>
      <left style="mediumDashed">
        <color theme="3"/>
      </left>
      <right/>
      <top/>
      <bottom/>
      <diagonal/>
    </border>
    <border>
      <left/>
      <right/>
      <top/>
      <bottom style="mediumDashed">
        <color auto="1"/>
      </bottom>
      <diagonal/>
    </border>
    <border>
      <left/>
      <right/>
      <top style="mediumDashed">
        <color auto="1"/>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indexed="64"/>
      </top>
      <bottom/>
      <diagonal/>
    </border>
    <border>
      <left/>
      <right style="thin">
        <color rgb="FF000000"/>
      </right>
      <top style="thin">
        <color indexed="64"/>
      </top>
      <bottom/>
      <diagonal/>
    </border>
    <border>
      <left style="thin">
        <color rgb="FF000000"/>
      </left>
      <right/>
      <top/>
      <bottom style="thin">
        <color indexed="64"/>
      </bottom>
      <diagonal/>
    </border>
    <border>
      <left/>
      <right style="thin">
        <color rgb="FF000000"/>
      </right>
      <top/>
      <bottom style="thin">
        <color indexed="64"/>
      </bottom>
      <diagonal/>
    </border>
    <border>
      <left style="thin">
        <color auto="1"/>
      </left>
      <right style="thin">
        <color auto="1"/>
      </right>
      <top/>
      <bottom/>
      <diagonal/>
    </border>
    <border>
      <left style="thin">
        <color rgb="FF000000"/>
      </left>
      <right style="thin">
        <color rgb="FF000000"/>
      </right>
      <top/>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medium">
        <color indexed="64"/>
      </bottom>
      <diagonal/>
    </border>
    <border>
      <left style="thin">
        <color auto="1"/>
      </left>
      <right style="thin">
        <color rgb="FF000000"/>
      </right>
      <top style="thin">
        <color rgb="FF000000"/>
      </top>
      <bottom style="medium">
        <color indexed="64"/>
      </bottom>
      <diagonal/>
    </border>
    <border>
      <left style="medium">
        <color auto="1"/>
      </left>
      <right/>
      <top style="thin">
        <color indexed="64"/>
      </top>
      <bottom style="thin">
        <color auto="1"/>
      </bottom>
      <diagonal/>
    </border>
    <border>
      <left style="medium">
        <color auto="1"/>
      </left>
      <right style="thin">
        <color auto="1"/>
      </right>
      <top style="thin">
        <color indexed="64"/>
      </top>
      <bottom style="thin">
        <color indexed="64"/>
      </bottom>
      <diagonal/>
    </border>
    <border>
      <left/>
      <right/>
      <top style="mediumDashed">
        <color auto="1"/>
      </top>
      <bottom style="thin">
        <color auto="1"/>
      </bottom>
      <diagonal/>
    </border>
    <border>
      <left/>
      <right/>
      <top style="thin">
        <color rgb="FF000000"/>
      </top>
      <bottom style="thin">
        <color rgb="FF000000"/>
      </bottom>
      <diagonal/>
    </border>
    <border>
      <left/>
      <right/>
      <top style="thin">
        <color indexed="64"/>
      </top>
      <bottom style="thin">
        <color rgb="FF000000"/>
      </bottom>
      <diagonal/>
    </border>
    <border>
      <left/>
      <right/>
      <top style="thin">
        <color rgb="FF000000"/>
      </top>
      <bottom style="thin">
        <color indexed="64"/>
      </bottom>
      <diagonal/>
    </border>
    <border>
      <left style="mediumDashed">
        <color auto="1"/>
      </left>
      <right/>
      <top/>
      <bottom/>
      <diagonal/>
    </border>
    <border>
      <left style="mediumDashed">
        <color rgb="FFFF0000"/>
      </left>
      <right/>
      <top/>
      <bottom/>
      <diagonal/>
    </border>
  </borders>
  <cellStyleXfs count="4">
    <xf numFmtId="0" fontId="0" fillId="0" borderId="0"/>
    <xf numFmtId="42" fontId="1" fillId="0" borderId="0" applyFont="0" applyFill="0" applyBorder="0" applyAlignment="0" applyProtection="0"/>
    <xf numFmtId="9" fontId="1" fillId="0" borderId="0" applyFont="0" applyFill="0" applyBorder="0" applyAlignment="0" applyProtection="0"/>
    <xf numFmtId="0" fontId="10" fillId="0" borderId="0"/>
  </cellStyleXfs>
  <cellXfs count="259">
    <xf numFmtId="0" fontId="0" fillId="0" borderId="0" xfId="0"/>
    <xf numFmtId="0" fontId="0" fillId="2"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164" fontId="0" fillId="0" borderId="1" xfId="1" applyNumberFormat="1" applyFont="1" applyBorder="1" applyAlignment="1">
      <alignment horizontal="right" vertical="center"/>
    </xf>
    <xf numFmtId="164" fontId="0" fillId="0" borderId="1" xfId="1" applyNumberFormat="1" applyFont="1" applyBorder="1"/>
    <xf numFmtId="0" fontId="0" fillId="0" borderId="2" xfId="0" applyBorder="1"/>
    <xf numFmtId="0" fontId="0" fillId="0" borderId="0" xfId="0" applyAlignment="1">
      <alignment vertical="center" wrapText="1"/>
    </xf>
    <xf numFmtId="164" fontId="0" fillId="0" borderId="1" xfId="1" applyNumberFormat="1" applyFont="1" applyBorder="1" applyAlignment="1">
      <alignment horizontal="center" vertical="center"/>
    </xf>
    <xf numFmtId="164" fontId="0" fillId="3" borderId="1" xfId="1" applyNumberFormat="1" applyFont="1" applyFill="1" applyBorder="1" applyAlignment="1">
      <alignment horizontal="center" vertical="center"/>
    </xf>
    <xf numFmtId="164" fontId="0" fillId="3" borderId="1" xfId="1" applyNumberFormat="1" applyFont="1" applyFill="1" applyBorder="1" applyAlignment="1">
      <alignment vertical="center"/>
    </xf>
    <xf numFmtId="0" fontId="0" fillId="3" borderId="1" xfId="0" applyFill="1" applyBorder="1" applyAlignment="1">
      <alignment horizontal="center" vertical="center"/>
    </xf>
    <xf numFmtId="164" fontId="0" fillId="3" borderId="1" xfId="1" applyNumberFormat="1" applyFont="1" applyFill="1" applyBorder="1" applyAlignment="1">
      <alignment horizontal="right" vertical="center"/>
    </xf>
    <xf numFmtId="164" fontId="0" fillId="0" borderId="1" xfId="1" applyNumberFormat="1" applyFont="1" applyBorder="1" applyAlignment="1">
      <alignment horizontal="center"/>
    </xf>
    <xf numFmtId="164" fontId="2" fillId="0" borderId="1" xfId="1" applyNumberFormat="1" applyFont="1" applyBorder="1" applyAlignment="1">
      <alignment horizontal="center" vertical="center"/>
    </xf>
    <xf numFmtId="0" fontId="2" fillId="0" borderId="1" xfId="0" applyFont="1" applyBorder="1" applyAlignment="1">
      <alignment horizontal="center" vertical="center" wrapText="1"/>
    </xf>
    <xf numFmtId="164" fontId="2" fillId="0" borderId="1" xfId="1" applyNumberFormat="1" applyFont="1" applyBorder="1" applyAlignment="1">
      <alignment vertical="center"/>
    </xf>
    <xf numFmtId="164" fontId="0" fillId="0" borderId="18" xfId="1" applyNumberFormat="1" applyFont="1" applyBorder="1"/>
    <xf numFmtId="164" fontId="0" fillId="0" borderId="19" xfId="1" applyNumberFormat="1" applyFont="1" applyBorder="1" applyAlignment="1">
      <alignment horizontal="center"/>
    </xf>
    <xf numFmtId="164" fontId="0" fillId="0" borderId="22" xfId="1" applyNumberFormat="1" applyFont="1" applyBorder="1"/>
    <xf numFmtId="164" fontId="0" fillId="0" borderId="19" xfId="1" applyNumberFormat="1" applyFont="1" applyBorder="1"/>
    <xf numFmtId="164" fontId="2" fillId="3" borderId="1" xfId="1" applyNumberFormat="1" applyFont="1" applyFill="1" applyBorder="1"/>
    <xf numFmtId="0" fontId="2" fillId="3" borderId="1" xfId="0" applyFont="1" applyFill="1" applyBorder="1" applyAlignment="1">
      <alignment horizontal="center" vertical="center"/>
    </xf>
    <xf numFmtId="164" fontId="2" fillId="3" borderId="1" xfId="1" applyNumberFormat="1" applyFont="1" applyFill="1" applyBorder="1" applyAlignment="1">
      <alignment horizontal="center"/>
    </xf>
    <xf numFmtId="164" fontId="2" fillId="3" borderId="19" xfId="1" applyNumberFormat="1" applyFont="1" applyFill="1" applyBorder="1"/>
    <xf numFmtId="164" fontId="2" fillId="3" borderId="18" xfId="1" applyNumberFormat="1" applyFont="1" applyFill="1" applyBorder="1"/>
    <xf numFmtId="0" fontId="8" fillId="2" borderId="1" xfId="0" applyFont="1" applyFill="1" applyBorder="1" applyAlignment="1">
      <alignment horizontal="center" vertical="center" wrapText="1"/>
    </xf>
    <xf numFmtId="0" fontId="0" fillId="0" borderId="0" xfId="0" quotePrefix="1" applyAlignment="1">
      <alignment horizontal="left" vertical="center" wrapText="1"/>
    </xf>
    <xf numFmtId="0" fontId="0" fillId="3" borderId="1" xfId="0" applyFill="1" applyBorder="1"/>
    <xf numFmtId="0" fontId="0" fillId="0" borderId="1" xfId="0" applyBorder="1"/>
    <xf numFmtId="164" fontId="0" fillId="4" borderId="1" xfId="1" applyNumberFormat="1" applyFont="1" applyFill="1" applyBorder="1" applyAlignment="1">
      <alignment horizontal="right" vertical="center"/>
    </xf>
    <xf numFmtId="0" fontId="9" fillId="0" borderId="14" xfId="3" applyFont="1" applyBorder="1"/>
    <xf numFmtId="165" fontId="9" fillId="0" borderId="0" xfId="3" applyNumberFormat="1" applyFont="1"/>
    <xf numFmtId="164" fontId="9" fillId="6" borderId="14" xfId="3" applyNumberFormat="1" applyFont="1" applyFill="1" applyBorder="1" applyAlignment="1">
      <alignment horizontal="right"/>
    </xf>
    <xf numFmtId="166" fontId="9" fillId="0" borderId="14" xfId="3" applyNumberFormat="1" applyFont="1" applyBorder="1" applyAlignment="1">
      <alignment horizontal="right"/>
    </xf>
    <xf numFmtId="0" fontId="13" fillId="0" borderId="16" xfId="3" applyFont="1" applyBorder="1"/>
    <xf numFmtId="167" fontId="9" fillId="0" borderId="14" xfId="3" applyNumberFormat="1" applyFont="1" applyBorder="1" applyAlignment="1">
      <alignment horizontal="right"/>
    </xf>
    <xf numFmtId="167" fontId="9" fillId="0" borderId="15" xfId="3" applyNumberFormat="1" applyFont="1" applyBorder="1" applyAlignment="1">
      <alignment horizontal="right"/>
    </xf>
    <xf numFmtId="0" fontId="0" fillId="0" borderId="27" xfId="0" applyBorder="1"/>
    <xf numFmtId="0" fontId="0" fillId="0" borderId="28" xfId="0" applyBorder="1"/>
    <xf numFmtId="0" fontId="0" fillId="0" borderId="29" xfId="0" applyBorder="1"/>
    <xf numFmtId="0" fontId="0" fillId="0" borderId="30" xfId="0" applyBorder="1"/>
    <xf numFmtId="164" fontId="0" fillId="4" borderId="19" xfId="1" applyNumberFormat="1" applyFont="1" applyFill="1" applyBorder="1" applyAlignment="1">
      <alignment horizontal="center"/>
    </xf>
    <xf numFmtId="164" fontId="12" fillId="6" borderId="14" xfId="3" applyNumberFormat="1" applyFont="1" applyFill="1" applyBorder="1" applyAlignment="1">
      <alignment horizontal="right"/>
    </xf>
    <xf numFmtId="164" fontId="9" fillId="6" borderId="14" xfId="3" applyNumberFormat="1" applyFont="1" applyFill="1" applyBorder="1"/>
    <xf numFmtId="164" fontId="9" fillId="0" borderId="14" xfId="3" applyNumberFormat="1" applyFont="1" applyBorder="1"/>
    <xf numFmtId="0" fontId="9" fillId="0" borderId="14" xfId="3" applyFont="1" applyBorder="1" applyAlignment="1">
      <alignment horizontal="right"/>
    </xf>
    <xf numFmtId="164" fontId="2" fillId="4" borderId="18" xfId="1" applyNumberFormat="1" applyFont="1" applyFill="1" applyBorder="1"/>
    <xf numFmtId="164" fontId="2" fillId="4" borderId="1" xfId="1" applyNumberFormat="1" applyFont="1" applyFill="1" applyBorder="1"/>
    <xf numFmtId="164" fontId="2" fillId="4" borderId="19" xfId="1" applyNumberFormat="1" applyFont="1" applyFill="1" applyBorder="1"/>
    <xf numFmtId="0" fontId="5" fillId="0" borderId="1" xfId="0" applyFont="1" applyBorder="1" applyAlignment="1">
      <alignment horizontal="center" vertical="center" wrapText="1"/>
    </xf>
    <xf numFmtId="0" fontId="0" fillId="0" borderId="0" xfId="0" applyAlignment="1">
      <alignment horizontal="center" vertical="center"/>
    </xf>
    <xf numFmtId="164" fontId="1" fillId="0" borderId="1" xfId="1" applyNumberFormat="1" applyFont="1" applyBorder="1" applyAlignment="1">
      <alignment horizontal="center" vertical="center"/>
    </xf>
    <xf numFmtId="164" fontId="1" fillId="0" borderId="1" xfId="1" applyNumberFormat="1" applyFont="1" applyBorder="1" applyAlignment="1">
      <alignment vertical="center"/>
    </xf>
    <xf numFmtId="0" fontId="12" fillId="0" borderId="13" xfId="3" applyFont="1" applyBorder="1" applyAlignment="1">
      <alignment horizontal="center" vertical="center"/>
    </xf>
    <xf numFmtId="0" fontId="12" fillId="0" borderId="31" xfId="3" applyFont="1" applyBorder="1" applyAlignment="1">
      <alignment horizontal="center" vertical="center"/>
    </xf>
    <xf numFmtId="0" fontId="12" fillId="0" borderId="32" xfId="3" applyFont="1" applyBorder="1" applyAlignment="1">
      <alignment horizontal="center" vertical="center"/>
    </xf>
    <xf numFmtId="167" fontId="9" fillId="0" borderId="16" xfId="3" applyNumberFormat="1" applyFont="1" applyBorder="1" applyAlignment="1">
      <alignment horizontal="right"/>
    </xf>
    <xf numFmtId="0" fontId="5" fillId="0" borderId="4" xfId="0" applyFont="1" applyBorder="1" applyAlignment="1">
      <alignment horizontal="center" vertical="center" wrapText="1"/>
    </xf>
    <xf numFmtId="0" fontId="2" fillId="0" borderId="1" xfId="0" applyFont="1" applyBorder="1" applyAlignment="1">
      <alignment horizontal="center" vertical="center"/>
    </xf>
    <xf numFmtId="0" fontId="6" fillId="0" borderId="17" xfId="0" applyFont="1" applyBorder="1" applyAlignment="1">
      <alignment horizontal="center" vertical="center" wrapText="1"/>
    </xf>
    <xf numFmtId="0" fontId="0" fillId="0" borderId="1" xfId="0" applyBorder="1" applyAlignment="1">
      <alignment vertical="center"/>
    </xf>
    <xf numFmtId="0" fontId="0" fillId="0" borderId="19" xfId="0" applyBorder="1" applyAlignment="1">
      <alignment vertical="center"/>
    </xf>
    <xf numFmtId="0" fontId="0" fillId="0" borderId="19" xfId="0" applyBorder="1"/>
    <xf numFmtId="0" fontId="0" fillId="0" borderId="22" xfId="0" applyBorder="1" applyAlignment="1">
      <alignment vertical="center"/>
    </xf>
    <xf numFmtId="0" fontId="0" fillId="0" borderId="22" xfId="0" applyBorder="1"/>
    <xf numFmtId="0" fontId="0" fillId="3" borderId="18" xfId="0" applyFill="1" applyBorder="1" applyAlignment="1">
      <alignment vertical="center"/>
    </xf>
    <xf numFmtId="0" fontId="0" fillId="3" borderId="18" xfId="0" applyFill="1" applyBorder="1"/>
    <xf numFmtId="164" fontId="0" fillId="3" borderId="18" xfId="1" applyNumberFormat="1" applyFont="1" applyFill="1" applyBorder="1"/>
    <xf numFmtId="0" fontId="0" fillId="3" borderId="1" xfId="0" applyFill="1" applyBorder="1" applyAlignment="1">
      <alignment vertical="center"/>
    </xf>
    <xf numFmtId="164" fontId="0" fillId="3" borderId="1" xfId="1" applyNumberFormat="1" applyFont="1" applyFill="1" applyBorder="1"/>
    <xf numFmtId="164" fontId="0" fillId="4" borderId="18" xfId="1" applyNumberFormat="1" applyFont="1" applyFill="1" applyBorder="1"/>
    <xf numFmtId="164" fontId="0" fillId="4" borderId="1" xfId="1" applyNumberFormat="1" applyFont="1" applyFill="1" applyBorder="1"/>
    <xf numFmtId="164" fontId="0" fillId="0" borderId="13" xfId="1" applyNumberFormat="1" applyFont="1" applyBorder="1"/>
    <xf numFmtId="164" fontId="0" fillId="0" borderId="39" xfId="1" applyNumberFormat="1" applyFont="1" applyBorder="1"/>
    <xf numFmtId="164" fontId="0" fillId="0" borderId="41" xfId="1" applyNumberFormat="1" applyFont="1" applyBorder="1"/>
    <xf numFmtId="9" fontId="1" fillId="0" borderId="1" xfId="2" applyFont="1" applyBorder="1" applyAlignment="1">
      <alignment horizontal="center" vertical="center"/>
    </xf>
    <xf numFmtId="0" fontId="5" fillId="0" borderId="37"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17" xfId="0" applyFont="1" applyBorder="1" applyAlignment="1">
      <alignment horizontal="center" vertical="center" wrapText="1"/>
    </xf>
    <xf numFmtId="0" fontId="2"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164" fontId="1" fillId="0" borderId="4" xfId="1" applyNumberFormat="1" applyFont="1" applyBorder="1" applyAlignment="1">
      <alignment horizontal="center" vertical="center"/>
    </xf>
    <xf numFmtId="164" fontId="2" fillId="0" borderId="4" xfId="1" applyNumberFormat="1" applyFont="1" applyBorder="1" applyAlignment="1">
      <alignment horizontal="center" vertical="center"/>
    </xf>
    <xf numFmtId="164" fontId="0" fillId="0" borderId="43" xfId="1" applyNumberFormat="1" applyFont="1" applyBorder="1"/>
    <xf numFmtId="0" fontId="2" fillId="2" borderId="42"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18" fillId="0" borderId="1" xfId="0" applyFont="1" applyBorder="1"/>
    <xf numFmtId="164" fontId="0" fillId="4" borderId="1" xfId="1" applyNumberFormat="1" applyFont="1" applyFill="1" applyBorder="1" applyAlignment="1">
      <alignment vertical="center"/>
    </xf>
    <xf numFmtId="164" fontId="0" fillId="4" borderId="1" xfId="1" applyNumberFormat="1" applyFont="1" applyFill="1" applyBorder="1" applyAlignment="1">
      <alignment horizontal="center" vertical="center"/>
    </xf>
    <xf numFmtId="164" fontId="1" fillId="3" borderId="1" xfId="1" applyNumberFormat="1" applyFont="1" applyFill="1" applyBorder="1" applyAlignment="1">
      <alignment vertical="center"/>
    </xf>
    <xf numFmtId="164" fontId="1" fillId="3" borderId="1" xfId="1" applyNumberFormat="1" applyFont="1" applyFill="1" applyBorder="1" applyAlignment="1">
      <alignment horizontal="center" vertical="center"/>
    </xf>
    <xf numFmtId="0" fontId="0" fillId="3" borderId="1" xfId="0" applyFill="1" applyBorder="1" applyAlignment="1">
      <alignment horizontal="center" vertical="center" wrapText="1"/>
    </xf>
    <xf numFmtId="0" fontId="2" fillId="3" borderId="1" xfId="0" applyFont="1" applyFill="1" applyBorder="1" applyAlignment="1">
      <alignment horizontal="center" vertical="center" wrapText="1"/>
    </xf>
    <xf numFmtId="0" fontId="0" fillId="4" borderId="1" xfId="0" applyFill="1" applyBorder="1" applyAlignment="1">
      <alignment horizontal="center" vertical="center" wrapText="1"/>
    </xf>
    <xf numFmtId="164" fontId="2" fillId="3" borderId="1" xfId="0" applyNumberFormat="1" applyFont="1" applyFill="1" applyBorder="1" applyAlignment="1">
      <alignment vertical="center"/>
    </xf>
    <xf numFmtId="164" fontId="1" fillId="4" borderId="1" xfId="1" applyNumberFormat="1" applyFont="1" applyFill="1" applyBorder="1" applyAlignment="1">
      <alignment vertical="center"/>
    </xf>
    <xf numFmtId="0" fontId="0" fillId="0" borderId="44" xfId="0" applyBorder="1"/>
    <xf numFmtId="164" fontId="2" fillId="3" borderId="1" xfId="1" applyNumberFormat="1" applyFont="1" applyFill="1" applyBorder="1" applyAlignment="1">
      <alignment horizontal="center" vertical="center"/>
    </xf>
    <xf numFmtId="164" fontId="0" fillId="0" borderId="40" xfId="1" applyNumberFormat="1" applyFont="1" applyBorder="1"/>
    <xf numFmtId="164" fontId="0" fillId="3" borderId="13" xfId="1" applyNumberFormat="1" applyFont="1" applyFill="1" applyBorder="1"/>
    <xf numFmtId="164" fontId="0" fillId="3" borderId="39" xfId="1" applyNumberFormat="1" applyFont="1" applyFill="1" applyBorder="1"/>
    <xf numFmtId="0" fontId="0" fillId="4" borderId="1" xfId="0" applyFill="1" applyBorder="1" applyAlignment="1">
      <alignment horizontal="center" vertical="center"/>
    </xf>
    <xf numFmtId="0" fontId="0" fillId="2" borderId="0" xfId="0" applyFill="1"/>
    <xf numFmtId="3" fontId="20" fillId="0" borderId="16" xfId="0" applyNumberFormat="1" applyFont="1" applyBorder="1"/>
    <xf numFmtId="10" fontId="19" fillId="0" borderId="16" xfId="0" applyNumberFormat="1" applyFont="1" applyBorder="1"/>
    <xf numFmtId="168" fontId="18" fillId="0" borderId="1" xfId="0" applyNumberFormat="1" applyFont="1" applyBorder="1"/>
    <xf numFmtId="168" fontId="17" fillId="0" borderId="1" xfId="0" applyNumberFormat="1" applyFont="1" applyBorder="1"/>
    <xf numFmtId="0" fontId="20" fillId="0" borderId="45" xfId="0" applyFont="1" applyBorder="1"/>
    <xf numFmtId="0" fontId="19" fillId="0" borderId="45" xfId="0" applyFont="1" applyBorder="1"/>
    <xf numFmtId="0" fontId="19" fillId="0" borderId="47" xfId="0" applyFont="1" applyBorder="1"/>
    <xf numFmtId="0" fontId="0" fillId="0" borderId="48" xfId="0" applyBorder="1"/>
    <xf numFmtId="0" fontId="0" fillId="0" borderId="49" xfId="0" applyBorder="1"/>
    <xf numFmtId="0" fontId="20" fillId="0" borderId="45" xfId="0" applyFont="1" applyBorder="1"/>
    <xf numFmtId="0" fontId="18" fillId="0" borderId="1" xfId="0" applyFont="1" applyBorder="1"/>
    <xf numFmtId="0" fontId="17" fillId="0" borderId="1" xfId="0" applyFont="1" applyBorder="1"/>
    <xf numFmtId="0" fontId="17" fillId="0" borderId="1" xfId="0" applyFont="1" applyBorder="1" applyAlignment="1">
      <alignment horizontal="center"/>
    </xf>
    <xf numFmtId="0" fontId="19" fillId="0" borderId="47" xfId="0" applyFont="1" applyBorder="1"/>
    <xf numFmtId="0" fontId="19" fillId="0" borderId="46" xfId="0" applyFont="1" applyBorder="1" applyAlignment="1">
      <alignment horizontal="center"/>
    </xf>
    <xf numFmtId="0" fontId="19" fillId="0" borderId="45" xfId="0" applyFont="1" applyBorder="1" applyAlignment="1">
      <alignment horizontal="center"/>
    </xf>
    <xf numFmtId="0" fontId="19" fillId="0" borderId="45" xfId="0" applyFont="1" applyBorder="1"/>
    <xf numFmtId="0" fontId="16" fillId="0" borderId="0" xfId="0" applyFont="1" applyAlignment="1">
      <alignment horizontal="center"/>
    </xf>
    <xf numFmtId="0" fontId="20" fillId="0" borderId="1" xfId="0" applyFont="1" applyBorder="1"/>
    <xf numFmtId="0" fontId="19" fillId="0" borderId="1" xfId="0" applyFont="1" applyBorder="1"/>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wrapText="1"/>
    </xf>
    <xf numFmtId="0" fontId="4" fillId="0" borderId="1" xfId="0" applyFont="1" applyBorder="1" applyAlignment="1">
      <alignment horizontal="center" vertical="center" wrapText="1"/>
    </xf>
    <xf numFmtId="0" fontId="5" fillId="0" borderId="1" xfId="0" applyFont="1" applyBorder="1" applyAlignment="1">
      <alignment horizontal="center" vertical="center" wrapText="1"/>
    </xf>
    <xf numFmtId="0" fontId="2" fillId="0" borderId="1" xfId="0" applyFont="1" applyBorder="1" applyAlignment="1">
      <alignment horizontal="center"/>
    </xf>
    <xf numFmtId="0" fontId="3" fillId="0" borderId="1" xfId="0" applyFont="1" applyBorder="1" applyAlignment="1">
      <alignment horizontal="center"/>
    </xf>
    <xf numFmtId="0" fontId="0" fillId="0" borderId="18" xfId="0" applyBorder="1" applyAlignment="1">
      <alignment horizontal="center" vertical="center"/>
    </xf>
    <xf numFmtId="0" fontId="0" fillId="0" borderId="1" xfId="0" applyBorder="1" applyAlignment="1">
      <alignment horizontal="center" vertical="center"/>
    </xf>
    <xf numFmtId="0" fontId="0" fillId="4" borderId="4" xfId="0" applyFill="1" applyBorder="1" applyAlignment="1">
      <alignment horizontal="center" vertical="center"/>
    </xf>
    <xf numFmtId="0" fontId="0" fillId="4" borderId="5" xfId="0" applyFill="1" applyBorder="1" applyAlignment="1">
      <alignment horizontal="center" vertical="center"/>
    </xf>
    <xf numFmtId="1" fontId="0" fillId="0" borderId="10" xfId="0" applyNumberFormat="1" applyBorder="1" applyAlignment="1">
      <alignment horizontal="center" vertical="center"/>
    </xf>
    <xf numFmtId="1" fontId="0" fillId="0" borderId="11" xfId="0" applyNumberFormat="1" applyBorder="1" applyAlignment="1">
      <alignment horizontal="center" vertical="center"/>
    </xf>
    <xf numFmtId="1" fontId="0" fillId="0" borderId="4" xfId="0" applyNumberFormat="1" applyBorder="1" applyAlignment="1">
      <alignment horizontal="center" vertical="center"/>
    </xf>
    <xf numFmtId="1" fontId="0" fillId="0" borderId="5" xfId="0" applyNumberFormat="1" applyBorder="1" applyAlignment="1">
      <alignment horizontal="center" vertical="center"/>
    </xf>
    <xf numFmtId="0" fontId="9" fillId="0" borderId="25" xfId="3" applyFont="1" applyBorder="1" applyAlignment="1">
      <alignment horizontal="center"/>
    </xf>
    <xf numFmtId="0" fontId="9" fillId="0" borderId="0" xfId="3" applyFont="1" applyAlignment="1">
      <alignment horizontal="center"/>
    </xf>
    <xf numFmtId="0" fontId="12" fillId="0" borderId="18" xfId="3" applyFont="1" applyBorder="1" applyAlignment="1">
      <alignment horizontal="center" vertical="center" wrapText="1"/>
    </xf>
    <xf numFmtId="0" fontId="12" fillId="0" borderId="1" xfId="3" applyFont="1" applyBorder="1" applyAlignment="1">
      <alignment horizontal="center" vertical="center" wrapText="1"/>
    </xf>
    <xf numFmtId="42" fontId="9" fillId="0" borderId="1" xfId="3" applyNumberFormat="1" applyFont="1" applyBorder="1" applyAlignment="1">
      <alignment horizontal="right"/>
    </xf>
    <xf numFmtId="0" fontId="9" fillId="0" borderId="25" xfId="3" applyFont="1" applyBorder="1"/>
    <xf numFmtId="0" fontId="9" fillId="0" borderId="0" xfId="3" applyFont="1"/>
    <xf numFmtId="0" fontId="9" fillId="0" borderId="26" xfId="3" applyFont="1" applyBorder="1"/>
    <xf numFmtId="0" fontId="0" fillId="3" borderId="20" xfId="0" applyFill="1" applyBorder="1" applyAlignment="1">
      <alignment horizontal="center" vertical="center"/>
    </xf>
    <xf numFmtId="0" fontId="0" fillId="3" borderId="21" xfId="0" applyFill="1" applyBorder="1" applyAlignment="1">
      <alignment horizontal="center" vertical="center"/>
    </xf>
    <xf numFmtId="1" fontId="2" fillId="3" borderId="20" xfId="0" applyNumberFormat="1" applyFont="1" applyFill="1" applyBorder="1" applyAlignment="1">
      <alignment horizontal="center" vertical="center"/>
    </xf>
    <xf numFmtId="1" fontId="2" fillId="3" borderId="21" xfId="0" applyNumberFormat="1" applyFont="1" applyFill="1" applyBorder="1" applyAlignment="1">
      <alignment horizontal="center" vertical="center"/>
    </xf>
    <xf numFmtId="0" fontId="0" fillId="4" borderId="20" xfId="0" applyFill="1" applyBorder="1" applyAlignment="1">
      <alignment horizontal="center" vertical="center"/>
    </xf>
    <xf numFmtId="0" fontId="0" fillId="4" borderId="21" xfId="0" applyFill="1" applyBorder="1" applyAlignment="1">
      <alignment horizontal="center" vertical="center"/>
    </xf>
    <xf numFmtId="0" fontId="12" fillId="7" borderId="1" xfId="3" applyFont="1" applyFill="1" applyBorder="1" applyAlignment="1">
      <alignment horizontal="center" vertical="center" wrapText="1"/>
    </xf>
    <xf numFmtId="0" fontId="12" fillId="7" borderId="1" xfId="3" applyFont="1" applyFill="1" applyBorder="1" applyAlignment="1">
      <alignment horizontal="center" vertical="center"/>
    </xf>
    <xf numFmtId="167" fontId="9" fillId="7" borderId="1" xfId="3" applyNumberFormat="1" applyFont="1" applyFill="1" applyBorder="1"/>
    <xf numFmtId="0" fontId="0" fillId="0" borderId="1" xfId="0" quotePrefix="1" applyBorder="1" applyAlignment="1">
      <alignment horizontal="left" vertical="center" wrapText="1"/>
    </xf>
    <xf numFmtId="0" fontId="0" fillId="0" borderId="1" xfId="0" applyBorder="1" applyAlignment="1">
      <alignment horizontal="left" vertical="center" wrapText="1"/>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4" borderId="20" xfId="0" applyNumberFormat="1" applyFill="1" applyBorder="1" applyAlignment="1">
      <alignment horizontal="center" vertical="center"/>
    </xf>
    <xf numFmtId="1" fontId="0" fillId="4" borderId="21" xfId="0" applyNumberFormat="1" applyFill="1" applyBorder="1" applyAlignment="1">
      <alignment horizontal="center" vertical="center"/>
    </xf>
    <xf numFmtId="1" fontId="0" fillId="4" borderId="4" xfId="0" applyNumberFormat="1" applyFill="1" applyBorder="1" applyAlignment="1">
      <alignment horizontal="center" vertical="center"/>
    </xf>
    <xf numFmtId="1" fontId="0" fillId="4" borderId="5" xfId="0" applyNumberFormat="1" applyFill="1" applyBorder="1" applyAlignment="1">
      <alignment horizontal="center" vertical="center"/>
    </xf>
    <xf numFmtId="1" fontId="0" fillId="4" borderId="10" xfId="0" applyNumberFormat="1" applyFill="1" applyBorder="1" applyAlignment="1">
      <alignment horizontal="center" vertical="center"/>
    </xf>
    <xf numFmtId="1" fontId="0" fillId="4" borderId="11" xfId="0" applyNumberFormat="1" applyFill="1" applyBorder="1" applyAlignment="1">
      <alignment horizontal="center" vertical="center"/>
    </xf>
    <xf numFmtId="0" fontId="9" fillId="0" borderId="35" xfId="3" applyFont="1" applyBorder="1"/>
    <xf numFmtId="0" fontId="9" fillId="0" borderId="2" xfId="3" applyFont="1" applyBorder="1"/>
    <xf numFmtId="0" fontId="9" fillId="0" borderId="36" xfId="3" applyFont="1" applyBorder="1"/>
    <xf numFmtId="0" fontId="2" fillId="2" borderId="1" xfId="0" applyFont="1" applyFill="1" applyBorder="1" applyAlignment="1">
      <alignment horizontal="center"/>
    </xf>
    <xf numFmtId="0" fontId="12" fillId="0" borderId="1" xfId="3" applyFont="1" applyBorder="1" applyAlignment="1">
      <alignment horizontal="center" vertical="center"/>
    </xf>
    <xf numFmtId="0" fontId="9" fillId="0" borderId="1" xfId="3" applyFont="1" applyBorder="1"/>
    <xf numFmtId="0" fontId="12" fillId="0" borderId="25" xfId="3" applyFont="1" applyBorder="1"/>
    <xf numFmtId="0" fontId="12" fillId="0" borderId="0" xfId="3" applyFont="1"/>
    <xf numFmtId="0" fontId="12" fillId="0" borderId="26" xfId="3" applyFont="1" applyBorder="1"/>
    <xf numFmtId="0" fontId="11" fillId="0" borderId="33" xfId="3" applyFont="1" applyBorder="1"/>
    <xf numFmtId="0" fontId="11" fillId="0" borderId="9" xfId="3" applyFont="1" applyBorder="1"/>
    <xf numFmtId="0" fontId="11" fillId="0" borderId="34" xfId="3" applyFont="1" applyBorder="1"/>
    <xf numFmtId="0" fontId="12" fillId="5" borderId="25" xfId="3" applyFont="1" applyFill="1" applyBorder="1"/>
    <xf numFmtId="0" fontId="12" fillId="5" borderId="0" xfId="3" applyFont="1" applyFill="1"/>
    <xf numFmtId="0" fontId="9" fillId="6" borderId="25" xfId="3" applyFont="1" applyFill="1" applyBorder="1"/>
    <xf numFmtId="0" fontId="9" fillId="6" borderId="0" xfId="3" applyFont="1" applyFill="1"/>
    <xf numFmtId="0" fontId="9" fillId="6" borderId="26" xfId="3" applyFont="1" applyFill="1" applyBorder="1"/>
    <xf numFmtId="0" fontId="0" fillId="0" borderId="8" xfId="0" quotePrefix="1" applyBorder="1" applyAlignment="1">
      <alignment horizontal="left" vertical="center" wrapText="1"/>
    </xf>
    <xf numFmtId="0" fontId="0" fillId="0" borderId="9" xfId="0" applyBorder="1" applyAlignment="1">
      <alignment horizontal="left" vertical="center" wrapText="1"/>
    </xf>
    <xf numFmtId="0" fontId="0" fillId="0" borderId="7" xfId="0" applyBorder="1" applyAlignment="1">
      <alignment horizontal="left" vertical="center" wrapText="1"/>
    </xf>
    <xf numFmtId="0" fontId="0" fillId="0" borderId="3" xfId="0" quotePrefix="1" applyBorder="1" applyAlignment="1">
      <alignment horizontal="left" vertical="center" wrapText="1"/>
    </xf>
    <xf numFmtId="0" fontId="0" fillId="0" borderId="0" xfId="0" applyAlignment="1">
      <alignment horizontal="left" vertical="center" wrapText="1"/>
    </xf>
    <xf numFmtId="0" fontId="0" fillId="0" borderId="6" xfId="0" applyBorder="1" applyAlignment="1">
      <alignment horizontal="left" vertical="center" wrapText="1"/>
    </xf>
    <xf numFmtId="0" fontId="0" fillId="0" borderId="3" xfId="0" applyBorder="1" applyAlignment="1">
      <alignment horizontal="left" vertical="center" wrapText="1"/>
    </xf>
    <xf numFmtId="0" fontId="0" fillId="0" borderId="10"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2" fillId="2" borderId="4" xfId="0" applyFont="1" applyFill="1" applyBorder="1" applyAlignment="1">
      <alignment horizontal="center" wrapText="1"/>
    </xf>
    <xf numFmtId="0" fontId="2" fillId="2" borderId="12" xfId="0" applyFont="1" applyFill="1" applyBorder="1" applyAlignment="1">
      <alignment horizontal="center" wrapText="1"/>
    </xf>
    <xf numFmtId="0" fontId="2" fillId="2" borderId="5" xfId="0" applyFont="1" applyFill="1" applyBorder="1" applyAlignment="1">
      <alignment horizontal="center" wrapText="1"/>
    </xf>
    <xf numFmtId="0" fontId="0" fillId="0" borderId="3" xfId="0" applyBorder="1" applyAlignment="1">
      <alignment horizontal="left"/>
    </xf>
    <xf numFmtId="0" fontId="0" fillId="0" borderId="0" xfId="0" applyAlignment="1">
      <alignment horizontal="left"/>
    </xf>
    <xf numFmtId="0" fontId="14" fillId="0" borderId="27" xfId="0" applyFont="1" applyBorder="1" applyAlignment="1">
      <alignment horizontal="center" vertical="center"/>
    </xf>
    <xf numFmtId="0" fontId="14" fillId="0" borderId="27" xfId="0" applyFont="1" applyBorder="1" applyAlignment="1">
      <alignment horizontal="center"/>
    </xf>
    <xf numFmtId="0" fontId="0" fillId="0" borderId="1" xfId="0" applyBorder="1" applyAlignment="1">
      <alignment horizontal="center" vertical="center" wrapText="1"/>
    </xf>
    <xf numFmtId="0" fontId="0" fillId="3" borderId="1" xfId="0" applyFill="1" applyBorder="1" applyAlignment="1">
      <alignment horizontal="center"/>
    </xf>
    <xf numFmtId="0" fontId="0" fillId="0" borderId="17" xfId="0" applyBorder="1" applyAlignment="1">
      <alignment horizontal="center" vertical="center"/>
    </xf>
    <xf numFmtId="0" fontId="2" fillId="2" borderId="1" xfId="0" applyFont="1" applyFill="1" applyBorder="1" applyAlignment="1">
      <alignment horizontal="center" wrapText="1"/>
    </xf>
    <xf numFmtId="0" fontId="0" fillId="3" borderId="1" xfId="0" applyFill="1" applyBorder="1"/>
    <xf numFmtId="0" fontId="2" fillId="2" borderId="4" xfId="0" applyFont="1" applyFill="1" applyBorder="1" applyAlignment="1">
      <alignment horizontal="center"/>
    </xf>
    <xf numFmtId="0" fontId="2" fillId="2" borderId="12" xfId="0" applyFont="1" applyFill="1" applyBorder="1" applyAlignment="1">
      <alignment horizontal="center"/>
    </xf>
    <xf numFmtId="0" fontId="2" fillId="2" borderId="5" xfId="0" applyFont="1" applyFill="1" applyBorder="1" applyAlignment="1">
      <alignment horizontal="center"/>
    </xf>
    <xf numFmtId="0" fontId="0" fillId="3" borderId="4" xfId="0" applyFill="1" applyBorder="1" applyAlignment="1">
      <alignment horizontal="center" vertical="center"/>
    </xf>
    <xf numFmtId="0" fontId="0" fillId="3" borderId="5" xfId="0" applyFill="1" applyBorder="1" applyAlignment="1">
      <alignment horizontal="center" vertical="center"/>
    </xf>
    <xf numFmtId="0" fontId="2" fillId="3" borderId="17" xfId="0" applyFont="1" applyFill="1" applyBorder="1" applyAlignment="1">
      <alignment horizontal="center" vertical="center"/>
    </xf>
    <xf numFmtId="0" fontId="2" fillId="3" borderId="18" xfId="0" applyFont="1" applyFill="1" applyBorder="1" applyAlignment="1">
      <alignment horizontal="center" vertical="center"/>
    </xf>
    <xf numFmtId="0" fontId="0" fillId="0" borderId="10" xfId="0" applyBorder="1" applyAlignment="1">
      <alignment horizontal="center"/>
    </xf>
    <xf numFmtId="0" fontId="0" fillId="0" borderId="2" xfId="0" applyBorder="1" applyAlignment="1">
      <alignment horizontal="center"/>
    </xf>
    <xf numFmtId="0" fontId="2" fillId="3" borderId="1" xfId="0" applyFont="1" applyFill="1" applyBorder="1" applyAlignment="1">
      <alignment horizontal="center" vertical="center" wrapText="1"/>
    </xf>
    <xf numFmtId="0" fontId="0" fillId="3" borderId="17" xfId="0" applyFill="1" applyBorder="1" applyAlignment="1">
      <alignment horizontal="center" vertical="center" wrapText="1"/>
    </xf>
    <xf numFmtId="0" fontId="0" fillId="3" borderId="18" xfId="0" applyFill="1" applyBorder="1" applyAlignment="1">
      <alignment horizontal="center" vertical="center" wrapText="1"/>
    </xf>
    <xf numFmtId="0" fontId="0" fillId="0" borderId="1" xfId="0" applyBorder="1" applyAlignment="1">
      <alignment horizontal="center"/>
    </xf>
    <xf numFmtId="0" fontId="0" fillId="0" borderId="4" xfId="0" applyBorder="1"/>
    <xf numFmtId="0" fontId="0" fillId="0" borderId="5" xfId="0" applyBorder="1"/>
    <xf numFmtId="1" fontId="0" fillId="0" borderId="23" xfId="0" applyNumberFormat="1" applyBorder="1" applyAlignment="1">
      <alignment horizontal="center" vertical="center"/>
    </xf>
    <xf numFmtId="1" fontId="0" fillId="0" borderId="24" xfId="0" applyNumberFormat="1" applyBorder="1" applyAlignment="1">
      <alignment horizontal="center" vertical="center"/>
    </xf>
    <xf numFmtId="1" fontId="2" fillId="3" borderId="4" xfId="0" applyNumberFormat="1" applyFont="1" applyFill="1" applyBorder="1" applyAlignment="1">
      <alignment horizontal="center" vertical="center"/>
    </xf>
    <xf numFmtId="1" fontId="2" fillId="3" borderId="5" xfId="0" applyNumberFormat="1" applyFont="1" applyFill="1" applyBorder="1" applyAlignment="1">
      <alignment horizontal="center" vertical="center"/>
    </xf>
    <xf numFmtId="0" fontId="0" fillId="0" borderId="11" xfId="0" applyBorder="1" applyAlignment="1">
      <alignment horizontal="center" vertical="center"/>
    </xf>
    <xf numFmtId="0" fontId="0" fillId="0" borderId="5" xfId="0" applyBorder="1" applyAlignment="1">
      <alignment horizontal="center" vertical="center"/>
    </xf>
    <xf numFmtId="0" fontId="0" fillId="0" borderId="24" xfId="0" applyBorder="1" applyAlignment="1">
      <alignment horizontal="center" vertical="center"/>
    </xf>
    <xf numFmtId="0" fontId="0" fillId="0" borderId="22" xfId="0" applyBorder="1" applyAlignment="1">
      <alignment horizontal="center" vertical="center"/>
    </xf>
    <xf numFmtId="0" fontId="0" fillId="0" borderId="21" xfId="0" applyBorder="1" applyAlignment="1">
      <alignment horizontal="center" vertical="center"/>
    </xf>
    <xf numFmtId="0" fontId="0" fillId="0" borderId="19" xfId="0" applyBorder="1" applyAlignment="1">
      <alignment horizontal="center" vertical="center"/>
    </xf>
    <xf numFmtId="0" fontId="0" fillId="0" borderId="9" xfId="0" quotePrefix="1" applyBorder="1" applyAlignment="1">
      <alignment horizontal="left" vertical="center" wrapText="1"/>
    </xf>
    <xf numFmtId="0" fontId="0" fillId="0" borderId="7" xfId="0" quotePrefix="1" applyBorder="1" applyAlignment="1">
      <alignment horizontal="left" vertical="center" wrapText="1"/>
    </xf>
    <xf numFmtId="0" fontId="0" fillId="0" borderId="0" xfId="0" quotePrefix="1" applyAlignment="1">
      <alignment horizontal="left" vertical="center" wrapText="1"/>
    </xf>
    <xf numFmtId="0" fontId="0" fillId="0" borderId="6" xfId="0" quotePrefix="1" applyBorder="1" applyAlignment="1">
      <alignment horizontal="left" vertical="center" wrapText="1"/>
    </xf>
    <xf numFmtId="0" fontId="0" fillId="0" borderId="10" xfId="0" quotePrefix="1" applyBorder="1" applyAlignment="1">
      <alignment horizontal="left" vertical="center" wrapText="1"/>
    </xf>
    <xf numFmtId="0" fontId="0" fillId="0" borderId="2" xfId="0" quotePrefix="1" applyBorder="1" applyAlignment="1">
      <alignment horizontal="left" vertical="center" wrapText="1"/>
    </xf>
    <xf numFmtId="0" fontId="0" fillId="0" borderId="11" xfId="0" quotePrefix="1" applyBorder="1" applyAlignment="1">
      <alignment horizontal="left" vertical="center" wrapText="1"/>
    </xf>
    <xf numFmtId="1" fontId="2" fillId="3" borderId="10" xfId="0" applyNumberFormat="1" applyFont="1" applyFill="1" applyBorder="1" applyAlignment="1">
      <alignment horizontal="center" vertical="center"/>
    </xf>
    <xf numFmtId="1" fontId="2" fillId="3" borderId="11" xfId="0" applyNumberFormat="1" applyFont="1" applyFill="1" applyBorder="1" applyAlignment="1">
      <alignment horizontal="center" vertical="center"/>
    </xf>
    <xf numFmtId="0" fontId="0" fillId="3" borderId="1" xfId="0" applyFill="1" applyBorder="1" applyAlignment="1">
      <alignment horizontal="center" vertical="center"/>
    </xf>
    <xf numFmtId="0" fontId="0" fillId="3" borderId="19" xfId="0" applyFill="1" applyBorder="1" applyAlignment="1">
      <alignment horizontal="center" vertical="center"/>
    </xf>
    <xf numFmtId="0" fontId="0" fillId="3" borderId="22" xfId="0" applyFill="1" applyBorder="1" applyAlignment="1">
      <alignment horizontal="center" vertical="center"/>
    </xf>
    <xf numFmtId="0" fontId="0" fillId="0" borderId="1" xfId="0" applyBorder="1"/>
    <xf numFmtId="0" fontId="0" fillId="4" borderId="22" xfId="0" applyFill="1" applyBorder="1" applyAlignment="1">
      <alignment horizontal="center" vertical="center"/>
    </xf>
    <xf numFmtId="0" fontId="0" fillId="4" borderId="1" xfId="0" applyFill="1" applyBorder="1" applyAlignment="1">
      <alignment horizontal="center" vertical="center"/>
    </xf>
    <xf numFmtId="0" fontId="0" fillId="4" borderId="19" xfId="0" applyFill="1" applyBorder="1" applyAlignment="1">
      <alignment horizontal="center" vertical="center"/>
    </xf>
    <xf numFmtId="0" fontId="2" fillId="2" borderId="1" xfId="0" applyFont="1" applyFill="1" applyBorder="1" applyAlignment="1">
      <alignment horizontal="center" vertical="center"/>
    </xf>
    <xf numFmtId="0" fontId="0" fillId="0" borderId="4" xfId="0" applyBorder="1" applyAlignment="1">
      <alignment horizontal="left" vertical="center"/>
    </xf>
    <xf numFmtId="0" fontId="0" fillId="0" borderId="12" xfId="0" applyBorder="1" applyAlignment="1">
      <alignment horizontal="left" vertical="center"/>
    </xf>
    <xf numFmtId="0" fontId="0" fillId="0" borderId="5" xfId="0" applyBorder="1" applyAlignment="1">
      <alignment horizontal="left" vertical="center"/>
    </xf>
    <xf numFmtId="0" fontId="2" fillId="8" borderId="1" xfId="0" applyFont="1" applyFill="1" applyBorder="1" applyAlignment="1">
      <alignment horizontal="center" vertical="center"/>
    </xf>
    <xf numFmtId="0" fontId="14" fillId="0" borderId="0" xfId="0" applyFont="1" applyAlignment="1">
      <alignment horizontal="center" vertical="center"/>
    </xf>
    <xf numFmtId="0" fontId="0" fillId="8" borderId="1" xfId="0" applyFill="1" applyBorder="1" applyAlignment="1">
      <alignment horizontal="center" vertical="center"/>
    </xf>
    <xf numFmtId="0" fontId="15" fillId="2" borderId="4" xfId="0" applyFont="1" applyFill="1" applyBorder="1" applyAlignment="1">
      <alignment horizontal="center" vertical="center" wrapText="1"/>
    </xf>
    <xf numFmtId="0" fontId="15" fillId="2" borderId="12" xfId="0" applyFont="1" applyFill="1" applyBorder="1" applyAlignment="1">
      <alignment horizontal="center" vertical="center" wrapText="1"/>
    </xf>
    <xf numFmtId="0" fontId="15" fillId="2" borderId="5" xfId="0" applyFont="1" applyFill="1" applyBorder="1" applyAlignment="1">
      <alignment horizontal="center" vertical="center" wrapText="1"/>
    </xf>
    <xf numFmtId="0" fontId="15" fillId="2" borderId="43" xfId="0" applyFont="1" applyFill="1" applyBorder="1" applyAlignment="1">
      <alignment horizontal="center" vertical="center" wrapText="1"/>
    </xf>
    <xf numFmtId="0" fontId="15" fillId="2" borderId="1" xfId="0" applyFont="1" applyFill="1" applyBorder="1" applyAlignment="1">
      <alignment horizontal="center" vertical="center" wrapText="1"/>
    </xf>
  </cellXfs>
  <cellStyles count="4">
    <cellStyle name="Moneda [0]" xfId="1" builtinId="7"/>
    <cellStyle name="Normal" xfId="0" builtinId="0"/>
    <cellStyle name="Normal 5" xfId="3" xr:uid="{4AA84E1C-F0AC-4EC0-BC80-E8EC36A388E0}"/>
    <cellStyle name="Porcentaj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8466</xdr:colOff>
      <xdr:row>4</xdr:row>
      <xdr:rowOff>6773</xdr:rowOff>
    </xdr:from>
    <xdr:to>
      <xdr:col>7</xdr:col>
      <xdr:colOff>174201</xdr:colOff>
      <xdr:row>22</xdr:row>
      <xdr:rowOff>58068</xdr:rowOff>
    </xdr:to>
    <xdr:pic>
      <xdr:nvPicPr>
        <xdr:cNvPr id="2" name="Imagen 1">
          <a:extLst>
            <a:ext uri="{FF2B5EF4-FFF2-40B4-BE49-F238E27FC236}">
              <a16:creationId xmlns:a16="http://schemas.microsoft.com/office/drawing/2014/main" id="{516AE8B1-131F-B37E-EA61-A244D76BB4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4333" y="836506"/>
          <a:ext cx="4950460" cy="3396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8466</xdr:colOff>
      <xdr:row>4</xdr:row>
      <xdr:rowOff>6773</xdr:rowOff>
    </xdr:from>
    <xdr:to>
      <xdr:col>7</xdr:col>
      <xdr:colOff>174201</xdr:colOff>
      <xdr:row>22</xdr:row>
      <xdr:rowOff>58068</xdr:rowOff>
    </xdr:to>
    <xdr:pic>
      <xdr:nvPicPr>
        <xdr:cNvPr id="2" name="Imagen 1">
          <a:extLst>
            <a:ext uri="{FF2B5EF4-FFF2-40B4-BE49-F238E27FC236}">
              <a16:creationId xmlns:a16="http://schemas.microsoft.com/office/drawing/2014/main" id="{17304BBD-A172-470C-B68F-E64757A48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946" y="822113"/>
          <a:ext cx="4920615" cy="33431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8466</xdr:colOff>
      <xdr:row>4</xdr:row>
      <xdr:rowOff>6773</xdr:rowOff>
    </xdr:from>
    <xdr:to>
      <xdr:col>7</xdr:col>
      <xdr:colOff>170391</xdr:colOff>
      <xdr:row>22</xdr:row>
      <xdr:rowOff>54258</xdr:rowOff>
    </xdr:to>
    <xdr:pic>
      <xdr:nvPicPr>
        <xdr:cNvPr id="2" name="Imagen 1">
          <a:extLst>
            <a:ext uri="{FF2B5EF4-FFF2-40B4-BE49-F238E27FC236}">
              <a16:creationId xmlns:a16="http://schemas.microsoft.com/office/drawing/2014/main" id="{003166DB-0C29-42EA-84A4-018C3E6F5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946" y="822113"/>
          <a:ext cx="4920615" cy="33431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B12EC-79F9-4DD3-9255-C8A113831C93}">
  <dimension ref="B2:N50"/>
  <sheetViews>
    <sheetView topLeftCell="G3" zoomScale="90" zoomScaleNormal="90" workbookViewId="0">
      <selection activeCell="J6" sqref="J6"/>
    </sheetView>
  </sheetViews>
  <sheetFormatPr baseColWidth="10" defaultRowHeight="14.4" x14ac:dyDescent="0.3"/>
  <cols>
    <col min="1" max="1" width="4.88671875" customWidth="1"/>
    <col min="2" max="2" width="15.109375" customWidth="1"/>
    <col min="3" max="3" width="27.6640625" customWidth="1"/>
    <col min="4" max="4" width="23.88671875" customWidth="1"/>
    <col min="5" max="5" width="25.33203125" customWidth="1"/>
    <col min="6" max="6" width="31" customWidth="1"/>
    <col min="7" max="7" width="31.21875" customWidth="1"/>
    <col min="8" max="8" width="31.33203125" customWidth="1"/>
    <col min="9" max="9" width="31.77734375" customWidth="1"/>
    <col min="10" max="10" width="33.44140625" customWidth="1"/>
    <col min="11" max="11" width="34.21875" customWidth="1"/>
    <col min="12" max="12" width="33.44140625" customWidth="1"/>
    <col min="13" max="13" width="26.33203125" customWidth="1"/>
    <col min="14" max="14" width="17.6640625" customWidth="1"/>
    <col min="15" max="15" width="13.33203125" customWidth="1"/>
    <col min="16" max="16" width="13.21875" customWidth="1"/>
    <col min="17" max="17" width="13" customWidth="1"/>
    <col min="18" max="18" width="21.21875" customWidth="1"/>
    <col min="20" max="21" width="12.21875" customWidth="1"/>
  </cols>
  <sheetData>
    <row r="2" spans="2:13" ht="23.4" x14ac:dyDescent="0.3">
      <c r="B2" s="128" t="s">
        <v>23</v>
      </c>
      <c r="C2" s="128"/>
      <c r="D2" s="128"/>
      <c r="E2" s="128"/>
    </row>
    <row r="4" spans="2:13" ht="14.4" customHeight="1" x14ac:dyDescent="0.3">
      <c r="D4" s="130" t="s">
        <v>26</v>
      </c>
      <c r="E4" s="130"/>
      <c r="F4" s="130"/>
      <c r="G4" s="130"/>
      <c r="H4" s="130"/>
      <c r="I4" s="130"/>
      <c r="J4" s="129" t="s">
        <v>27</v>
      </c>
      <c r="K4" s="129"/>
      <c r="L4" s="129"/>
      <c r="M4" s="129"/>
    </row>
    <row r="5" spans="2:13" x14ac:dyDescent="0.3">
      <c r="B5" s="58" t="s">
        <v>2</v>
      </c>
      <c r="C5" s="59" t="s">
        <v>118</v>
      </c>
      <c r="D5" s="79" t="s">
        <v>140</v>
      </c>
      <c r="E5" s="79" t="s">
        <v>141</v>
      </c>
      <c r="F5" s="79" t="s">
        <v>142</v>
      </c>
      <c r="G5" s="79" t="s">
        <v>143</v>
      </c>
      <c r="H5" s="79" t="s">
        <v>148</v>
      </c>
      <c r="I5" s="79" t="s">
        <v>180</v>
      </c>
      <c r="J5" s="77" t="s">
        <v>144</v>
      </c>
      <c r="K5" s="77" t="s">
        <v>145</v>
      </c>
      <c r="L5" s="77" t="s">
        <v>146</v>
      </c>
      <c r="M5" s="78" t="s">
        <v>147</v>
      </c>
    </row>
    <row r="6" spans="2:13" x14ac:dyDescent="0.3">
      <c r="B6" s="61" t="s">
        <v>6</v>
      </c>
      <c r="C6" s="29" t="s">
        <v>119</v>
      </c>
      <c r="D6" s="5">
        <f t="shared" ref="D6:F10" si="0">D26</f>
        <v>0</v>
      </c>
      <c r="E6" s="5">
        <f t="shared" si="0"/>
        <v>111</v>
      </c>
      <c r="F6" s="5">
        <f t="shared" si="0"/>
        <v>296</v>
      </c>
      <c r="G6" s="5">
        <f t="shared" ref="G6:G7" si="1">G26</f>
        <v>737.14</v>
      </c>
      <c r="H6" s="5">
        <f t="shared" ref="H6:I10" si="2">H26</f>
        <v>18.350999999999999</v>
      </c>
      <c r="I6" s="5">
        <f t="shared" si="2"/>
        <v>1.3789473684210527</v>
      </c>
      <c r="J6" s="5">
        <f>'Opciones CAPEX'!$H$72</f>
        <v>46.76</v>
      </c>
      <c r="K6" s="5">
        <f>'Opciones CAPEX'!$H$73</f>
        <v>58.45</v>
      </c>
      <c r="L6" s="5">
        <f>'Opciones CAPEX'!$H$74</f>
        <v>155.85</v>
      </c>
      <c r="M6" s="5">
        <v>0</v>
      </c>
    </row>
    <row r="7" spans="2:13" x14ac:dyDescent="0.3">
      <c r="B7" s="61" t="s">
        <v>174</v>
      </c>
      <c r="C7" s="29" t="s">
        <v>119</v>
      </c>
      <c r="D7" s="5">
        <f t="shared" si="0"/>
        <v>50000</v>
      </c>
      <c r="E7" s="5">
        <f t="shared" si="0"/>
        <v>115</v>
      </c>
      <c r="F7" s="5">
        <f t="shared" si="0"/>
        <v>300</v>
      </c>
      <c r="G7" s="5">
        <f t="shared" si="1"/>
        <v>741.14</v>
      </c>
      <c r="H7" s="5">
        <f t="shared" si="2"/>
        <v>18.350999999999999</v>
      </c>
      <c r="I7" s="5">
        <f t="shared" si="2"/>
        <v>1.3789473684210527</v>
      </c>
      <c r="J7" s="5">
        <f>'Opciones CAPEX'!$H$72</f>
        <v>46.76</v>
      </c>
      <c r="K7" s="5">
        <f>'Opciones CAPEX'!$H$73</f>
        <v>58.45</v>
      </c>
      <c r="L7" s="5">
        <f>'Opciones CAPEX'!$H$74</f>
        <v>155.85</v>
      </c>
      <c r="M7" s="5">
        <f>L7</f>
        <v>155.85</v>
      </c>
    </row>
    <row r="8" spans="2:13" x14ac:dyDescent="0.3">
      <c r="B8" s="61" t="s">
        <v>176</v>
      </c>
      <c r="C8" s="29" t="s">
        <v>119</v>
      </c>
      <c r="D8" s="5">
        <f t="shared" si="0"/>
        <v>950</v>
      </c>
      <c r="E8" s="5">
        <f t="shared" si="0"/>
        <v>115</v>
      </c>
      <c r="F8" s="5">
        <f t="shared" si="0"/>
        <v>300</v>
      </c>
      <c r="G8" s="5">
        <f t="shared" ref="G8" si="3">G28</f>
        <v>741.14</v>
      </c>
      <c r="H8" s="5">
        <f t="shared" si="2"/>
        <v>18.350999999999999</v>
      </c>
      <c r="I8" s="5">
        <f t="shared" si="2"/>
        <v>1.3789473684210527</v>
      </c>
      <c r="J8" s="5">
        <f>'Opciones CAPEX'!$H$72</f>
        <v>46.76</v>
      </c>
      <c r="K8" s="5">
        <f>'Opciones CAPEX'!$H$73</f>
        <v>58.45</v>
      </c>
      <c r="L8" s="5">
        <f>'Opciones CAPEX'!$H$74</f>
        <v>155.85</v>
      </c>
      <c r="M8" s="5">
        <f>'Opciones CAPEX'!$H$75</f>
        <v>58.45</v>
      </c>
    </row>
    <row r="9" spans="2:13" x14ac:dyDescent="0.3">
      <c r="B9" s="61" t="s">
        <v>177</v>
      </c>
      <c r="C9" s="29" t="s">
        <v>119</v>
      </c>
      <c r="D9" s="5">
        <f t="shared" si="0"/>
        <v>950</v>
      </c>
      <c r="E9" s="5">
        <f t="shared" si="0"/>
        <v>115</v>
      </c>
      <c r="F9" s="5">
        <f t="shared" si="0"/>
        <v>300</v>
      </c>
      <c r="G9" s="5">
        <f t="shared" ref="G9" si="4">G29</f>
        <v>741.14</v>
      </c>
      <c r="H9" s="5">
        <f t="shared" si="2"/>
        <v>18.350999999999999</v>
      </c>
      <c r="I9" s="5">
        <f t="shared" si="2"/>
        <v>1.3789473684210527</v>
      </c>
      <c r="J9" s="5">
        <f>'Opciones CAPEX'!$H$72</f>
        <v>46.76</v>
      </c>
      <c r="K9" s="5">
        <f>'Opciones CAPEX'!$H$73</f>
        <v>58.45</v>
      </c>
      <c r="L9" s="5">
        <f>'Opciones CAPEX'!$H$74</f>
        <v>155.85</v>
      </c>
      <c r="M9" s="5">
        <f>'Opciones CAPEX'!$H$75</f>
        <v>58.45</v>
      </c>
    </row>
    <row r="10" spans="2:13" ht="15" thickBot="1" x14ac:dyDescent="0.35">
      <c r="B10" s="62" t="s">
        <v>78</v>
      </c>
      <c r="C10" s="63" t="s">
        <v>119</v>
      </c>
      <c r="D10" s="20">
        <f t="shared" si="0"/>
        <v>713.48867140214247</v>
      </c>
      <c r="E10" s="20">
        <f t="shared" si="0"/>
        <v>114.89364593563712</v>
      </c>
      <c r="F10" s="20">
        <f t="shared" si="0"/>
        <v>299.8936459356371</v>
      </c>
      <c r="G10" s="20">
        <f t="shared" ref="G10" si="5">G30</f>
        <v>741.03364593563708</v>
      </c>
      <c r="H10" s="20">
        <f t="shared" si="2"/>
        <v>18.350999999999999</v>
      </c>
      <c r="I10" s="20">
        <f t="shared" si="2"/>
        <v>1.3789473684210527</v>
      </c>
      <c r="J10" s="20">
        <f>'Opciones CAPEX'!$H$72</f>
        <v>46.76</v>
      </c>
      <c r="K10" s="20">
        <f>'Opciones CAPEX'!$H$73</f>
        <v>58.45</v>
      </c>
      <c r="L10" s="20">
        <f>'Opciones CAPEX'!$H$74</f>
        <v>155.85</v>
      </c>
      <c r="M10" s="20">
        <f>'Opciones CAPEX'!$H$75</f>
        <v>58.45</v>
      </c>
    </row>
    <row r="11" spans="2:13" x14ac:dyDescent="0.3">
      <c r="B11" s="61" t="s">
        <v>6</v>
      </c>
      <c r="C11" s="65" t="s">
        <v>122</v>
      </c>
      <c r="D11" s="19">
        <f t="shared" ref="D11:F11" si="6">D26</f>
        <v>0</v>
      </c>
      <c r="E11" s="19">
        <f t="shared" si="6"/>
        <v>111</v>
      </c>
      <c r="F11" s="19">
        <f t="shared" si="6"/>
        <v>296</v>
      </c>
      <c r="G11" s="19">
        <f t="shared" ref="G11" si="7">G26</f>
        <v>737.14</v>
      </c>
      <c r="H11" s="19">
        <f t="shared" ref="H11:I15" si="8">H26</f>
        <v>18.350999999999999</v>
      </c>
      <c r="I11" s="19">
        <f t="shared" si="8"/>
        <v>1.3789473684210527</v>
      </c>
      <c r="J11" s="19">
        <f>'Opciones CAPEX'!$H$76</f>
        <v>58.449999999999996</v>
      </c>
      <c r="K11" s="19">
        <f>'Opciones CAPEX'!$H$77</f>
        <v>77.933333333333337</v>
      </c>
      <c r="L11" s="19">
        <f>'Opciones CAPEX'!$H$78</f>
        <v>155.85</v>
      </c>
      <c r="M11" s="19">
        <v>0</v>
      </c>
    </row>
    <row r="12" spans="2:13" x14ac:dyDescent="0.3">
      <c r="B12" s="61" t="s">
        <v>174</v>
      </c>
      <c r="C12" s="29" t="s">
        <v>122</v>
      </c>
      <c r="D12" s="5">
        <f t="shared" ref="D12:F15" si="9">D27</f>
        <v>50000</v>
      </c>
      <c r="E12" s="5">
        <f t="shared" si="9"/>
        <v>115</v>
      </c>
      <c r="F12" s="5">
        <f t="shared" si="9"/>
        <v>300</v>
      </c>
      <c r="G12" s="5">
        <f>G27</f>
        <v>741.14</v>
      </c>
      <c r="H12" s="5">
        <f t="shared" si="8"/>
        <v>18.350999999999999</v>
      </c>
      <c r="I12" s="5">
        <f t="shared" si="8"/>
        <v>1.3789473684210527</v>
      </c>
      <c r="J12" s="5">
        <f>'Opciones CAPEX'!$H$76</f>
        <v>58.449999999999996</v>
      </c>
      <c r="K12" s="5">
        <f>'Opciones CAPEX'!$H$77</f>
        <v>77.933333333333337</v>
      </c>
      <c r="L12" s="5">
        <f>'Opciones CAPEX'!$H$78</f>
        <v>155.85</v>
      </c>
      <c r="M12" s="17">
        <f>L12</f>
        <v>155.85</v>
      </c>
    </row>
    <row r="13" spans="2:13" x14ac:dyDescent="0.3">
      <c r="B13" s="61" t="s">
        <v>176</v>
      </c>
      <c r="C13" s="29" t="s">
        <v>122</v>
      </c>
      <c r="D13" s="5">
        <f t="shared" si="9"/>
        <v>950</v>
      </c>
      <c r="E13" s="5">
        <f t="shared" si="9"/>
        <v>115</v>
      </c>
      <c r="F13" s="5">
        <f t="shared" si="9"/>
        <v>300</v>
      </c>
      <c r="G13" s="5">
        <f>G28</f>
        <v>741.14</v>
      </c>
      <c r="H13" s="5">
        <f t="shared" si="8"/>
        <v>18.350999999999999</v>
      </c>
      <c r="I13" s="5">
        <f t="shared" si="8"/>
        <v>1.3789473684210527</v>
      </c>
      <c r="J13" s="5">
        <f>'Opciones CAPEX'!$H$76</f>
        <v>58.449999999999996</v>
      </c>
      <c r="K13" s="5">
        <f>'Opciones CAPEX'!$H$77</f>
        <v>77.933333333333337</v>
      </c>
      <c r="L13" s="5">
        <f>'Opciones CAPEX'!$H$78</f>
        <v>155.85</v>
      </c>
      <c r="M13" s="5">
        <f>'Opciones CAPEX'!$H$79</f>
        <v>77.933333333333337</v>
      </c>
    </row>
    <row r="14" spans="2:13" x14ac:dyDescent="0.3">
      <c r="B14" s="61" t="s">
        <v>177</v>
      </c>
      <c r="C14" s="29" t="s">
        <v>122</v>
      </c>
      <c r="D14" s="5">
        <f t="shared" si="9"/>
        <v>950</v>
      </c>
      <c r="E14" s="5">
        <f t="shared" si="9"/>
        <v>115</v>
      </c>
      <c r="F14" s="5">
        <f t="shared" si="9"/>
        <v>300</v>
      </c>
      <c r="G14" s="5">
        <f t="shared" ref="G14" si="10">G29</f>
        <v>741.14</v>
      </c>
      <c r="H14" s="5">
        <f t="shared" si="8"/>
        <v>18.350999999999999</v>
      </c>
      <c r="I14" s="5">
        <f t="shared" si="8"/>
        <v>1.3789473684210527</v>
      </c>
      <c r="J14" s="5">
        <f>'Opciones CAPEX'!$H$76</f>
        <v>58.449999999999996</v>
      </c>
      <c r="K14" s="5">
        <f>'Opciones CAPEX'!$H$77</f>
        <v>77.933333333333337</v>
      </c>
      <c r="L14" s="5">
        <f>'Opciones CAPEX'!$H$78</f>
        <v>155.85</v>
      </c>
      <c r="M14" s="5">
        <f>'Opciones CAPEX'!$H$79</f>
        <v>77.933333333333337</v>
      </c>
    </row>
    <row r="15" spans="2:13" ht="15" thickBot="1" x14ac:dyDescent="0.35">
      <c r="B15" s="62" t="s">
        <v>78</v>
      </c>
      <c r="C15" s="63" t="s">
        <v>122</v>
      </c>
      <c r="D15" s="20">
        <f t="shared" si="9"/>
        <v>713.48867140214247</v>
      </c>
      <c r="E15" s="20">
        <f t="shared" si="9"/>
        <v>114.89364593563712</v>
      </c>
      <c r="F15" s="20">
        <f t="shared" si="9"/>
        <v>299.8936459356371</v>
      </c>
      <c r="G15" s="20">
        <f t="shared" ref="G15" si="11">G30</f>
        <v>741.03364593563708</v>
      </c>
      <c r="H15" s="20">
        <f t="shared" si="8"/>
        <v>18.350999999999999</v>
      </c>
      <c r="I15" s="20">
        <f t="shared" si="8"/>
        <v>1.3789473684210527</v>
      </c>
      <c r="J15" s="20">
        <f>'Opciones CAPEX'!$H$76</f>
        <v>58.449999999999996</v>
      </c>
      <c r="K15" s="20">
        <f>'Opciones CAPEX'!$H$77</f>
        <v>77.933333333333337</v>
      </c>
      <c r="L15" s="20">
        <f>'Opciones CAPEX'!$H$78</f>
        <v>155.85</v>
      </c>
      <c r="M15" s="20">
        <f>'Opciones CAPEX'!$H$79</f>
        <v>77.933333333333337</v>
      </c>
    </row>
    <row r="16" spans="2:13" x14ac:dyDescent="0.3">
      <c r="B16" s="61" t="s">
        <v>6</v>
      </c>
      <c r="C16" s="65" t="s">
        <v>120</v>
      </c>
      <c r="D16" s="19">
        <f t="shared" ref="D16:I16" si="12">D26</f>
        <v>0</v>
      </c>
      <c r="E16" s="19">
        <f t="shared" si="12"/>
        <v>111</v>
      </c>
      <c r="F16" s="19">
        <f t="shared" si="12"/>
        <v>296</v>
      </c>
      <c r="G16" s="19">
        <f t="shared" si="12"/>
        <v>737.14</v>
      </c>
      <c r="H16" s="19">
        <f t="shared" si="12"/>
        <v>18.350999999999999</v>
      </c>
      <c r="I16" s="19">
        <f t="shared" si="12"/>
        <v>1.3789473684210527</v>
      </c>
      <c r="J16" s="19">
        <f>'Opciones CAPEX'!$H$80</f>
        <v>77.933333333333323</v>
      </c>
      <c r="K16" s="19">
        <f>'Opciones CAPEX'!$H$81</f>
        <v>116.9</v>
      </c>
      <c r="L16" s="19">
        <f>'Opciones CAPEX'!$H$82</f>
        <v>233.77499999999998</v>
      </c>
      <c r="M16" s="19">
        <v>0</v>
      </c>
    </row>
    <row r="17" spans="2:13" x14ac:dyDescent="0.3">
      <c r="B17" s="61" t="s">
        <v>174</v>
      </c>
      <c r="C17" s="29" t="s">
        <v>120</v>
      </c>
      <c r="D17" s="5">
        <f t="shared" ref="D17:F20" si="13">D27</f>
        <v>50000</v>
      </c>
      <c r="E17" s="5">
        <f t="shared" si="13"/>
        <v>115</v>
      </c>
      <c r="F17" s="5">
        <f t="shared" si="13"/>
        <v>300</v>
      </c>
      <c r="G17" s="5">
        <f t="shared" ref="G17:G18" si="14">G27</f>
        <v>741.14</v>
      </c>
      <c r="H17" s="5">
        <f t="shared" ref="H17:I20" si="15">H27</f>
        <v>18.350999999999999</v>
      </c>
      <c r="I17" s="5">
        <f t="shared" si="15"/>
        <v>1.3789473684210527</v>
      </c>
      <c r="J17" s="5">
        <f>'Opciones CAPEX'!$H$80</f>
        <v>77.933333333333323</v>
      </c>
      <c r="K17" s="5">
        <f>'Opciones CAPEX'!$H$81</f>
        <v>116.9</v>
      </c>
      <c r="L17" s="5">
        <f>'Opciones CAPEX'!$H$82</f>
        <v>233.77499999999998</v>
      </c>
      <c r="M17" s="17">
        <f>L17</f>
        <v>233.77499999999998</v>
      </c>
    </row>
    <row r="18" spans="2:13" x14ac:dyDescent="0.3">
      <c r="B18" s="61" t="s">
        <v>176</v>
      </c>
      <c r="C18" s="29" t="s">
        <v>120</v>
      </c>
      <c r="D18" s="5">
        <f t="shared" si="13"/>
        <v>950</v>
      </c>
      <c r="E18" s="5">
        <f t="shared" si="13"/>
        <v>115</v>
      </c>
      <c r="F18" s="5">
        <f t="shared" si="13"/>
        <v>300</v>
      </c>
      <c r="G18" s="5">
        <f t="shared" si="14"/>
        <v>741.14</v>
      </c>
      <c r="H18" s="5">
        <f t="shared" si="15"/>
        <v>18.350999999999999</v>
      </c>
      <c r="I18" s="5">
        <f t="shared" si="15"/>
        <v>1.3789473684210527</v>
      </c>
      <c r="J18" s="5">
        <f>'Opciones CAPEX'!$H$80</f>
        <v>77.933333333333323</v>
      </c>
      <c r="K18" s="5">
        <f>'Opciones CAPEX'!$H$81</f>
        <v>116.9</v>
      </c>
      <c r="L18" s="5">
        <f>'Opciones CAPEX'!$H$82</f>
        <v>233.77499999999998</v>
      </c>
      <c r="M18" s="5">
        <f>'Opciones CAPEX'!$H$83</f>
        <v>116.9</v>
      </c>
    </row>
    <row r="19" spans="2:13" x14ac:dyDescent="0.3">
      <c r="B19" s="61" t="s">
        <v>177</v>
      </c>
      <c r="C19" s="29" t="s">
        <v>120</v>
      </c>
      <c r="D19" s="5">
        <f t="shared" si="13"/>
        <v>950</v>
      </c>
      <c r="E19" s="5">
        <f t="shared" si="13"/>
        <v>115</v>
      </c>
      <c r="F19" s="5">
        <f t="shared" si="13"/>
        <v>300</v>
      </c>
      <c r="G19" s="5">
        <f t="shared" ref="G19" si="16">G29</f>
        <v>741.14</v>
      </c>
      <c r="H19" s="5">
        <f t="shared" si="15"/>
        <v>18.350999999999999</v>
      </c>
      <c r="I19" s="5">
        <f t="shared" si="15"/>
        <v>1.3789473684210527</v>
      </c>
      <c r="J19" s="5">
        <f>'Opciones CAPEX'!$H$80</f>
        <v>77.933333333333323</v>
      </c>
      <c r="K19" s="5">
        <f>'Opciones CAPEX'!$H$81</f>
        <v>116.9</v>
      </c>
      <c r="L19" s="5">
        <f>'Opciones CAPEX'!$H$82</f>
        <v>233.77499999999998</v>
      </c>
      <c r="M19" s="5">
        <f>'Opciones CAPEX'!$H$83</f>
        <v>116.9</v>
      </c>
    </row>
    <row r="20" spans="2:13" ht="15" thickBot="1" x14ac:dyDescent="0.35">
      <c r="B20" s="62" t="s">
        <v>78</v>
      </c>
      <c r="C20" s="63" t="s">
        <v>120</v>
      </c>
      <c r="D20" s="20">
        <f t="shared" si="13"/>
        <v>713.48867140214247</v>
      </c>
      <c r="E20" s="20">
        <f t="shared" si="13"/>
        <v>114.89364593563712</v>
      </c>
      <c r="F20" s="20">
        <f t="shared" si="13"/>
        <v>299.8936459356371</v>
      </c>
      <c r="G20" s="20">
        <f t="shared" ref="G20" si="17">G30</f>
        <v>741.03364593563708</v>
      </c>
      <c r="H20" s="20">
        <f t="shared" si="15"/>
        <v>18.350999999999999</v>
      </c>
      <c r="I20" s="20">
        <f t="shared" si="15"/>
        <v>1.3789473684210527</v>
      </c>
      <c r="J20" s="20">
        <f>'Opciones CAPEX'!$H$80</f>
        <v>77.933333333333323</v>
      </c>
      <c r="K20" s="20">
        <f>'Opciones CAPEX'!$H$81</f>
        <v>116.9</v>
      </c>
      <c r="L20" s="20">
        <f>'Opciones CAPEX'!$H$82</f>
        <v>233.77499999999998</v>
      </c>
      <c r="M20" s="20">
        <f>'Opciones CAPEX'!$H$83</f>
        <v>116.9</v>
      </c>
    </row>
    <row r="21" spans="2:13" x14ac:dyDescent="0.3">
      <c r="B21" s="61" t="s">
        <v>6</v>
      </c>
      <c r="C21" s="65" t="s">
        <v>123</v>
      </c>
      <c r="D21" s="19">
        <f t="shared" ref="D21:F21" si="18">D26</f>
        <v>0</v>
      </c>
      <c r="E21" s="19">
        <f t="shared" si="18"/>
        <v>111</v>
      </c>
      <c r="F21" s="19">
        <f t="shared" si="18"/>
        <v>296</v>
      </c>
      <c r="G21" s="19">
        <f>G26</f>
        <v>737.14</v>
      </c>
      <c r="H21" s="19">
        <f>H26</f>
        <v>18.350999999999999</v>
      </c>
      <c r="I21" s="19">
        <f>I26</f>
        <v>1.3789473684210527</v>
      </c>
      <c r="J21" s="19">
        <f>'Opciones CAPEX'!$H$84</f>
        <v>116.89999999999999</v>
      </c>
      <c r="K21" s="19">
        <f>'Opciones CAPEX'!$H$85</f>
        <v>155.86666666666667</v>
      </c>
      <c r="L21" s="19">
        <f>'Opciones CAPEX'!$H$86</f>
        <v>233.77499999999998</v>
      </c>
      <c r="M21" s="19">
        <v>0</v>
      </c>
    </row>
    <row r="22" spans="2:13" x14ac:dyDescent="0.3">
      <c r="B22" s="61" t="s">
        <v>174</v>
      </c>
      <c r="C22" s="29" t="s">
        <v>123</v>
      </c>
      <c r="D22" s="5">
        <f t="shared" ref="D22:F25" si="19">D27</f>
        <v>50000</v>
      </c>
      <c r="E22" s="5">
        <f t="shared" si="19"/>
        <v>115</v>
      </c>
      <c r="F22" s="5">
        <f t="shared" si="19"/>
        <v>300</v>
      </c>
      <c r="G22" s="5">
        <f t="shared" ref="G22:G23" si="20">G27</f>
        <v>741.14</v>
      </c>
      <c r="H22" s="5">
        <f t="shared" ref="H22:I25" si="21">H27</f>
        <v>18.350999999999999</v>
      </c>
      <c r="I22" s="5">
        <f t="shared" si="21"/>
        <v>1.3789473684210527</v>
      </c>
      <c r="J22" s="5">
        <f>'Opciones CAPEX'!$H$84</f>
        <v>116.89999999999999</v>
      </c>
      <c r="K22" s="5">
        <f>'Opciones CAPEX'!$H$85</f>
        <v>155.86666666666667</v>
      </c>
      <c r="L22" s="5">
        <f>'Opciones CAPEX'!$H$86</f>
        <v>233.77499999999998</v>
      </c>
      <c r="M22" s="17">
        <f>L22</f>
        <v>233.77499999999998</v>
      </c>
    </row>
    <row r="23" spans="2:13" x14ac:dyDescent="0.3">
      <c r="B23" s="61" t="s">
        <v>176</v>
      </c>
      <c r="C23" s="29" t="s">
        <v>123</v>
      </c>
      <c r="D23" s="5">
        <f t="shared" si="19"/>
        <v>950</v>
      </c>
      <c r="E23" s="5">
        <f t="shared" si="19"/>
        <v>115</v>
      </c>
      <c r="F23" s="5">
        <f t="shared" si="19"/>
        <v>300</v>
      </c>
      <c r="G23" s="5">
        <f t="shared" si="20"/>
        <v>741.14</v>
      </c>
      <c r="H23" s="5">
        <f t="shared" si="21"/>
        <v>18.350999999999999</v>
      </c>
      <c r="I23" s="5">
        <f t="shared" si="21"/>
        <v>1.3789473684210527</v>
      </c>
      <c r="J23" s="5">
        <f>'Opciones CAPEX'!$H$84</f>
        <v>116.89999999999999</v>
      </c>
      <c r="K23" s="5">
        <f>'Opciones CAPEX'!$H$85</f>
        <v>155.86666666666667</v>
      </c>
      <c r="L23" s="5">
        <f>'Opciones CAPEX'!$H$86</f>
        <v>233.77499999999998</v>
      </c>
      <c r="M23" s="5">
        <f>'Opciones CAPEX'!$H$87</f>
        <v>155.86666666666667</v>
      </c>
    </row>
    <row r="24" spans="2:13" x14ac:dyDescent="0.3">
      <c r="B24" s="61" t="s">
        <v>177</v>
      </c>
      <c r="C24" s="29" t="s">
        <v>123</v>
      </c>
      <c r="D24" s="5">
        <f t="shared" si="19"/>
        <v>950</v>
      </c>
      <c r="E24" s="5">
        <f t="shared" si="19"/>
        <v>115</v>
      </c>
      <c r="F24" s="5">
        <f t="shared" si="19"/>
        <v>300</v>
      </c>
      <c r="G24" s="5">
        <f>G29</f>
        <v>741.14</v>
      </c>
      <c r="H24" s="5">
        <f t="shared" si="21"/>
        <v>18.350999999999999</v>
      </c>
      <c r="I24" s="5">
        <f t="shared" si="21"/>
        <v>1.3789473684210527</v>
      </c>
      <c r="J24" s="5">
        <f>'Opciones CAPEX'!$H$84</f>
        <v>116.89999999999999</v>
      </c>
      <c r="K24" s="5">
        <f>'Opciones CAPEX'!$H$85</f>
        <v>155.86666666666667</v>
      </c>
      <c r="L24" s="5">
        <f>'Opciones CAPEX'!$H$86</f>
        <v>233.77499999999998</v>
      </c>
      <c r="M24" s="5">
        <f>'Opciones CAPEX'!$H$87</f>
        <v>155.86666666666667</v>
      </c>
    </row>
    <row r="25" spans="2:13" ht="15" thickBot="1" x14ac:dyDescent="0.35">
      <c r="B25" s="62" t="s">
        <v>78</v>
      </c>
      <c r="C25" s="63" t="s">
        <v>123</v>
      </c>
      <c r="D25" s="20">
        <f t="shared" si="19"/>
        <v>713.48867140214247</v>
      </c>
      <c r="E25" s="20">
        <f t="shared" si="19"/>
        <v>114.89364593563712</v>
      </c>
      <c r="F25" s="20">
        <f t="shared" si="19"/>
        <v>299.8936459356371</v>
      </c>
      <c r="G25" s="20">
        <f t="shared" ref="G25" si="22">G30</f>
        <v>741.03364593563708</v>
      </c>
      <c r="H25" s="20">
        <f t="shared" si="21"/>
        <v>18.350999999999999</v>
      </c>
      <c r="I25" s="20">
        <f t="shared" si="21"/>
        <v>1.3789473684210527</v>
      </c>
      <c r="J25" s="20">
        <f>'Opciones CAPEX'!$H$84</f>
        <v>116.89999999999999</v>
      </c>
      <c r="K25" s="20">
        <f>'Opciones CAPEX'!$H$85</f>
        <v>155.86666666666667</v>
      </c>
      <c r="L25" s="20">
        <f>'Opciones CAPEX'!$H$86</f>
        <v>233.77499999999998</v>
      </c>
      <c r="M25" s="20">
        <f>'Opciones CAPEX'!$H$87</f>
        <v>155.86666666666667</v>
      </c>
    </row>
    <row r="26" spans="2:13" x14ac:dyDescent="0.3">
      <c r="B26" s="66" t="s">
        <v>6</v>
      </c>
      <c r="C26" s="67" t="s">
        <v>121</v>
      </c>
      <c r="D26" s="68">
        <f>'Opciones CAPEX'!F37</f>
        <v>0</v>
      </c>
      <c r="E26" s="68">
        <f>'Opciones CAPEX'!G37</f>
        <v>111</v>
      </c>
      <c r="F26" s="68">
        <f>'Opciones CAPEX'!H37</f>
        <v>296</v>
      </c>
      <c r="G26" s="68">
        <f>F26+'Opciones CAPEX'!E37</f>
        <v>737.14</v>
      </c>
      <c r="H26" s="68">
        <f>'Opciones CAPEX'!I37</f>
        <v>18.350999999999999</v>
      </c>
      <c r="I26" s="68">
        <f>'Opciones CAPEX'!J37</f>
        <v>1.3789473684210527</v>
      </c>
      <c r="J26" s="71">
        <f>'Opciones CAPEX'!$H$88</f>
        <v>155.86666666666665</v>
      </c>
      <c r="K26" s="71">
        <f>'Opciones CAPEX'!$H$89</f>
        <v>233.8</v>
      </c>
      <c r="L26" s="71">
        <f>'Opciones CAPEX'!$H$90</f>
        <v>467.54999999999995</v>
      </c>
      <c r="M26" s="71">
        <v>0</v>
      </c>
    </row>
    <row r="27" spans="2:13" x14ac:dyDescent="0.3">
      <c r="B27" s="66" t="s">
        <v>174</v>
      </c>
      <c r="C27" s="67" t="s">
        <v>121</v>
      </c>
      <c r="D27" s="68">
        <f>'Opciones CAPEX'!F38</f>
        <v>50000</v>
      </c>
      <c r="E27" s="68">
        <f>'Opciones CAPEX'!G38</f>
        <v>115</v>
      </c>
      <c r="F27" s="68">
        <f>'Opciones CAPEX'!H38</f>
        <v>300</v>
      </c>
      <c r="G27" s="68">
        <f>F27+'Opciones CAPEX'!E38</f>
        <v>741.14</v>
      </c>
      <c r="H27" s="68">
        <f>'Opciones CAPEX'!I38</f>
        <v>18.350999999999999</v>
      </c>
      <c r="I27" s="68">
        <f>'Opciones CAPEX'!J38</f>
        <v>1.3789473684210527</v>
      </c>
      <c r="J27" s="72">
        <f>'Opciones CAPEX'!$H$88</f>
        <v>155.86666666666665</v>
      </c>
      <c r="K27" s="72">
        <f>'Opciones CAPEX'!$H$89</f>
        <v>233.8</v>
      </c>
      <c r="L27" s="72">
        <f>'Opciones CAPEX'!$H$90</f>
        <v>467.54999999999995</v>
      </c>
      <c r="M27" s="71">
        <f>L27</f>
        <v>467.54999999999995</v>
      </c>
    </row>
    <row r="28" spans="2:13" x14ac:dyDescent="0.3">
      <c r="B28" s="69" t="s">
        <v>176</v>
      </c>
      <c r="C28" s="28" t="s">
        <v>121</v>
      </c>
      <c r="D28" s="68">
        <f>'Opciones CAPEX'!F39</f>
        <v>950</v>
      </c>
      <c r="E28" s="68">
        <f>'Opciones CAPEX'!G39</f>
        <v>115</v>
      </c>
      <c r="F28" s="68">
        <f>'Opciones CAPEX'!H39</f>
        <v>300</v>
      </c>
      <c r="G28" s="68">
        <f>F28+'Opciones CAPEX'!E39</f>
        <v>741.14</v>
      </c>
      <c r="H28" s="68">
        <f>'Opciones CAPEX'!I39</f>
        <v>18.350999999999999</v>
      </c>
      <c r="I28" s="68">
        <f>'Opciones CAPEX'!J39</f>
        <v>1.3789473684210527</v>
      </c>
      <c r="J28" s="72">
        <f>'Opciones CAPEX'!$H$88</f>
        <v>155.86666666666665</v>
      </c>
      <c r="K28" s="72">
        <f>'Opciones CAPEX'!$H$89</f>
        <v>233.8</v>
      </c>
      <c r="L28" s="72">
        <f>'Opciones CAPEX'!$H$90</f>
        <v>467.54999999999995</v>
      </c>
      <c r="M28" s="72">
        <f>'Opciones CAPEX'!$H$91</f>
        <v>233.8</v>
      </c>
    </row>
    <row r="29" spans="2:13" x14ac:dyDescent="0.3">
      <c r="B29" s="69" t="s">
        <v>177</v>
      </c>
      <c r="C29" s="28" t="s">
        <v>121</v>
      </c>
      <c r="D29" s="68">
        <f>'Opciones CAPEX'!F40</f>
        <v>950</v>
      </c>
      <c r="E29" s="68">
        <f>'Opciones CAPEX'!G40</f>
        <v>115</v>
      </c>
      <c r="F29" s="68">
        <f>'Opciones CAPEX'!H40</f>
        <v>300</v>
      </c>
      <c r="G29" s="68">
        <f>F29+'Opciones CAPEX'!E40</f>
        <v>741.14</v>
      </c>
      <c r="H29" s="68">
        <f>'Opciones CAPEX'!I40</f>
        <v>18.350999999999999</v>
      </c>
      <c r="I29" s="68">
        <f>'Opciones CAPEX'!J40</f>
        <v>1.3789473684210527</v>
      </c>
      <c r="J29" s="72">
        <f>'Opciones CAPEX'!$H$88</f>
        <v>155.86666666666665</v>
      </c>
      <c r="K29" s="72">
        <f>'Opciones CAPEX'!$H$89</f>
        <v>233.8</v>
      </c>
      <c r="L29" s="72">
        <f>'Opciones CAPEX'!$H$90</f>
        <v>467.54999999999995</v>
      </c>
      <c r="M29" s="72">
        <f>'Opciones CAPEX'!$H$91</f>
        <v>233.8</v>
      </c>
    </row>
    <row r="30" spans="2:13" x14ac:dyDescent="0.3">
      <c r="B30" s="69" t="s">
        <v>78</v>
      </c>
      <c r="C30" s="28" t="s">
        <v>121</v>
      </c>
      <c r="D30" s="68">
        <f>'Opciones CAPEX'!F41</f>
        <v>713.48867140214247</v>
      </c>
      <c r="E30" s="68">
        <f>'Opciones CAPEX'!G41</f>
        <v>114.89364593563712</v>
      </c>
      <c r="F30" s="68">
        <f>'Opciones CAPEX'!H41</f>
        <v>299.8936459356371</v>
      </c>
      <c r="G30" s="68">
        <f>F30+'Opciones CAPEX'!E41</f>
        <v>741.03364593563708</v>
      </c>
      <c r="H30" s="68">
        <f>'Opciones CAPEX'!I41</f>
        <v>18.350999999999999</v>
      </c>
      <c r="I30" s="68">
        <f>'Opciones CAPEX'!J41</f>
        <v>1.3789473684210527</v>
      </c>
      <c r="J30" s="72">
        <f>'Opciones CAPEX'!$H$88</f>
        <v>155.86666666666665</v>
      </c>
      <c r="K30" s="72">
        <f>'Opciones CAPEX'!$H$89</f>
        <v>233.8</v>
      </c>
      <c r="L30" s="72">
        <f>'Opciones CAPEX'!$H$90</f>
        <v>467.54999999999995</v>
      </c>
      <c r="M30" s="72">
        <f>'Opciones CAPEX'!$H$91</f>
        <v>233.8</v>
      </c>
    </row>
    <row r="45" spans="13:14" ht="14.4" customHeight="1" x14ac:dyDescent="0.3">
      <c r="M45" s="7"/>
      <c r="N45" s="7"/>
    </row>
    <row r="46" spans="13:14" x14ac:dyDescent="0.3">
      <c r="M46" s="7"/>
      <c r="N46" s="7"/>
    </row>
    <row r="47" spans="13:14" x14ac:dyDescent="0.3">
      <c r="M47" s="7"/>
      <c r="N47" s="7"/>
    </row>
    <row r="48" spans="13:14" x14ac:dyDescent="0.3">
      <c r="M48" s="7"/>
      <c r="N48" s="7"/>
    </row>
    <row r="49" spans="13:14" ht="14.4" customHeight="1" x14ac:dyDescent="0.3">
      <c r="M49" s="7"/>
      <c r="N49" s="7"/>
    </row>
    <row r="50" spans="13:14" x14ac:dyDescent="0.3">
      <c r="M50" s="7"/>
      <c r="N50" s="7"/>
    </row>
  </sheetData>
  <mergeCells count="3">
    <mergeCell ref="B2:E2"/>
    <mergeCell ref="J4:M4"/>
    <mergeCell ref="D4:I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25E63-039F-4FDB-980C-0C1C86D87AF7}">
  <dimension ref="B2:G30"/>
  <sheetViews>
    <sheetView zoomScale="90" zoomScaleNormal="90" workbookViewId="0">
      <selection activeCell="E6" sqref="E6"/>
    </sheetView>
  </sheetViews>
  <sheetFormatPr baseColWidth="10" defaultRowHeight="14.4" x14ac:dyDescent="0.3"/>
  <cols>
    <col min="1" max="1" width="5.109375" customWidth="1"/>
    <col min="2" max="2" width="15.6640625" customWidth="1"/>
    <col min="3" max="3" width="25.109375" customWidth="1"/>
    <col min="4" max="4" width="33.109375" customWidth="1"/>
    <col min="5" max="5" width="33.88671875" customWidth="1"/>
    <col min="6" max="6" width="42" customWidth="1"/>
    <col min="7" max="7" width="49.109375" customWidth="1"/>
  </cols>
  <sheetData>
    <row r="2" spans="2:7" ht="23.4" x14ac:dyDescent="0.45">
      <c r="B2" s="131" t="s">
        <v>117</v>
      </c>
      <c r="C2" s="131"/>
      <c r="D2" s="131"/>
    </row>
    <row r="4" spans="2:7" x14ac:dyDescent="0.3">
      <c r="D4" s="130" t="s">
        <v>124</v>
      </c>
      <c r="E4" s="130"/>
      <c r="F4" s="130"/>
      <c r="G4" s="130"/>
    </row>
    <row r="5" spans="2:7" x14ac:dyDescent="0.3">
      <c r="B5" s="50" t="s">
        <v>2</v>
      </c>
      <c r="C5" s="59" t="s">
        <v>118</v>
      </c>
      <c r="D5" s="87" t="s">
        <v>149</v>
      </c>
      <c r="E5" s="87" t="s">
        <v>150</v>
      </c>
      <c r="F5" s="87" t="s">
        <v>182</v>
      </c>
      <c r="G5" s="87" t="s">
        <v>151</v>
      </c>
    </row>
    <row r="6" spans="2:7" x14ac:dyDescent="0.3">
      <c r="B6" s="61" t="s">
        <v>6</v>
      </c>
      <c r="C6" s="29" t="s">
        <v>119</v>
      </c>
      <c r="D6" s="74">
        <f>D26</f>
        <v>35.023348899266175</v>
      </c>
      <c r="E6" s="74">
        <f t="shared" ref="E6:G6" si="0">E26</f>
        <v>7.9853235490326897</v>
      </c>
      <c r="F6" s="74">
        <f t="shared" si="0"/>
        <v>1.1333421052631578</v>
      </c>
      <c r="G6" s="74">
        <f t="shared" si="0"/>
        <v>0</v>
      </c>
    </row>
    <row r="7" spans="2:7" x14ac:dyDescent="0.3">
      <c r="B7" s="61" t="s">
        <v>174</v>
      </c>
      <c r="C7" s="29" t="s">
        <v>119</v>
      </c>
      <c r="D7" s="74">
        <f t="shared" ref="D7:G10" si="1">D27</f>
        <v>0</v>
      </c>
      <c r="E7" s="74">
        <f t="shared" si="1"/>
        <v>7.9853235490326897</v>
      </c>
      <c r="F7" s="74">
        <f t="shared" si="1"/>
        <v>1.1333421052631578</v>
      </c>
      <c r="G7" s="74">
        <f t="shared" si="1"/>
        <v>1.2420000000000002</v>
      </c>
    </row>
    <row r="8" spans="2:7" x14ac:dyDescent="0.3">
      <c r="B8" s="61" t="s">
        <v>176</v>
      </c>
      <c r="C8" s="29" t="s">
        <v>119</v>
      </c>
      <c r="D8" s="74">
        <f t="shared" si="1"/>
        <v>0</v>
      </c>
      <c r="E8" s="74">
        <f t="shared" si="1"/>
        <v>7.9853235490326897</v>
      </c>
      <c r="F8" s="74">
        <f t="shared" si="1"/>
        <v>1.1333421052631578</v>
      </c>
      <c r="G8" s="74">
        <f t="shared" si="1"/>
        <v>1.2420000000000002</v>
      </c>
    </row>
    <row r="9" spans="2:7" x14ac:dyDescent="0.3">
      <c r="B9" s="61" t="s">
        <v>177</v>
      </c>
      <c r="C9" s="29" t="s">
        <v>119</v>
      </c>
      <c r="D9" s="74">
        <f t="shared" si="1"/>
        <v>0</v>
      </c>
      <c r="E9" s="74">
        <f t="shared" si="1"/>
        <v>7.9853235490326897</v>
      </c>
      <c r="F9" s="74">
        <f t="shared" si="1"/>
        <v>1.1333421052631578</v>
      </c>
      <c r="G9" s="74">
        <f t="shared" si="1"/>
        <v>1.2420000000000002</v>
      </c>
    </row>
    <row r="10" spans="2:7" ht="15" thickBot="1" x14ac:dyDescent="0.35">
      <c r="B10" s="62" t="s">
        <v>78</v>
      </c>
      <c r="C10" s="63" t="s">
        <v>119</v>
      </c>
      <c r="D10" s="75">
        <f t="shared" si="1"/>
        <v>0</v>
      </c>
      <c r="E10" s="100">
        <f t="shared" si="1"/>
        <v>7.9853235490326897</v>
      </c>
      <c r="F10" s="100">
        <f t="shared" si="1"/>
        <v>1.1333421052631578</v>
      </c>
      <c r="G10" s="100">
        <f t="shared" si="1"/>
        <v>1.2420000000000002</v>
      </c>
    </row>
    <row r="11" spans="2:7" x14ac:dyDescent="0.3">
      <c r="B11" s="61" t="s">
        <v>6</v>
      </c>
      <c r="C11" s="65" t="s">
        <v>122</v>
      </c>
      <c r="D11" s="73">
        <f>D26</f>
        <v>35.023348899266175</v>
      </c>
      <c r="E11" s="73">
        <f t="shared" ref="E11:G11" si="2">E26</f>
        <v>7.9853235490326897</v>
      </c>
      <c r="F11" s="73">
        <f t="shared" si="2"/>
        <v>1.1333421052631578</v>
      </c>
      <c r="G11" s="73">
        <f t="shared" si="2"/>
        <v>0</v>
      </c>
    </row>
    <row r="12" spans="2:7" x14ac:dyDescent="0.3">
      <c r="B12" s="61" t="s">
        <v>174</v>
      </c>
      <c r="C12" s="29" t="s">
        <v>122</v>
      </c>
      <c r="D12" s="74">
        <f t="shared" ref="D12:G15" si="3">D27</f>
        <v>0</v>
      </c>
      <c r="E12" s="74">
        <f t="shared" si="3"/>
        <v>7.9853235490326897</v>
      </c>
      <c r="F12" s="74">
        <f t="shared" si="3"/>
        <v>1.1333421052631578</v>
      </c>
      <c r="G12" s="74">
        <f t="shared" si="3"/>
        <v>1.2420000000000002</v>
      </c>
    </row>
    <row r="13" spans="2:7" x14ac:dyDescent="0.3">
      <c r="B13" s="61" t="s">
        <v>176</v>
      </c>
      <c r="C13" s="29" t="s">
        <v>122</v>
      </c>
      <c r="D13" s="74">
        <f t="shared" si="3"/>
        <v>0</v>
      </c>
      <c r="E13" s="74">
        <f t="shared" si="3"/>
        <v>7.9853235490326897</v>
      </c>
      <c r="F13" s="74">
        <f t="shared" si="3"/>
        <v>1.1333421052631578</v>
      </c>
      <c r="G13" s="74">
        <f t="shared" si="3"/>
        <v>1.2420000000000002</v>
      </c>
    </row>
    <row r="14" spans="2:7" x14ac:dyDescent="0.3">
      <c r="B14" s="61" t="s">
        <v>177</v>
      </c>
      <c r="C14" s="29" t="s">
        <v>122</v>
      </c>
      <c r="D14" s="74">
        <f t="shared" si="3"/>
        <v>0</v>
      </c>
      <c r="E14" s="74">
        <f t="shared" si="3"/>
        <v>7.9853235490326897</v>
      </c>
      <c r="F14" s="74">
        <f t="shared" si="3"/>
        <v>1.1333421052631578</v>
      </c>
      <c r="G14" s="74">
        <f t="shared" si="3"/>
        <v>1.2420000000000002</v>
      </c>
    </row>
    <row r="15" spans="2:7" ht="15" thickBot="1" x14ac:dyDescent="0.35">
      <c r="B15" s="62" t="s">
        <v>78</v>
      </c>
      <c r="C15" s="63" t="s">
        <v>122</v>
      </c>
      <c r="D15" s="75">
        <f t="shared" si="3"/>
        <v>0</v>
      </c>
      <c r="E15" s="100">
        <f t="shared" si="3"/>
        <v>7.9853235490326897</v>
      </c>
      <c r="F15" s="100">
        <f t="shared" si="3"/>
        <v>1.1333421052631578</v>
      </c>
      <c r="G15" s="100">
        <f t="shared" si="3"/>
        <v>1.2420000000000002</v>
      </c>
    </row>
    <row r="16" spans="2:7" x14ac:dyDescent="0.3">
      <c r="B16" s="61" t="s">
        <v>6</v>
      </c>
      <c r="C16" s="65" t="s">
        <v>120</v>
      </c>
      <c r="D16" s="73">
        <f>D26</f>
        <v>35.023348899266175</v>
      </c>
      <c r="E16" s="73">
        <f t="shared" ref="E16:G16" si="4">E26</f>
        <v>7.9853235490326897</v>
      </c>
      <c r="F16" s="73">
        <f t="shared" si="4"/>
        <v>1.1333421052631578</v>
      </c>
      <c r="G16" s="73">
        <f t="shared" si="4"/>
        <v>0</v>
      </c>
    </row>
    <row r="17" spans="2:7" x14ac:dyDescent="0.3">
      <c r="B17" s="61" t="s">
        <v>174</v>
      </c>
      <c r="C17" s="29" t="s">
        <v>120</v>
      </c>
      <c r="D17" s="74">
        <f t="shared" ref="D17:G20" si="5">D27</f>
        <v>0</v>
      </c>
      <c r="E17" s="74">
        <f t="shared" si="5"/>
        <v>7.9853235490326897</v>
      </c>
      <c r="F17" s="74">
        <f t="shared" si="5"/>
        <v>1.1333421052631578</v>
      </c>
      <c r="G17" s="74">
        <f t="shared" si="5"/>
        <v>1.2420000000000002</v>
      </c>
    </row>
    <row r="18" spans="2:7" x14ac:dyDescent="0.3">
      <c r="B18" s="61" t="s">
        <v>176</v>
      </c>
      <c r="C18" s="29" t="s">
        <v>120</v>
      </c>
      <c r="D18" s="74">
        <f t="shared" si="5"/>
        <v>0</v>
      </c>
      <c r="E18" s="74">
        <f t="shared" si="5"/>
        <v>7.9853235490326897</v>
      </c>
      <c r="F18" s="74">
        <f t="shared" si="5"/>
        <v>1.1333421052631578</v>
      </c>
      <c r="G18" s="74">
        <f t="shared" si="5"/>
        <v>1.2420000000000002</v>
      </c>
    </row>
    <row r="19" spans="2:7" x14ac:dyDescent="0.3">
      <c r="B19" s="61" t="s">
        <v>177</v>
      </c>
      <c r="C19" s="29" t="s">
        <v>120</v>
      </c>
      <c r="D19" s="74">
        <f t="shared" si="5"/>
        <v>0</v>
      </c>
      <c r="E19" s="74">
        <f t="shared" si="5"/>
        <v>7.9853235490326897</v>
      </c>
      <c r="F19" s="74">
        <f t="shared" si="5"/>
        <v>1.1333421052631578</v>
      </c>
      <c r="G19" s="74">
        <f t="shared" si="5"/>
        <v>1.2420000000000002</v>
      </c>
    </row>
    <row r="20" spans="2:7" ht="15" thickBot="1" x14ac:dyDescent="0.35">
      <c r="B20" s="62" t="s">
        <v>78</v>
      </c>
      <c r="C20" s="63" t="s">
        <v>120</v>
      </c>
      <c r="D20" s="75">
        <f t="shared" si="5"/>
        <v>0</v>
      </c>
      <c r="E20" s="100">
        <f t="shared" si="5"/>
        <v>7.9853235490326897</v>
      </c>
      <c r="F20" s="100">
        <f t="shared" si="5"/>
        <v>1.1333421052631578</v>
      </c>
      <c r="G20" s="100">
        <f t="shared" si="5"/>
        <v>1.2420000000000002</v>
      </c>
    </row>
    <row r="21" spans="2:7" x14ac:dyDescent="0.3">
      <c r="B21" s="61" t="s">
        <v>6</v>
      </c>
      <c r="C21" s="65" t="s">
        <v>123</v>
      </c>
      <c r="D21" s="73">
        <f>D26</f>
        <v>35.023348899266175</v>
      </c>
      <c r="E21" s="73">
        <f t="shared" ref="E21:G21" si="6">E26</f>
        <v>7.9853235490326897</v>
      </c>
      <c r="F21" s="73">
        <f t="shared" si="6"/>
        <v>1.1333421052631578</v>
      </c>
      <c r="G21" s="73">
        <f t="shared" si="6"/>
        <v>0</v>
      </c>
    </row>
    <row r="22" spans="2:7" x14ac:dyDescent="0.3">
      <c r="B22" s="61" t="s">
        <v>174</v>
      </c>
      <c r="C22" s="29" t="s">
        <v>123</v>
      </c>
      <c r="D22" s="74">
        <f t="shared" ref="D22:G25" si="7">D27</f>
        <v>0</v>
      </c>
      <c r="E22" s="74">
        <f t="shared" si="7"/>
        <v>7.9853235490326897</v>
      </c>
      <c r="F22" s="74">
        <f t="shared" si="7"/>
        <v>1.1333421052631578</v>
      </c>
      <c r="G22" s="74">
        <f t="shared" si="7"/>
        <v>1.2420000000000002</v>
      </c>
    </row>
    <row r="23" spans="2:7" x14ac:dyDescent="0.3">
      <c r="B23" s="61" t="s">
        <v>176</v>
      </c>
      <c r="C23" s="29" t="s">
        <v>123</v>
      </c>
      <c r="D23" s="74">
        <f t="shared" si="7"/>
        <v>0</v>
      </c>
      <c r="E23" s="74">
        <f t="shared" si="7"/>
        <v>7.9853235490326897</v>
      </c>
      <c r="F23" s="74">
        <f t="shared" si="7"/>
        <v>1.1333421052631578</v>
      </c>
      <c r="G23" s="74">
        <f t="shared" si="7"/>
        <v>1.2420000000000002</v>
      </c>
    </row>
    <row r="24" spans="2:7" x14ac:dyDescent="0.3">
      <c r="B24" s="61" t="s">
        <v>177</v>
      </c>
      <c r="C24" s="29" t="s">
        <v>123</v>
      </c>
      <c r="D24" s="74">
        <f t="shared" si="7"/>
        <v>0</v>
      </c>
      <c r="E24" s="74">
        <f t="shared" si="7"/>
        <v>7.9853235490326897</v>
      </c>
      <c r="F24" s="74">
        <f t="shared" si="7"/>
        <v>1.1333421052631578</v>
      </c>
      <c r="G24" s="74">
        <f t="shared" si="7"/>
        <v>1.2420000000000002</v>
      </c>
    </row>
    <row r="25" spans="2:7" ht="15" thickBot="1" x14ac:dyDescent="0.35">
      <c r="B25" s="62" t="s">
        <v>78</v>
      </c>
      <c r="C25" s="63" t="s">
        <v>123</v>
      </c>
      <c r="D25" s="75">
        <f t="shared" si="7"/>
        <v>0</v>
      </c>
      <c r="E25" s="100">
        <f t="shared" si="7"/>
        <v>7.9853235490326897</v>
      </c>
      <c r="F25" s="100">
        <f t="shared" si="7"/>
        <v>1.1333421052631578</v>
      </c>
      <c r="G25" s="100">
        <f t="shared" si="7"/>
        <v>1.2420000000000002</v>
      </c>
    </row>
    <row r="26" spans="2:7" x14ac:dyDescent="0.3">
      <c r="B26" s="66" t="s">
        <v>6</v>
      </c>
      <c r="C26" s="67" t="s">
        <v>121</v>
      </c>
      <c r="D26" s="101">
        <f>'Opciones OPEX'!D27</f>
        <v>35.023348899266175</v>
      </c>
      <c r="E26" s="101">
        <f>'Opciones OPEX'!E27</f>
        <v>7.9853235490326897</v>
      </c>
      <c r="F26" s="101">
        <f>'Opciones OPEX'!F27</f>
        <v>1.1333421052631578</v>
      </c>
      <c r="G26" s="101">
        <f>'Opciones OPEX'!G27</f>
        <v>0</v>
      </c>
    </row>
    <row r="27" spans="2:7" x14ac:dyDescent="0.3">
      <c r="B27" s="66" t="s">
        <v>174</v>
      </c>
      <c r="C27" s="67" t="s">
        <v>121</v>
      </c>
      <c r="D27" s="102">
        <f>'Opciones OPEX'!D28</f>
        <v>0</v>
      </c>
      <c r="E27" s="101">
        <f>'Opciones OPEX'!E28</f>
        <v>7.9853235490326897</v>
      </c>
      <c r="F27" s="101">
        <f>'Opciones OPEX'!F28</f>
        <v>1.1333421052631578</v>
      </c>
      <c r="G27" s="101">
        <f>'Opciones OPEX'!G28</f>
        <v>1.2420000000000002</v>
      </c>
    </row>
    <row r="28" spans="2:7" x14ac:dyDescent="0.3">
      <c r="B28" s="69" t="s">
        <v>176</v>
      </c>
      <c r="C28" s="28" t="s">
        <v>121</v>
      </c>
      <c r="D28" s="102">
        <f>'Opciones OPEX'!D29</f>
        <v>0</v>
      </c>
      <c r="E28" s="101">
        <f>'Opciones OPEX'!E29</f>
        <v>7.9853235490326897</v>
      </c>
      <c r="F28" s="101">
        <f>'Opciones OPEX'!F29</f>
        <v>1.1333421052631578</v>
      </c>
      <c r="G28" s="101">
        <f>'Opciones OPEX'!G29</f>
        <v>1.2420000000000002</v>
      </c>
    </row>
    <row r="29" spans="2:7" x14ac:dyDescent="0.3">
      <c r="B29" s="69" t="s">
        <v>177</v>
      </c>
      <c r="C29" s="28" t="s">
        <v>121</v>
      </c>
      <c r="D29" s="102">
        <f>'Opciones OPEX'!D30</f>
        <v>0</v>
      </c>
      <c r="E29" s="101">
        <f>'Opciones OPEX'!E30</f>
        <v>7.9853235490326897</v>
      </c>
      <c r="F29" s="101">
        <f>'Opciones OPEX'!F30</f>
        <v>1.1333421052631578</v>
      </c>
      <c r="G29" s="101">
        <f>'Opciones OPEX'!G30</f>
        <v>1.2420000000000002</v>
      </c>
    </row>
    <row r="30" spans="2:7" x14ac:dyDescent="0.3">
      <c r="B30" s="69" t="s">
        <v>78</v>
      </c>
      <c r="C30" s="28" t="s">
        <v>121</v>
      </c>
      <c r="D30" s="102">
        <f>'Opciones OPEX'!D31</f>
        <v>0</v>
      </c>
      <c r="E30" s="101">
        <f>'Opciones OPEX'!E31</f>
        <v>7.9853235490326897</v>
      </c>
      <c r="F30" s="101">
        <f>'Opciones OPEX'!F31</f>
        <v>1.1333421052631578</v>
      </c>
      <c r="G30" s="101">
        <f>'Opciones OPEX'!G31</f>
        <v>1.2420000000000002</v>
      </c>
    </row>
  </sheetData>
  <mergeCells count="2">
    <mergeCell ref="B2:D2"/>
    <mergeCell ref="D4:G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53598-9929-4C98-BB81-7399D99E4E7B}">
  <dimension ref="B1:AM95"/>
  <sheetViews>
    <sheetView topLeftCell="A39" zoomScale="90" zoomScaleNormal="90" workbookViewId="0">
      <selection activeCell="L45" sqref="L45"/>
    </sheetView>
  </sheetViews>
  <sheetFormatPr baseColWidth="10" defaultRowHeight="14.4" x14ac:dyDescent="0.3"/>
  <cols>
    <col min="2" max="2" width="14.109375" customWidth="1"/>
    <col min="3" max="3" width="17" customWidth="1"/>
    <col min="4" max="4" width="15" customWidth="1"/>
    <col min="5" max="5" width="14.21875" customWidth="1"/>
    <col min="6" max="6" width="12.33203125" customWidth="1"/>
    <col min="9" max="9" width="15.21875" customWidth="1"/>
    <col min="10" max="10" width="16.21875" customWidth="1"/>
    <col min="11" max="11" width="13.88671875" customWidth="1"/>
    <col min="12" max="12" width="14.21875" customWidth="1"/>
    <col min="13" max="13" width="13.109375" customWidth="1"/>
    <col min="14" max="14" width="13.6640625" customWidth="1"/>
    <col min="15" max="15" width="16.6640625" customWidth="1"/>
    <col min="16" max="16" width="17.21875" customWidth="1"/>
    <col min="17" max="17" width="16.44140625" customWidth="1"/>
    <col min="21" max="21" width="6.5546875" customWidth="1"/>
    <col min="22" max="22" width="7.109375" customWidth="1"/>
    <col min="24" max="24" width="15" customWidth="1"/>
    <col min="25" max="25" width="15.44140625" customWidth="1"/>
    <col min="26" max="26" width="17.21875" customWidth="1"/>
    <col min="27" max="27" width="16.88671875" customWidth="1"/>
    <col min="30" max="30" width="14.33203125" customWidth="1"/>
    <col min="31" max="31" width="14.88671875" customWidth="1"/>
    <col min="33" max="33" width="13.109375" customWidth="1"/>
    <col min="34" max="34" width="13.6640625" customWidth="1"/>
    <col min="35" max="35" width="14.6640625" customWidth="1"/>
    <col min="36" max="36" width="15.33203125" customWidth="1"/>
    <col min="37" max="37" width="16.33203125" customWidth="1"/>
    <col min="38" max="39" width="17.33203125" customWidth="1"/>
  </cols>
  <sheetData>
    <row r="1" spans="2:15" ht="15" thickBot="1" x14ac:dyDescent="0.35"/>
    <row r="2" spans="2:15" ht="25.8" customHeight="1" thickTop="1" x14ac:dyDescent="0.3">
      <c r="B2" s="199" t="s">
        <v>40</v>
      </c>
      <c r="C2" s="199"/>
      <c r="D2" s="199"/>
      <c r="E2" s="199"/>
      <c r="F2" s="199"/>
      <c r="G2" s="38"/>
      <c r="H2" s="38"/>
      <c r="I2" s="38"/>
      <c r="J2" s="38"/>
      <c r="K2" s="38"/>
      <c r="L2" s="38"/>
      <c r="M2" s="38"/>
      <c r="N2" s="38"/>
      <c r="O2" s="38"/>
    </row>
    <row r="4" spans="2:15" ht="14.4" customHeight="1" x14ac:dyDescent="0.3">
      <c r="B4" s="204" t="s">
        <v>170</v>
      </c>
      <c r="C4" s="204"/>
      <c r="D4" s="204"/>
      <c r="E4" s="204"/>
      <c r="F4" s="204"/>
      <c r="G4" s="6" t="s">
        <v>0</v>
      </c>
      <c r="H4" s="6"/>
      <c r="I4" s="6"/>
      <c r="J4" s="6"/>
    </row>
    <row r="5" spans="2:15" ht="43.2" x14ac:dyDescent="0.3">
      <c r="B5" s="1" t="s">
        <v>1</v>
      </c>
      <c r="C5" s="1" t="s">
        <v>59</v>
      </c>
      <c r="D5" s="1" t="s">
        <v>3</v>
      </c>
      <c r="E5" s="1" t="s">
        <v>62</v>
      </c>
      <c r="F5" s="1" t="s">
        <v>30</v>
      </c>
      <c r="G5" s="1" t="s">
        <v>28</v>
      </c>
      <c r="H5" s="1" t="s">
        <v>29</v>
      </c>
      <c r="I5" s="1" t="s">
        <v>63</v>
      </c>
      <c r="J5" s="1" t="s">
        <v>168</v>
      </c>
      <c r="K5" s="203" t="s">
        <v>4</v>
      </c>
      <c r="L5" s="203"/>
      <c r="M5" s="203"/>
      <c r="N5" s="203"/>
      <c r="O5" s="203"/>
    </row>
    <row r="6" spans="2:15" ht="29.4" customHeight="1" x14ac:dyDescent="0.3">
      <c r="B6" s="93" t="s">
        <v>37</v>
      </c>
      <c r="C6" s="3" t="s">
        <v>8</v>
      </c>
      <c r="D6" s="3" t="s">
        <v>8</v>
      </c>
      <c r="E6" s="9">
        <v>441.14</v>
      </c>
      <c r="F6" s="8" t="s">
        <v>8</v>
      </c>
      <c r="G6" s="8" t="s">
        <v>8</v>
      </c>
      <c r="H6" s="8" t="s">
        <v>8</v>
      </c>
      <c r="I6" s="8" t="s">
        <v>8</v>
      </c>
      <c r="J6" s="8" t="s">
        <v>8</v>
      </c>
      <c r="K6" s="184" t="s">
        <v>224</v>
      </c>
      <c r="L6" s="185"/>
      <c r="M6" s="185"/>
      <c r="N6" s="185"/>
      <c r="O6" s="186"/>
    </row>
    <row r="7" spans="2:15" ht="43.2" x14ac:dyDescent="0.3">
      <c r="B7" s="95" t="s">
        <v>5</v>
      </c>
      <c r="C7" s="3" t="s">
        <v>6</v>
      </c>
      <c r="D7" s="3" t="s">
        <v>7</v>
      </c>
      <c r="E7" s="8" t="s">
        <v>8</v>
      </c>
      <c r="F7" s="8">
        <v>0</v>
      </c>
      <c r="G7" s="4">
        <v>284.52999999999997</v>
      </c>
      <c r="H7" s="89">
        <f>498.25</f>
        <v>498.25</v>
      </c>
      <c r="I7" s="8" t="s">
        <v>8</v>
      </c>
      <c r="J7" s="8" t="s">
        <v>8</v>
      </c>
      <c r="K7" s="187"/>
      <c r="L7" s="188"/>
      <c r="M7" s="188"/>
      <c r="N7" s="188"/>
      <c r="O7" s="189"/>
    </row>
    <row r="8" spans="2:15" ht="43.2" x14ac:dyDescent="0.3">
      <c r="B8" s="95" t="s">
        <v>9</v>
      </c>
      <c r="C8" s="3" t="s">
        <v>6</v>
      </c>
      <c r="D8" s="3" t="s">
        <v>7</v>
      </c>
      <c r="E8" s="8" t="s">
        <v>8</v>
      </c>
      <c r="F8" s="8">
        <v>0</v>
      </c>
      <c r="G8" s="4">
        <v>279.52999999999997</v>
      </c>
      <c r="H8" s="89">
        <v>492.01</v>
      </c>
      <c r="I8" s="8" t="s">
        <v>8</v>
      </c>
      <c r="J8" s="8" t="s">
        <v>8</v>
      </c>
      <c r="K8" s="190"/>
      <c r="L8" s="188"/>
      <c r="M8" s="188"/>
      <c r="N8" s="188"/>
      <c r="O8" s="189"/>
    </row>
    <row r="9" spans="2:15" ht="33.6" customHeight="1" x14ac:dyDescent="0.3">
      <c r="B9" s="93" t="s">
        <v>10</v>
      </c>
      <c r="C9" s="3" t="s">
        <v>8</v>
      </c>
      <c r="D9" s="2" t="s">
        <v>8</v>
      </c>
      <c r="E9" s="8" t="s">
        <v>8</v>
      </c>
      <c r="F9" s="8" t="s">
        <v>8</v>
      </c>
      <c r="G9" s="8" t="s">
        <v>8</v>
      </c>
      <c r="H9" s="90" t="s">
        <v>8</v>
      </c>
      <c r="I9" s="8" t="s">
        <v>8</v>
      </c>
      <c r="J9" s="12">
        <f>262000/190000</f>
        <v>1.3789473684210527</v>
      </c>
      <c r="K9" s="190"/>
      <c r="L9" s="188"/>
      <c r="M9" s="188"/>
      <c r="N9" s="188"/>
      <c r="O9" s="189"/>
    </row>
    <row r="10" spans="2:15" ht="43.2" x14ac:dyDescent="0.3">
      <c r="B10" s="216" t="s">
        <v>11</v>
      </c>
      <c r="C10" s="93" t="s">
        <v>6</v>
      </c>
      <c r="D10" s="93" t="s">
        <v>38</v>
      </c>
      <c r="E10" s="8" t="s">
        <v>8</v>
      </c>
      <c r="F10" s="12">
        <v>0</v>
      </c>
      <c r="G10" s="10">
        <f>80+31</f>
        <v>111</v>
      </c>
      <c r="H10" s="12">
        <f>265+31</f>
        <v>296</v>
      </c>
      <c r="I10" s="12">
        <f>18351/1000</f>
        <v>18.350999999999999</v>
      </c>
      <c r="J10" s="8" t="s">
        <v>8</v>
      </c>
      <c r="K10" s="190"/>
      <c r="L10" s="188"/>
      <c r="M10" s="188"/>
      <c r="N10" s="188"/>
      <c r="O10" s="189"/>
    </row>
    <row r="11" spans="2:15" ht="43.2" x14ac:dyDescent="0.3">
      <c r="B11" s="217"/>
      <c r="C11" s="93" t="s">
        <v>178</v>
      </c>
      <c r="D11" s="93" t="s">
        <v>39</v>
      </c>
      <c r="E11" s="8" t="s">
        <v>8</v>
      </c>
      <c r="F11" s="12">
        <f>950</f>
        <v>950</v>
      </c>
      <c r="G11" s="10">
        <f>80+35</f>
        <v>115</v>
      </c>
      <c r="H11" s="12">
        <f>265+35</f>
        <v>300</v>
      </c>
      <c r="I11" s="12">
        <f>18351/1000</f>
        <v>18.350999999999999</v>
      </c>
      <c r="J11" s="8" t="s">
        <v>8</v>
      </c>
      <c r="K11" s="190"/>
      <c r="L11" s="188"/>
      <c r="M11" s="188"/>
      <c r="N11" s="188"/>
      <c r="O11" s="189"/>
    </row>
    <row r="12" spans="2:15" ht="31.2" customHeight="1" x14ac:dyDescent="0.3">
      <c r="B12" s="95" t="s">
        <v>12</v>
      </c>
      <c r="C12" s="3" t="s">
        <v>60</v>
      </c>
      <c r="D12" s="3" t="s">
        <v>7</v>
      </c>
      <c r="E12" s="90" t="s">
        <v>8</v>
      </c>
      <c r="F12" s="90" t="s">
        <v>8</v>
      </c>
      <c r="G12" s="89">
        <v>133</v>
      </c>
      <c r="H12" s="30">
        <f>298</f>
        <v>298</v>
      </c>
      <c r="I12" s="90" t="s">
        <v>8</v>
      </c>
      <c r="J12" s="90" t="s">
        <v>8</v>
      </c>
      <c r="K12" s="191"/>
      <c r="L12" s="192"/>
      <c r="M12" s="192"/>
      <c r="N12" s="192"/>
      <c r="O12" s="193"/>
    </row>
    <row r="14" spans="2:15" ht="43.2" x14ac:dyDescent="0.3">
      <c r="B14" s="215" t="s">
        <v>172</v>
      </c>
      <c r="C14" s="92" t="s">
        <v>6</v>
      </c>
      <c r="D14" s="93" t="s">
        <v>171</v>
      </c>
      <c r="E14" s="91">
        <f>AVERAGE(E6:E12)</f>
        <v>441.14</v>
      </c>
      <c r="F14" s="91">
        <f t="shared" ref="F14:I15" si="0">F10</f>
        <v>0</v>
      </c>
      <c r="G14" s="91">
        <f t="shared" si="0"/>
        <v>111</v>
      </c>
      <c r="H14" s="91">
        <f t="shared" si="0"/>
        <v>296</v>
      </c>
      <c r="I14" s="91">
        <f t="shared" si="0"/>
        <v>18.350999999999999</v>
      </c>
      <c r="J14" s="91">
        <f>J9</f>
        <v>1.3789473684210527</v>
      </c>
    </row>
    <row r="15" spans="2:15" ht="43.2" x14ac:dyDescent="0.3">
      <c r="B15" s="215"/>
      <c r="C15" s="93" t="s">
        <v>178</v>
      </c>
      <c r="D15" s="93" t="s">
        <v>39</v>
      </c>
      <c r="E15" s="91">
        <f>AVERAGE(E6:E12)</f>
        <v>441.14</v>
      </c>
      <c r="F15" s="91">
        <f t="shared" si="0"/>
        <v>950</v>
      </c>
      <c r="G15" s="91">
        <f t="shared" si="0"/>
        <v>115</v>
      </c>
      <c r="H15" s="91">
        <f t="shared" si="0"/>
        <v>300</v>
      </c>
      <c r="I15" s="91">
        <f t="shared" si="0"/>
        <v>18.350999999999999</v>
      </c>
      <c r="J15" s="91">
        <f>J9</f>
        <v>1.3789473684210527</v>
      </c>
    </row>
    <row r="16" spans="2:15" ht="15" thickBot="1" x14ac:dyDescent="0.35"/>
    <row r="17" spans="2:22" x14ac:dyDescent="0.3">
      <c r="B17" s="41"/>
      <c r="C17" s="41"/>
      <c r="D17" s="41"/>
      <c r="E17" s="41"/>
      <c r="F17" s="41"/>
      <c r="G17" s="41"/>
      <c r="H17" s="41"/>
      <c r="I17" s="41"/>
      <c r="J17" s="41"/>
      <c r="K17" s="41"/>
      <c r="L17" s="41"/>
      <c r="M17" s="41"/>
      <c r="N17" s="41"/>
      <c r="O17" s="41"/>
      <c r="P17" s="41"/>
      <c r="Q17" s="41"/>
      <c r="R17" s="41"/>
    </row>
    <row r="18" spans="2:22" ht="14.4" customHeight="1" x14ac:dyDescent="0.3">
      <c r="B18" s="194" t="s">
        <v>65</v>
      </c>
      <c r="C18" s="195"/>
      <c r="D18" s="195"/>
      <c r="E18" s="195"/>
      <c r="F18" s="195"/>
      <c r="G18" s="196"/>
      <c r="H18" s="197" t="s">
        <v>0</v>
      </c>
      <c r="I18" s="198"/>
      <c r="J18" s="198"/>
      <c r="K18" s="198"/>
    </row>
    <row r="19" spans="2:22" ht="43.2" x14ac:dyDescent="0.3">
      <c r="B19" s="1" t="s">
        <v>34</v>
      </c>
      <c r="C19" s="1" t="s">
        <v>2</v>
      </c>
      <c r="D19" s="1" t="s">
        <v>3</v>
      </c>
      <c r="E19" s="1" t="s">
        <v>62</v>
      </c>
      <c r="F19" s="1" t="s">
        <v>30</v>
      </c>
      <c r="G19" s="1" t="s">
        <v>28</v>
      </c>
      <c r="H19" s="1" t="s">
        <v>29</v>
      </c>
      <c r="I19" s="1" t="s">
        <v>63</v>
      </c>
      <c r="J19" s="1" t="s">
        <v>169</v>
      </c>
      <c r="K19" s="133" t="s">
        <v>4</v>
      </c>
      <c r="L19" s="133"/>
      <c r="M19" s="133"/>
      <c r="N19" s="133"/>
      <c r="O19" s="133"/>
      <c r="P19" s="133"/>
      <c r="Q19" s="133"/>
      <c r="R19" s="133"/>
    </row>
    <row r="20" spans="2:22" ht="51.6" customHeight="1" x14ac:dyDescent="0.3">
      <c r="B20" s="211" t="s">
        <v>35</v>
      </c>
      <c r="C20" s="2" t="s">
        <v>6</v>
      </c>
      <c r="D20" s="3" t="s">
        <v>38</v>
      </c>
      <c r="E20" s="53">
        <f>(356632/875.66)*1.11</f>
        <v>452.07217413151233</v>
      </c>
      <c r="F20" s="52">
        <v>0</v>
      </c>
      <c r="G20" s="53">
        <f>((165899+14180)/875.66)*1.11+31</f>
        <v>259.27089281227876</v>
      </c>
      <c r="H20" s="53">
        <f>((236138+33781)/875.66)*1.11+31</f>
        <v>373.15344996916616</v>
      </c>
      <c r="I20" s="14" t="s">
        <v>8</v>
      </c>
      <c r="J20" s="14" t="s">
        <v>8</v>
      </c>
      <c r="K20" s="157" t="s">
        <v>80</v>
      </c>
      <c r="L20" s="157"/>
      <c r="M20" s="157"/>
      <c r="N20" s="157"/>
      <c r="O20" s="157"/>
      <c r="P20" s="157"/>
      <c r="Q20" s="157"/>
      <c r="R20" s="157"/>
    </row>
    <row r="21" spans="2:22" ht="51.6" customHeight="1" x14ac:dyDescent="0.3">
      <c r="B21" s="212"/>
      <c r="C21" s="11" t="s">
        <v>78</v>
      </c>
      <c r="D21" s="93" t="s">
        <v>79</v>
      </c>
      <c r="E21" s="97">
        <f>(356632/875.66)*1.11</f>
        <v>452.07217413151233</v>
      </c>
      <c r="F21" s="92">
        <f>((562859)/875.66)*1.11</f>
        <v>713.48867140214247</v>
      </c>
      <c r="G21" s="97">
        <f>((165899+14180+27527)/875.66)*1.11</f>
        <v>263.16453874791586</v>
      </c>
      <c r="H21" s="97">
        <f>((236138+33781+27527)/875.66)*1.11</f>
        <v>377.04709590480326</v>
      </c>
      <c r="I21" s="14" t="s">
        <v>8</v>
      </c>
      <c r="J21" s="14" t="s">
        <v>8</v>
      </c>
      <c r="K21" s="157"/>
      <c r="L21" s="157"/>
      <c r="M21" s="157"/>
      <c r="N21" s="157"/>
      <c r="O21" s="157"/>
      <c r="P21" s="157"/>
      <c r="Q21" s="157"/>
      <c r="R21" s="157"/>
      <c r="S21" s="27"/>
      <c r="T21" s="27"/>
      <c r="U21" s="27"/>
      <c r="V21" s="27"/>
    </row>
    <row r="22" spans="2:22" ht="15" thickBot="1" x14ac:dyDescent="0.35"/>
    <row r="23" spans="2:22" x14ac:dyDescent="0.3">
      <c r="B23" s="41"/>
      <c r="C23" s="41"/>
      <c r="D23" s="41"/>
      <c r="E23" s="41"/>
      <c r="F23" s="41"/>
      <c r="G23" s="41"/>
      <c r="H23" s="41"/>
      <c r="I23" s="41"/>
      <c r="J23" s="41"/>
      <c r="K23" s="41"/>
      <c r="L23" s="41"/>
      <c r="M23" s="41"/>
      <c r="N23" s="41"/>
      <c r="O23" s="41"/>
      <c r="P23" s="41"/>
      <c r="Q23" s="41"/>
      <c r="R23" s="41"/>
    </row>
    <row r="24" spans="2:22" x14ac:dyDescent="0.3">
      <c r="B24" s="194" t="s">
        <v>58</v>
      </c>
      <c r="C24" s="195"/>
      <c r="D24" s="195"/>
      <c r="E24" s="195"/>
      <c r="F24" s="195"/>
      <c r="G24" s="196"/>
      <c r="H24" s="197" t="s">
        <v>0</v>
      </c>
      <c r="I24" s="198"/>
      <c r="J24" s="198"/>
      <c r="K24" s="198"/>
    </row>
    <row r="25" spans="2:22" ht="43.2" x14ac:dyDescent="0.3">
      <c r="B25" s="1" t="s">
        <v>34</v>
      </c>
      <c r="C25" s="1" t="s">
        <v>2</v>
      </c>
      <c r="D25" s="1" t="s">
        <v>3</v>
      </c>
      <c r="E25" s="1" t="s">
        <v>62</v>
      </c>
      <c r="F25" s="1" t="s">
        <v>30</v>
      </c>
      <c r="G25" s="1" t="s">
        <v>28</v>
      </c>
      <c r="H25" s="1" t="s">
        <v>29</v>
      </c>
      <c r="I25" s="1" t="s">
        <v>63</v>
      </c>
      <c r="J25" s="1" t="s">
        <v>168</v>
      </c>
      <c r="K25" s="133" t="s">
        <v>4</v>
      </c>
      <c r="L25" s="133"/>
      <c r="M25" s="133"/>
      <c r="N25" s="133"/>
      <c r="O25" s="133"/>
    </row>
    <row r="26" spans="2:22" ht="28.8" customHeight="1" x14ac:dyDescent="0.3">
      <c r="B26" s="2" t="s">
        <v>75</v>
      </c>
      <c r="C26" s="2" t="s">
        <v>64</v>
      </c>
      <c r="D26" s="3" t="s">
        <v>7</v>
      </c>
      <c r="E26" s="52" t="s">
        <v>8</v>
      </c>
      <c r="F26" s="52" t="s">
        <v>8</v>
      </c>
      <c r="G26" s="53">
        <f>115*1.35</f>
        <v>155.25</v>
      </c>
      <c r="H26" s="53">
        <f>460*1.35</f>
        <v>621</v>
      </c>
      <c r="I26" s="52">
        <f>4.2*1.35</f>
        <v>5.6700000000000008</v>
      </c>
      <c r="J26" s="52">
        <v>0</v>
      </c>
      <c r="K26" s="184" t="s">
        <v>76</v>
      </c>
      <c r="L26" s="231"/>
      <c r="M26" s="231"/>
      <c r="N26" s="231"/>
      <c r="O26" s="232"/>
    </row>
    <row r="27" spans="2:22" ht="28.8" customHeight="1" x14ac:dyDescent="0.3">
      <c r="B27" s="2" t="s">
        <v>75</v>
      </c>
      <c r="C27" s="2" t="s">
        <v>32</v>
      </c>
      <c r="D27" s="3" t="s">
        <v>7</v>
      </c>
      <c r="E27" s="52" t="s">
        <v>8</v>
      </c>
      <c r="F27" s="52" t="s">
        <v>8</v>
      </c>
      <c r="G27" s="53">
        <f>130*1.35</f>
        <v>175.5</v>
      </c>
      <c r="H27" s="53">
        <f>420*1.35</f>
        <v>567</v>
      </c>
      <c r="I27" s="52">
        <f t="shared" ref="I27:I29" si="1">4.2*1.35</f>
        <v>5.6700000000000008</v>
      </c>
      <c r="J27" s="52">
        <v>0</v>
      </c>
      <c r="K27" s="187"/>
      <c r="L27" s="233"/>
      <c r="M27" s="233"/>
      <c r="N27" s="233"/>
      <c r="O27" s="234"/>
    </row>
    <row r="28" spans="2:22" ht="28.8" customHeight="1" x14ac:dyDescent="0.3">
      <c r="B28" s="2" t="s">
        <v>75</v>
      </c>
      <c r="C28" s="2" t="s">
        <v>33</v>
      </c>
      <c r="D28" s="3" t="s">
        <v>7</v>
      </c>
      <c r="E28" s="52" t="s">
        <v>8</v>
      </c>
      <c r="F28" s="52" t="s">
        <v>8</v>
      </c>
      <c r="G28" s="53">
        <f>97*1.35</f>
        <v>130.95000000000002</v>
      </c>
      <c r="H28" s="53">
        <f>350*1.35</f>
        <v>472.50000000000006</v>
      </c>
      <c r="I28" s="52">
        <f t="shared" si="1"/>
        <v>5.6700000000000008</v>
      </c>
      <c r="J28" s="52">
        <v>0</v>
      </c>
      <c r="K28" s="187"/>
      <c r="L28" s="233"/>
      <c r="M28" s="233"/>
      <c r="N28" s="233"/>
      <c r="O28" s="234"/>
    </row>
    <row r="29" spans="2:22" ht="28.8" customHeight="1" x14ac:dyDescent="0.3">
      <c r="B29" s="2" t="s">
        <v>75</v>
      </c>
      <c r="C29" s="2" t="s">
        <v>6</v>
      </c>
      <c r="D29" s="3" t="s">
        <v>7</v>
      </c>
      <c r="E29" s="14" t="s">
        <v>8</v>
      </c>
      <c r="F29" s="52">
        <v>0</v>
      </c>
      <c r="G29" s="53">
        <f>100*1.35</f>
        <v>135</v>
      </c>
      <c r="H29" s="53">
        <f>300*1.35</f>
        <v>405</v>
      </c>
      <c r="I29" s="52">
        <f t="shared" si="1"/>
        <v>5.6700000000000008</v>
      </c>
      <c r="J29" s="52">
        <v>0</v>
      </c>
      <c r="K29" s="235"/>
      <c r="L29" s="236"/>
      <c r="M29" s="236"/>
      <c r="N29" s="236"/>
      <c r="O29" s="237"/>
    </row>
    <row r="30" spans="2:22" ht="15" thickBot="1" x14ac:dyDescent="0.35"/>
    <row r="31" spans="2:22" x14ac:dyDescent="0.3">
      <c r="B31" s="41"/>
      <c r="C31" s="41"/>
      <c r="D31" s="41"/>
      <c r="E31" s="41"/>
      <c r="F31" s="41"/>
      <c r="G31" s="41"/>
      <c r="H31" s="41"/>
      <c r="I31" s="41"/>
      <c r="J31" s="41"/>
      <c r="K31" s="41"/>
      <c r="L31" s="41"/>
      <c r="M31" s="41"/>
      <c r="N31" s="41"/>
      <c r="O31" s="41"/>
      <c r="P31" s="41"/>
      <c r="Q31" s="41"/>
      <c r="R31" s="41"/>
    </row>
    <row r="32" spans="2:22" x14ac:dyDescent="0.3">
      <c r="B32" s="247" t="s">
        <v>173</v>
      </c>
      <c r="C32" s="247"/>
      <c r="D32" s="247"/>
      <c r="E32" s="247"/>
      <c r="F32" s="247"/>
      <c r="G32" s="247"/>
      <c r="H32" s="197" t="s">
        <v>0</v>
      </c>
      <c r="I32" s="198"/>
      <c r="J32" s="198"/>
      <c r="K32" s="198"/>
    </row>
    <row r="33" spans="2:39" ht="43.2" x14ac:dyDescent="0.3">
      <c r="B33" s="1" t="s">
        <v>34</v>
      </c>
      <c r="C33" s="1" t="s">
        <v>2</v>
      </c>
      <c r="D33" s="1" t="s">
        <v>3</v>
      </c>
      <c r="E33" s="1" t="s">
        <v>62</v>
      </c>
      <c r="F33" s="1" t="s">
        <v>30</v>
      </c>
      <c r="G33" s="1" t="s">
        <v>28</v>
      </c>
      <c r="H33" s="1" t="s">
        <v>29</v>
      </c>
      <c r="I33" s="1" t="s">
        <v>63</v>
      </c>
      <c r="J33" s="1" t="s">
        <v>168</v>
      </c>
      <c r="K33" s="133" t="s">
        <v>4</v>
      </c>
      <c r="L33" s="133"/>
      <c r="M33" s="133"/>
      <c r="N33" s="133"/>
      <c r="O33" s="133"/>
    </row>
    <row r="34" spans="2:39" ht="43.2" x14ac:dyDescent="0.3">
      <c r="B34" s="22" t="s">
        <v>175</v>
      </c>
      <c r="C34" s="11" t="s">
        <v>174</v>
      </c>
      <c r="D34" s="93" t="s">
        <v>39</v>
      </c>
      <c r="E34" s="52" t="s">
        <v>8</v>
      </c>
      <c r="F34" s="92">
        <f>50000</f>
        <v>50000</v>
      </c>
      <c r="G34" s="52" t="s">
        <v>8</v>
      </c>
      <c r="H34" s="52" t="s">
        <v>8</v>
      </c>
      <c r="I34" s="52" t="s">
        <v>8</v>
      </c>
      <c r="J34" s="52" t="s">
        <v>8</v>
      </c>
      <c r="K34" s="248" t="str">
        <f>" - Información proporcionada por Hubbell."</f>
        <v xml:space="preserve"> - Información proporcionada por Hubbell.</v>
      </c>
      <c r="L34" s="249"/>
      <c r="M34" s="249"/>
      <c r="N34" s="249"/>
      <c r="O34" s="250"/>
    </row>
    <row r="35" spans="2:39" ht="15" thickBot="1" x14ac:dyDescent="0.35"/>
    <row r="36" spans="2:39" x14ac:dyDescent="0.3">
      <c r="B36" s="98"/>
      <c r="C36" s="98"/>
      <c r="D36" s="98"/>
      <c r="E36" s="98"/>
      <c r="F36" s="98"/>
      <c r="G36" s="98"/>
      <c r="H36" s="98"/>
      <c r="I36" s="98"/>
      <c r="J36" s="98"/>
      <c r="K36" s="98"/>
      <c r="L36" s="98"/>
      <c r="M36" s="98"/>
      <c r="N36" s="98"/>
      <c r="O36" s="98"/>
      <c r="P36" s="98"/>
      <c r="Q36" s="98"/>
      <c r="R36" s="98"/>
    </row>
    <row r="37" spans="2:39" ht="43.2" x14ac:dyDescent="0.3">
      <c r="B37" s="251" t="s">
        <v>114</v>
      </c>
      <c r="C37" s="22" t="s">
        <v>6</v>
      </c>
      <c r="D37" s="94" t="s">
        <v>38</v>
      </c>
      <c r="E37" s="96">
        <f t="shared" ref="E37:J37" si="2">E14</f>
        <v>441.14</v>
      </c>
      <c r="F37" s="96">
        <f t="shared" si="2"/>
        <v>0</v>
      </c>
      <c r="G37" s="96">
        <f t="shared" si="2"/>
        <v>111</v>
      </c>
      <c r="H37" s="96">
        <f t="shared" si="2"/>
        <v>296</v>
      </c>
      <c r="I37" s="96">
        <f t="shared" si="2"/>
        <v>18.350999999999999</v>
      </c>
      <c r="J37" s="96">
        <f t="shared" si="2"/>
        <v>1.3789473684210527</v>
      </c>
      <c r="K37" s="184" t="str">
        <f>_xlfn._LONGTEXT(" - Se ha supuesto que el costo del medidor es independiente del tipo de tecnología, lo que varía es el módulo de comunicaciones. Se decidió hacer esto para poder comparar de mejor forma los costos de inversión.
 - El costo de el medidor se ha asumido como"," aquellos dispuestos en la cotización de fenacopel del proveedor GEM, Wasion. Estos medidores consideran en su precio la certificación y la entrega en el país.
")</f>
        <v xml:space="preserve"> - Se ha supuesto que el costo del medidor es independiente del tipo de tecnología, lo que varía es el módulo de comunicaciones. Se decidió hacer esto para poder comparar de mejor forma los costos de inversión.
 - El costo de el medidor se ha asumido como aquellos dispuestos en la cotización de fenacopel del proveedor GEM, Wasion. Estos medidores consideran en su precio la certificación y la entrega en el país.
</v>
      </c>
      <c r="L37" s="231"/>
      <c r="M37" s="231"/>
      <c r="N37" s="231"/>
      <c r="O37" s="231"/>
      <c r="P37" s="231"/>
      <c r="Q37" s="231"/>
      <c r="R37" s="232"/>
    </row>
    <row r="38" spans="2:39" ht="43.2" x14ac:dyDescent="0.3">
      <c r="B38" s="251"/>
      <c r="C38" s="22" t="s">
        <v>174</v>
      </c>
      <c r="D38" s="94" t="s">
        <v>39</v>
      </c>
      <c r="E38" s="96">
        <f>E14</f>
        <v>441.14</v>
      </c>
      <c r="F38" s="96">
        <f>F34</f>
        <v>50000</v>
      </c>
      <c r="G38" s="96">
        <f>G15</f>
        <v>115</v>
      </c>
      <c r="H38" s="96">
        <f>H15</f>
        <v>300</v>
      </c>
      <c r="I38" s="96">
        <f>I14</f>
        <v>18.350999999999999</v>
      </c>
      <c r="J38" s="96">
        <f>J14</f>
        <v>1.3789473684210527</v>
      </c>
      <c r="K38" s="187"/>
      <c r="L38" s="233"/>
      <c r="M38" s="233"/>
      <c r="N38" s="233"/>
      <c r="O38" s="233"/>
      <c r="P38" s="233"/>
      <c r="Q38" s="233"/>
      <c r="R38" s="234"/>
    </row>
    <row r="39" spans="2:39" ht="43.2" x14ac:dyDescent="0.3">
      <c r="B39" s="251"/>
      <c r="C39" s="22" t="s">
        <v>176</v>
      </c>
      <c r="D39" s="94" t="s">
        <v>39</v>
      </c>
      <c r="E39" s="96">
        <f>E15</f>
        <v>441.14</v>
      </c>
      <c r="F39" s="96">
        <f>F15</f>
        <v>950</v>
      </c>
      <c r="G39" s="96">
        <f>G15</f>
        <v>115</v>
      </c>
      <c r="H39" s="96">
        <f>H15</f>
        <v>300</v>
      </c>
      <c r="I39" s="96">
        <f>I15</f>
        <v>18.350999999999999</v>
      </c>
      <c r="J39" s="96">
        <f>J15</f>
        <v>1.3789473684210527</v>
      </c>
      <c r="K39" s="187"/>
      <c r="L39" s="233"/>
      <c r="M39" s="233"/>
      <c r="N39" s="233"/>
      <c r="O39" s="233"/>
      <c r="P39" s="233"/>
      <c r="Q39" s="233"/>
      <c r="R39" s="234"/>
    </row>
    <row r="40" spans="2:39" ht="43.2" x14ac:dyDescent="0.3">
      <c r="B40" s="251"/>
      <c r="C40" s="22" t="s">
        <v>177</v>
      </c>
      <c r="D40" s="94" t="s">
        <v>39</v>
      </c>
      <c r="E40" s="96">
        <f t="shared" ref="E40:J40" si="3">E15</f>
        <v>441.14</v>
      </c>
      <c r="F40" s="96">
        <f t="shared" si="3"/>
        <v>950</v>
      </c>
      <c r="G40" s="96">
        <f t="shared" si="3"/>
        <v>115</v>
      </c>
      <c r="H40" s="96">
        <f t="shared" si="3"/>
        <v>300</v>
      </c>
      <c r="I40" s="96">
        <f t="shared" si="3"/>
        <v>18.350999999999999</v>
      </c>
      <c r="J40" s="96">
        <f t="shared" si="3"/>
        <v>1.3789473684210527</v>
      </c>
      <c r="K40" s="187"/>
      <c r="L40" s="233"/>
      <c r="M40" s="233"/>
      <c r="N40" s="233"/>
      <c r="O40" s="233"/>
      <c r="P40" s="233"/>
      <c r="Q40" s="233"/>
      <c r="R40" s="234"/>
    </row>
    <row r="41" spans="2:39" ht="43.2" x14ac:dyDescent="0.3">
      <c r="B41" s="251"/>
      <c r="C41" s="22" t="s">
        <v>78</v>
      </c>
      <c r="D41" s="94" t="s">
        <v>79</v>
      </c>
      <c r="E41" s="96">
        <f>E14</f>
        <v>441.14</v>
      </c>
      <c r="F41" s="96">
        <f>F21</f>
        <v>713.48867140214247</v>
      </c>
      <c r="G41" s="96">
        <f>(80)+(27527/875.66)*1.11</f>
        <v>114.89364593563712</v>
      </c>
      <c r="H41" s="96">
        <f>(265)+(27527/875.66)*1.11</f>
        <v>299.8936459356371</v>
      </c>
      <c r="I41" s="96">
        <f>I14</f>
        <v>18.350999999999999</v>
      </c>
      <c r="J41" s="96">
        <f>J14</f>
        <v>1.3789473684210527</v>
      </c>
      <c r="K41" s="235"/>
      <c r="L41" s="236"/>
      <c r="M41" s="236"/>
      <c r="N41" s="236"/>
      <c r="O41" s="236"/>
      <c r="P41" s="236"/>
      <c r="Q41" s="236"/>
      <c r="R41" s="237"/>
    </row>
    <row r="42" spans="2:39" x14ac:dyDescent="0.3">
      <c r="C42" s="51"/>
    </row>
    <row r="43" spans="2:39" ht="15" thickBot="1" x14ac:dyDescent="0.35"/>
    <row r="44" spans="2:39" ht="24" thickTop="1" x14ac:dyDescent="0.45">
      <c r="B44" s="200" t="s">
        <v>41</v>
      </c>
      <c r="C44" s="200"/>
      <c r="D44" s="200"/>
      <c r="E44" s="200"/>
      <c r="F44" s="200"/>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row>
    <row r="46" spans="2:39" x14ac:dyDescent="0.3">
      <c r="B46" s="206" t="s">
        <v>56</v>
      </c>
      <c r="C46" s="207"/>
      <c r="D46" s="207"/>
      <c r="E46" s="208"/>
      <c r="F46" s="213" t="s">
        <v>53</v>
      </c>
      <c r="G46" s="214"/>
      <c r="L46" s="206" t="s">
        <v>54</v>
      </c>
      <c r="M46" s="207"/>
      <c r="N46" s="207"/>
      <c r="O46" s="207"/>
      <c r="P46" s="207"/>
      <c r="Q46" s="208"/>
      <c r="V46" s="39"/>
      <c r="W46" s="207" t="s">
        <v>57</v>
      </c>
      <c r="X46" s="207"/>
      <c r="Y46" s="207"/>
      <c r="Z46" s="208"/>
      <c r="AA46" s="213" t="s">
        <v>53</v>
      </c>
      <c r="AB46" s="214"/>
      <c r="AG46" s="206" t="s">
        <v>55</v>
      </c>
      <c r="AH46" s="207"/>
      <c r="AI46" s="207"/>
      <c r="AJ46" s="207"/>
      <c r="AK46" s="208"/>
    </row>
    <row r="47" spans="2:39" ht="49.2" customHeight="1" x14ac:dyDescent="0.3">
      <c r="B47" s="133" t="s">
        <v>13</v>
      </c>
      <c r="C47" s="133"/>
      <c r="D47" s="133" t="s">
        <v>14</v>
      </c>
      <c r="E47" s="133"/>
      <c r="F47" s="201" t="s">
        <v>15</v>
      </c>
      <c r="G47" s="201"/>
      <c r="H47" s="3" t="s">
        <v>179</v>
      </c>
      <c r="I47" s="133" t="s">
        <v>4</v>
      </c>
      <c r="J47" s="133"/>
      <c r="L47" s="201" t="s">
        <v>46</v>
      </c>
      <c r="M47" s="201"/>
      <c r="N47" s="3" t="s">
        <v>43</v>
      </c>
      <c r="O47" s="3" t="s">
        <v>42</v>
      </c>
      <c r="P47" s="3" t="s">
        <v>44</v>
      </c>
      <c r="Q47" s="3" t="s">
        <v>48</v>
      </c>
      <c r="R47" s="201" t="s">
        <v>47</v>
      </c>
      <c r="S47" s="201"/>
      <c r="T47" s="201"/>
      <c r="V47" s="39"/>
      <c r="W47" s="226" t="s">
        <v>13</v>
      </c>
      <c r="X47" s="133"/>
      <c r="Y47" s="133" t="s">
        <v>14</v>
      </c>
      <c r="Z47" s="133"/>
      <c r="AA47" s="201" t="s">
        <v>15</v>
      </c>
      <c r="AB47" s="201"/>
      <c r="AC47" s="3" t="s">
        <v>179</v>
      </c>
      <c r="AD47" s="133" t="s">
        <v>4</v>
      </c>
      <c r="AE47" s="133"/>
      <c r="AG47" s="201" t="s">
        <v>46</v>
      </c>
      <c r="AH47" s="201"/>
      <c r="AI47" s="3" t="s">
        <v>43</v>
      </c>
      <c r="AJ47" s="3" t="s">
        <v>42</v>
      </c>
      <c r="AK47" s="3" t="s">
        <v>50</v>
      </c>
      <c r="AL47" s="201" t="s">
        <v>51</v>
      </c>
      <c r="AM47" s="201"/>
    </row>
    <row r="48" spans="2:39" ht="14.4" customHeight="1" x14ac:dyDescent="0.3">
      <c r="B48" s="240" t="s">
        <v>16</v>
      </c>
      <c r="C48" s="240"/>
      <c r="D48" s="209" t="s">
        <v>17</v>
      </c>
      <c r="E48" s="210"/>
      <c r="F48" s="223">
        <f>P48</f>
        <v>10</v>
      </c>
      <c r="G48" s="224"/>
      <c r="H48" s="21">
        <f>8099.16/(F48*20)</f>
        <v>40.495800000000003</v>
      </c>
      <c r="I48" s="157" t="s">
        <v>110</v>
      </c>
      <c r="J48" s="158"/>
      <c r="L48" s="202" t="s">
        <v>16</v>
      </c>
      <c r="M48" s="202"/>
      <c r="N48" s="11">
        <v>2</v>
      </c>
      <c r="O48" s="11">
        <v>1</v>
      </c>
      <c r="P48" s="22">
        <f>10*O48</f>
        <v>10</v>
      </c>
      <c r="Q48" s="22">
        <f>8*O48</f>
        <v>8</v>
      </c>
      <c r="R48" s="205" t="s">
        <v>24</v>
      </c>
      <c r="S48" s="205"/>
      <c r="T48" s="205"/>
      <c r="V48" s="39"/>
      <c r="W48" s="210" t="s">
        <v>16</v>
      </c>
      <c r="X48" s="240"/>
      <c r="Y48" s="209" t="s">
        <v>17</v>
      </c>
      <c r="Z48" s="210"/>
      <c r="AA48" s="163">
        <v>10</v>
      </c>
      <c r="AB48" s="164"/>
      <c r="AC48" s="21">
        <v>81.77</v>
      </c>
      <c r="AD48" s="157" t="s">
        <v>109</v>
      </c>
      <c r="AE48" s="158"/>
      <c r="AG48" s="202" t="s">
        <v>16</v>
      </c>
      <c r="AH48" s="202"/>
      <c r="AI48" s="11">
        <v>2</v>
      </c>
      <c r="AJ48" s="11">
        <v>1</v>
      </c>
      <c r="AK48" s="22">
        <f>3*AJ48</f>
        <v>3</v>
      </c>
      <c r="AL48" s="205" t="s">
        <v>52</v>
      </c>
      <c r="AM48" s="205"/>
    </row>
    <row r="49" spans="2:39" x14ac:dyDescent="0.3">
      <c r="B49" s="240"/>
      <c r="C49" s="240"/>
      <c r="D49" s="209" t="s">
        <v>115</v>
      </c>
      <c r="E49" s="210"/>
      <c r="F49" s="223">
        <f>Q48</f>
        <v>8</v>
      </c>
      <c r="G49" s="224"/>
      <c r="H49" s="21">
        <f>8099.16/(F49*20)</f>
        <v>50.619749999999996</v>
      </c>
      <c r="I49" s="158"/>
      <c r="J49" s="158"/>
      <c r="L49" s="218" t="s">
        <v>19</v>
      </c>
      <c r="M49" s="218"/>
      <c r="N49" s="2">
        <v>2</v>
      </c>
      <c r="O49" s="2">
        <v>1</v>
      </c>
      <c r="P49" s="2">
        <f>8*O49</f>
        <v>8</v>
      </c>
      <c r="Q49" s="2">
        <f>6*O49</f>
        <v>6</v>
      </c>
      <c r="R49" s="243" t="s">
        <v>25</v>
      </c>
      <c r="S49" s="243"/>
      <c r="T49" s="243"/>
      <c r="V49" s="39"/>
      <c r="W49" s="210"/>
      <c r="X49" s="240"/>
      <c r="Y49" s="209" t="s">
        <v>115</v>
      </c>
      <c r="Z49" s="210"/>
      <c r="AA49" s="163">
        <v>6</v>
      </c>
      <c r="AB49" s="164"/>
      <c r="AC49" s="21">
        <v>204.42</v>
      </c>
      <c r="AD49" s="158"/>
      <c r="AE49" s="158"/>
      <c r="AG49" s="218" t="s">
        <v>19</v>
      </c>
      <c r="AH49" s="218"/>
      <c r="AI49" s="2">
        <v>2</v>
      </c>
      <c r="AJ49" s="2">
        <v>1</v>
      </c>
      <c r="AK49" s="2">
        <f>3*AJ49</f>
        <v>3</v>
      </c>
      <c r="AL49" s="219" t="s">
        <v>25</v>
      </c>
      <c r="AM49" s="220"/>
    </row>
    <row r="50" spans="2:39" x14ac:dyDescent="0.3">
      <c r="B50" s="240"/>
      <c r="C50" s="240"/>
      <c r="D50" s="209" t="s">
        <v>116</v>
      </c>
      <c r="E50" s="210"/>
      <c r="F50" s="223" t="s">
        <v>8</v>
      </c>
      <c r="G50" s="224"/>
      <c r="H50" s="23" t="s">
        <v>8</v>
      </c>
      <c r="I50" s="158"/>
      <c r="J50" s="158"/>
      <c r="L50" s="218" t="s">
        <v>20</v>
      </c>
      <c r="M50" s="218"/>
      <c r="N50" s="2">
        <v>2</v>
      </c>
      <c r="O50" s="2">
        <v>1</v>
      </c>
      <c r="P50" s="2">
        <f>6*O50</f>
        <v>6</v>
      </c>
      <c r="Q50" s="2">
        <f>4*O50</f>
        <v>4</v>
      </c>
      <c r="R50" s="243" t="s">
        <v>25</v>
      </c>
      <c r="S50" s="243"/>
      <c r="T50" s="243"/>
      <c r="V50" s="39"/>
      <c r="W50" s="210"/>
      <c r="X50" s="240"/>
      <c r="Y50" s="209" t="s">
        <v>116</v>
      </c>
      <c r="Z50" s="210"/>
      <c r="AA50" s="223">
        <f>AK48</f>
        <v>3</v>
      </c>
      <c r="AB50" s="224"/>
      <c r="AC50" s="21">
        <f>(367.96*$AK$48)/AA50</f>
        <v>367.96</v>
      </c>
      <c r="AD50" s="158"/>
      <c r="AE50" s="158"/>
      <c r="AG50" s="218" t="s">
        <v>20</v>
      </c>
      <c r="AH50" s="218"/>
      <c r="AI50" s="2">
        <v>2</v>
      </c>
      <c r="AJ50" s="2">
        <v>1</v>
      </c>
      <c r="AK50" s="2">
        <f>3*AJ50</f>
        <v>3</v>
      </c>
      <c r="AL50" s="219" t="s">
        <v>25</v>
      </c>
      <c r="AM50" s="220"/>
    </row>
    <row r="51" spans="2:39" ht="15" thickBot="1" x14ac:dyDescent="0.35">
      <c r="B51" s="241"/>
      <c r="C51" s="241"/>
      <c r="D51" s="148" t="s">
        <v>18</v>
      </c>
      <c r="E51" s="149"/>
      <c r="F51" s="150">
        <f>F49</f>
        <v>8</v>
      </c>
      <c r="G51" s="151"/>
      <c r="H51" s="24">
        <f>8099.16/(F51*20)</f>
        <v>50.619749999999996</v>
      </c>
      <c r="I51" s="158"/>
      <c r="J51" s="158"/>
      <c r="L51" s="202" t="s">
        <v>21</v>
      </c>
      <c r="M51" s="202"/>
      <c r="N51" s="11">
        <v>2</v>
      </c>
      <c r="O51" s="11">
        <v>1</v>
      </c>
      <c r="P51" s="22">
        <f>4*O51</f>
        <v>4</v>
      </c>
      <c r="Q51" s="22">
        <f>3*O51</f>
        <v>3</v>
      </c>
      <c r="R51" s="205" t="s">
        <v>24</v>
      </c>
      <c r="S51" s="205"/>
      <c r="T51" s="205"/>
      <c r="V51" s="39"/>
      <c r="W51" s="149"/>
      <c r="X51" s="241"/>
      <c r="Y51" s="152" t="s">
        <v>18</v>
      </c>
      <c r="Z51" s="153"/>
      <c r="AA51" s="161" t="s">
        <v>8</v>
      </c>
      <c r="AB51" s="162"/>
      <c r="AC51" s="42" t="s">
        <v>8</v>
      </c>
      <c r="AD51" s="158"/>
      <c r="AE51" s="158"/>
      <c r="AG51" s="218" t="s">
        <v>49</v>
      </c>
      <c r="AH51" s="218"/>
      <c r="AI51" s="2">
        <v>2</v>
      </c>
      <c r="AJ51" s="2">
        <v>1</v>
      </c>
      <c r="AK51" s="2">
        <f>2*AJ51</f>
        <v>2</v>
      </c>
      <c r="AL51" s="219" t="s">
        <v>25</v>
      </c>
      <c r="AM51" s="220"/>
    </row>
    <row r="52" spans="2:39" x14ac:dyDescent="0.3">
      <c r="B52" s="228" t="s">
        <v>19</v>
      </c>
      <c r="C52" s="228"/>
      <c r="D52" s="134" t="s">
        <v>17</v>
      </c>
      <c r="E52" s="135"/>
      <c r="F52" s="136">
        <f>P49</f>
        <v>8</v>
      </c>
      <c r="G52" s="137"/>
      <c r="H52" s="17">
        <f t="shared" ref="H52:H53" si="4">8099.16/(F52*20)</f>
        <v>50.619749999999996</v>
      </c>
      <c r="I52" s="158"/>
      <c r="J52" s="158"/>
      <c r="L52" s="218" t="s">
        <v>22</v>
      </c>
      <c r="M52" s="218"/>
      <c r="N52" s="2">
        <v>2</v>
      </c>
      <c r="O52" s="2">
        <v>1</v>
      </c>
      <c r="P52" s="2">
        <f>3*O52</f>
        <v>3</v>
      </c>
      <c r="Q52" s="2">
        <f>2*O52</f>
        <v>2</v>
      </c>
      <c r="R52" s="243" t="s">
        <v>45</v>
      </c>
      <c r="S52" s="243"/>
      <c r="T52" s="243"/>
      <c r="V52" s="39"/>
      <c r="W52" s="227" t="s">
        <v>19</v>
      </c>
      <c r="X52" s="228"/>
      <c r="Y52" s="134" t="s">
        <v>17</v>
      </c>
      <c r="Z52" s="135"/>
      <c r="AA52" s="221">
        <v>8</v>
      </c>
      <c r="AB52" s="222"/>
      <c r="AC52" s="19">
        <f>(AC48*AA48)/AA52</f>
        <v>102.21249999999999</v>
      </c>
      <c r="AD52" s="158"/>
      <c r="AE52" s="158"/>
      <c r="AG52" s="218" t="s">
        <v>22</v>
      </c>
      <c r="AH52" s="218"/>
      <c r="AI52" s="2">
        <v>2</v>
      </c>
      <c r="AJ52" s="2">
        <v>1</v>
      </c>
      <c r="AK52" s="2">
        <f>2*AJ52</f>
        <v>2</v>
      </c>
      <c r="AL52" s="219" t="s">
        <v>25</v>
      </c>
      <c r="AM52" s="220"/>
    </row>
    <row r="53" spans="2:39" x14ac:dyDescent="0.3">
      <c r="B53" s="133"/>
      <c r="C53" s="133"/>
      <c r="D53" s="134" t="s">
        <v>115</v>
      </c>
      <c r="E53" s="135"/>
      <c r="F53" s="138">
        <f>Q49</f>
        <v>6</v>
      </c>
      <c r="G53" s="139"/>
      <c r="H53" s="5">
        <f t="shared" si="4"/>
        <v>67.492999999999995</v>
      </c>
      <c r="I53" s="158"/>
      <c r="J53" s="158"/>
      <c r="V53" s="39"/>
      <c r="W53" s="226"/>
      <c r="X53" s="133"/>
      <c r="Y53" s="134" t="s">
        <v>115</v>
      </c>
      <c r="Z53" s="135"/>
      <c r="AA53" s="138">
        <v>5</v>
      </c>
      <c r="AB53" s="139"/>
      <c r="AC53" s="5">
        <f>(AC49*AA49)/AA53</f>
        <v>245.304</v>
      </c>
      <c r="AD53" s="158"/>
      <c r="AE53" s="158"/>
    </row>
    <row r="54" spans="2:39" x14ac:dyDescent="0.3">
      <c r="B54" s="133"/>
      <c r="C54" s="133"/>
      <c r="D54" s="134" t="s">
        <v>116</v>
      </c>
      <c r="E54" s="135"/>
      <c r="F54" s="138" t="s">
        <v>8</v>
      </c>
      <c r="G54" s="139"/>
      <c r="H54" s="5" t="s">
        <v>8</v>
      </c>
      <c r="I54" s="158"/>
      <c r="J54" s="158"/>
      <c r="V54" s="39"/>
      <c r="W54" s="226"/>
      <c r="X54" s="133"/>
      <c r="Y54" s="134" t="s">
        <v>116</v>
      </c>
      <c r="Z54" s="135"/>
      <c r="AA54" s="138">
        <f>AK49</f>
        <v>3</v>
      </c>
      <c r="AB54" s="139"/>
      <c r="AC54" s="5">
        <f>(367.96*$AK$48)/AA54</f>
        <v>367.96</v>
      </c>
      <c r="AD54" s="158"/>
      <c r="AE54" s="158"/>
    </row>
    <row r="55" spans="2:39" ht="15" thickBot="1" x14ac:dyDescent="0.35">
      <c r="B55" s="230"/>
      <c r="C55" s="230"/>
      <c r="D55" s="152" t="s">
        <v>18</v>
      </c>
      <c r="E55" s="153"/>
      <c r="F55" s="159">
        <f>F53</f>
        <v>6</v>
      </c>
      <c r="G55" s="160"/>
      <c r="H55" s="20">
        <f>8099.16/(F55*20)</f>
        <v>67.492999999999995</v>
      </c>
      <c r="I55" s="158"/>
      <c r="J55" s="158"/>
      <c r="V55" s="39"/>
      <c r="W55" s="229"/>
      <c r="X55" s="230"/>
      <c r="Y55" s="152" t="s">
        <v>18</v>
      </c>
      <c r="Z55" s="153"/>
      <c r="AA55" s="159" t="s">
        <v>8</v>
      </c>
      <c r="AB55" s="160"/>
      <c r="AC55" s="18" t="s">
        <v>8</v>
      </c>
      <c r="AD55" s="158"/>
      <c r="AE55" s="158"/>
    </row>
    <row r="56" spans="2:39" x14ac:dyDescent="0.3">
      <c r="B56" s="228" t="s">
        <v>20</v>
      </c>
      <c r="C56" s="228"/>
      <c r="D56" s="134" t="s">
        <v>17</v>
      </c>
      <c r="E56" s="135"/>
      <c r="F56" s="136">
        <f>P50</f>
        <v>6</v>
      </c>
      <c r="G56" s="137"/>
      <c r="H56" s="17">
        <f t="shared" ref="H56:H57" si="5">8099.16/(F56*20)</f>
        <v>67.492999999999995</v>
      </c>
      <c r="I56" s="158"/>
      <c r="J56" s="158"/>
      <c r="V56" s="39"/>
      <c r="W56" s="227" t="s">
        <v>20</v>
      </c>
      <c r="X56" s="228"/>
      <c r="Y56" s="134" t="s">
        <v>17</v>
      </c>
      <c r="Z56" s="135"/>
      <c r="AA56" s="221">
        <v>6</v>
      </c>
      <c r="AB56" s="222"/>
      <c r="AC56" s="19">
        <f>(AC48*AA48)/AA56</f>
        <v>136.28333333333333</v>
      </c>
      <c r="AD56" s="158"/>
      <c r="AE56" s="158"/>
    </row>
    <row r="57" spans="2:39" x14ac:dyDescent="0.3">
      <c r="B57" s="133"/>
      <c r="C57" s="133"/>
      <c r="D57" s="134" t="s">
        <v>115</v>
      </c>
      <c r="E57" s="135"/>
      <c r="F57" s="138">
        <f>Q50</f>
        <v>4</v>
      </c>
      <c r="G57" s="139"/>
      <c r="H57" s="5">
        <f t="shared" si="5"/>
        <v>101.23949999999999</v>
      </c>
      <c r="I57" s="158"/>
      <c r="J57" s="158"/>
      <c r="V57" s="39"/>
      <c r="W57" s="226"/>
      <c r="X57" s="133"/>
      <c r="Y57" s="134" t="s">
        <v>115</v>
      </c>
      <c r="Z57" s="135"/>
      <c r="AA57" s="138">
        <v>4</v>
      </c>
      <c r="AB57" s="139"/>
      <c r="AC57" s="5">
        <f>(AC49*AA49)/AA57</f>
        <v>306.63</v>
      </c>
      <c r="AD57" s="158"/>
      <c r="AE57" s="158"/>
    </row>
    <row r="58" spans="2:39" x14ac:dyDescent="0.3">
      <c r="B58" s="133"/>
      <c r="C58" s="133"/>
      <c r="D58" s="134" t="s">
        <v>116</v>
      </c>
      <c r="E58" s="135"/>
      <c r="F58" s="138" t="s">
        <v>8</v>
      </c>
      <c r="G58" s="139"/>
      <c r="H58" s="5" t="s">
        <v>8</v>
      </c>
      <c r="I58" s="158"/>
      <c r="J58" s="158"/>
      <c r="V58" s="39"/>
      <c r="W58" s="226"/>
      <c r="X58" s="133"/>
      <c r="Y58" s="134" t="s">
        <v>116</v>
      </c>
      <c r="Z58" s="135"/>
      <c r="AA58" s="138">
        <f>AK50</f>
        <v>3</v>
      </c>
      <c r="AB58" s="139"/>
      <c r="AC58" s="5">
        <f t="shared" ref="AC58" si="6">(367.96*$AK$48)/AA58</f>
        <v>367.96</v>
      </c>
      <c r="AD58" s="158"/>
      <c r="AE58" s="158"/>
    </row>
    <row r="59" spans="2:39" ht="15" thickBot="1" x14ac:dyDescent="0.35">
      <c r="B59" s="230"/>
      <c r="C59" s="230"/>
      <c r="D59" s="152" t="s">
        <v>18</v>
      </c>
      <c r="E59" s="153"/>
      <c r="F59" s="159">
        <f>F57</f>
        <v>4</v>
      </c>
      <c r="G59" s="160"/>
      <c r="H59" s="20">
        <f>8099.16/(F59*20)</f>
        <v>101.23949999999999</v>
      </c>
      <c r="I59" s="158"/>
      <c r="J59" s="158"/>
      <c r="V59" s="39"/>
      <c r="W59" s="229"/>
      <c r="X59" s="230"/>
      <c r="Y59" s="152" t="s">
        <v>18</v>
      </c>
      <c r="Z59" s="153"/>
      <c r="AA59" s="159" t="s">
        <v>8</v>
      </c>
      <c r="AB59" s="160"/>
      <c r="AC59" s="18" t="s">
        <v>8</v>
      </c>
      <c r="AD59" s="158"/>
      <c r="AE59" s="158"/>
    </row>
    <row r="60" spans="2:39" x14ac:dyDescent="0.3">
      <c r="B60" s="242" t="s">
        <v>21</v>
      </c>
      <c r="C60" s="242"/>
      <c r="D60" s="209" t="s">
        <v>17</v>
      </c>
      <c r="E60" s="210"/>
      <c r="F60" s="238">
        <f>P51</f>
        <v>4</v>
      </c>
      <c r="G60" s="239"/>
      <c r="H60" s="25">
        <f t="shared" ref="H60:H61" si="7">8099.16/(F60*20)</f>
        <v>101.23949999999999</v>
      </c>
      <c r="I60" s="158"/>
      <c r="J60" s="158"/>
      <c r="V60" s="39"/>
      <c r="W60" s="227" t="s">
        <v>49</v>
      </c>
      <c r="X60" s="228"/>
      <c r="Y60" s="134" t="s">
        <v>17</v>
      </c>
      <c r="Z60" s="135"/>
      <c r="AA60" s="221">
        <v>5</v>
      </c>
      <c r="AB60" s="222"/>
      <c r="AC60" s="19">
        <f>(AC48*AA48)/AA60</f>
        <v>163.54</v>
      </c>
      <c r="AD60" s="158"/>
      <c r="AE60" s="158"/>
    </row>
    <row r="61" spans="2:39" x14ac:dyDescent="0.3">
      <c r="B61" s="240"/>
      <c r="C61" s="240"/>
      <c r="D61" s="209" t="s">
        <v>115</v>
      </c>
      <c r="E61" s="210"/>
      <c r="F61" s="223">
        <f>Q51</f>
        <v>3</v>
      </c>
      <c r="G61" s="224"/>
      <c r="H61" s="21">
        <f t="shared" si="7"/>
        <v>134.98599999999999</v>
      </c>
      <c r="I61" s="158"/>
      <c r="J61" s="158"/>
      <c r="V61" s="39"/>
      <c r="W61" s="226"/>
      <c r="X61" s="133"/>
      <c r="Y61" s="134" t="s">
        <v>115</v>
      </c>
      <c r="Z61" s="135"/>
      <c r="AA61" s="138">
        <v>4</v>
      </c>
      <c r="AB61" s="139"/>
      <c r="AC61" s="5">
        <f>(AC49*AA49)/AA61</f>
        <v>306.63</v>
      </c>
      <c r="AD61" s="158"/>
      <c r="AE61" s="158"/>
    </row>
    <row r="62" spans="2:39" x14ac:dyDescent="0.3">
      <c r="B62" s="240"/>
      <c r="C62" s="240"/>
      <c r="D62" s="209" t="s">
        <v>116</v>
      </c>
      <c r="E62" s="210"/>
      <c r="F62" s="223" t="s">
        <v>8</v>
      </c>
      <c r="G62" s="224"/>
      <c r="H62" s="21" t="s">
        <v>8</v>
      </c>
      <c r="I62" s="158"/>
      <c r="J62" s="158"/>
      <c r="V62" s="39"/>
      <c r="W62" s="226"/>
      <c r="X62" s="133"/>
      <c r="Y62" s="134" t="s">
        <v>116</v>
      </c>
      <c r="Z62" s="135"/>
      <c r="AA62" s="138">
        <f>AK51</f>
        <v>2</v>
      </c>
      <c r="AB62" s="139"/>
      <c r="AC62" s="5">
        <f t="shared" ref="AC62" si="8">(367.96*$AK$48)/AA62</f>
        <v>551.93999999999994</v>
      </c>
      <c r="AD62" s="158"/>
      <c r="AE62" s="158"/>
    </row>
    <row r="63" spans="2:39" ht="15" thickBot="1" x14ac:dyDescent="0.35">
      <c r="B63" s="241"/>
      <c r="C63" s="241"/>
      <c r="D63" s="148" t="s">
        <v>18</v>
      </c>
      <c r="E63" s="149"/>
      <c r="F63" s="150">
        <f>F61</f>
        <v>3</v>
      </c>
      <c r="G63" s="151"/>
      <c r="H63" s="24">
        <f>8099.16/(F63*20)</f>
        <v>134.98599999999999</v>
      </c>
      <c r="I63" s="158"/>
      <c r="J63" s="158"/>
      <c r="V63" s="39"/>
      <c r="W63" s="229"/>
      <c r="X63" s="230"/>
      <c r="Y63" s="152" t="s">
        <v>18</v>
      </c>
      <c r="Z63" s="153"/>
      <c r="AA63" s="159" t="s">
        <v>8</v>
      </c>
      <c r="AB63" s="160"/>
      <c r="AC63" s="18" t="s">
        <v>8</v>
      </c>
      <c r="AD63" s="158"/>
      <c r="AE63" s="158"/>
    </row>
    <row r="64" spans="2:39" x14ac:dyDescent="0.3">
      <c r="B64" s="132" t="s">
        <v>22</v>
      </c>
      <c r="C64" s="132"/>
      <c r="D64" s="134" t="s">
        <v>17</v>
      </c>
      <c r="E64" s="135"/>
      <c r="F64" s="136">
        <f>P52</f>
        <v>3</v>
      </c>
      <c r="G64" s="137"/>
      <c r="H64" s="17">
        <f t="shared" ref="H64:H65" si="9">8099.16/(F64*20)</f>
        <v>134.98599999999999</v>
      </c>
      <c r="I64" s="158"/>
      <c r="J64" s="158"/>
      <c r="V64" s="39"/>
      <c r="W64" s="225" t="s">
        <v>22</v>
      </c>
      <c r="X64" s="132"/>
      <c r="Y64" s="134" t="s">
        <v>17</v>
      </c>
      <c r="Z64" s="135"/>
      <c r="AA64" s="136">
        <v>4</v>
      </c>
      <c r="AB64" s="137"/>
      <c r="AC64" s="17">
        <f>(AC48*AA48)/AA64</f>
        <v>204.42499999999998</v>
      </c>
      <c r="AD64" s="158"/>
      <c r="AE64" s="158"/>
    </row>
    <row r="65" spans="2:31" x14ac:dyDescent="0.3">
      <c r="B65" s="133"/>
      <c r="C65" s="133"/>
      <c r="D65" s="134" t="s">
        <v>115</v>
      </c>
      <c r="E65" s="135"/>
      <c r="F65" s="138">
        <f>Q52</f>
        <v>2</v>
      </c>
      <c r="G65" s="139"/>
      <c r="H65" s="5">
        <f t="shared" si="9"/>
        <v>202.47899999999998</v>
      </c>
      <c r="I65" s="158"/>
      <c r="J65" s="158"/>
      <c r="V65" s="39"/>
      <c r="W65" s="226"/>
      <c r="X65" s="133"/>
      <c r="Y65" s="134" t="s">
        <v>115</v>
      </c>
      <c r="Z65" s="135"/>
      <c r="AA65" s="138">
        <v>3</v>
      </c>
      <c r="AB65" s="139"/>
      <c r="AC65" s="5">
        <f>(AC49*AA49)/AA65</f>
        <v>408.84</v>
      </c>
      <c r="AD65" s="158"/>
      <c r="AE65" s="158"/>
    </row>
    <row r="66" spans="2:31" x14ac:dyDescent="0.3">
      <c r="B66" s="133"/>
      <c r="C66" s="133"/>
      <c r="D66" s="134" t="s">
        <v>116</v>
      </c>
      <c r="E66" s="135"/>
      <c r="F66" s="138" t="s">
        <v>8</v>
      </c>
      <c r="G66" s="139"/>
      <c r="H66" s="13" t="s">
        <v>8</v>
      </c>
      <c r="I66" s="158"/>
      <c r="J66" s="158"/>
      <c r="V66" s="39"/>
      <c r="W66" s="226"/>
      <c r="X66" s="133"/>
      <c r="Y66" s="134" t="s">
        <v>116</v>
      </c>
      <c r="Z66" s="135"/>
      <c r="AA66" s="138">
        <f>AK52</f>
        <v>2</v>
      </c>
      <c r="AB66" s="139"/>
      <c r="AC66" s="5">
        <f>(367.96*$AK$48)/AA66</f>
        <v>551.93999999999994</v>
      </c>
      <c r="AD66" s="158"/>
      <c r="AE66" s="158"/>
    </row>
    <row r="67" spans="2:31" ht="15" thickBot="1" x14ac:dyDescent="0.35">
      <c r="B67" s="133"/>
      <c r="C67" s="133"/>
      <c r="D67" s="152" t="s">
        <v>18</v>
      </c>
      <c r="E67" s="153"/>
      <c r="F67" s="138">
        <f>F65</f>
        <v>2</v>
      </c>
      <c r="G67" s="139"/>
      <c r="H67" s="5">
        <f>8099.16/(F67*20)</f>
        <v>202.47899999999998</v>
      </c>
      <c r="I67" s="158"/>
      <c r="J67" s="158"/>
      <c r="V67" s="39"/>
      <c r="W67" s="226"/>
      <c r="X67" s="133"/>
      <c r="Y67" s="152" t="s">
        <v>18</v>
      </c>
      <c r="Z67" s="153"/>
      <c r="AA67" s="138" t="s">
        <v>8</v>
      </c>
      <c r="AB67" s="139"/>
      <c r="AC67" s="13" t="s">
        <v>8</v>
      </c>
      <c r="AD67" s="158"/>
      <c r="AE67" s="158"/>
    </row>
    <row r="68" spans="2:31" ht="28.2" customHeight="1" thickBot="1" x14ac:dyDescent="0.35">
      <c r="B68" s="40"/>
      <c r="C68" s="40"/>
      <c r="D68" s="40"/>
      <c r="E68" s="40"/>
      <c r="F68" s="40"/>
      <c r="G68" s="40"/>
      <c r="H68" s="40"/>
      <c r="I68" s="40"/>
      <c r="J68" s="40"/>
      <c r="K68" s="40"/>
      <c r="L68" s="40"/>
      <c r="M68" s="40"/>
      <c r="N68" s="40"/>
      <c r="O68" s="40"/>
      <c r="P68" s="40"/>
      <c r="Q68" s="40"/>
      <c r="R68" s="40"/>
      <c r="S68" s="40"/>
      <c r="T68" s="40"/>
    </row>
    <row r="69" spans="2:31" ht="28.8" customHeight="1" x14ac:dyDescent="0.3"/>
    <row r="70" spans="2:31" x14ac:dyDescent="0.3">
      <c r="B70" s="170" t="s">
        <v>105</v>
      </c>
      <c r="C70" s="170"/>
      <c r="D70" s="170"/>
      <c r="E70" s="170"/>
      <c r="F70" s="170"/>
      <c r="G70" s="170"/>
      <c r="H70" s="213" t="s">
        <v>53</v>
      </c>
      <c r="I70" s="214"/>
      <c r="L70" s="170" t="s">
        <v>105</v>
      </c>
      <c r="M70" s="170"/>
      <c r="N70" s="170"/>
      <c r="O70" s="170"/>
      <c r="P70" s="170"/>
      <c r="Q70" s="170"/>
    </row>
    <row r="71" spans="2:31" ht="43.2" customHeight="1" x14ac:dyDescent="0.3">
      <c r="B71" s="133" t="s">
        <v>13</v>
      </c>
      <c r="C71" s="133"/>
      <c r="D71" s="133" t="s">
        <v>14</v>
      </c>
      <c r="E71" s="133"/>
      <c r="F71" s="201" t="s">
        <v>15</v>
      </c>
      <c r="G71" s="201"/>
      <c r="H71" s="3" t="s">
        <v>179</v>
      </c>
      <c r="I71" s="133" t="s">
        <v>4</v>
      </c>
      <c r="J71" s="133"/>
      <c r="L71" s="171" t="s">
        <v>96</v>
      </c>
      <c r="M71" s="171"/>
      <c r="N71" s="56" t="s">
        <v>97</v>
      </c>
      <c r="O71" s="54" t="s">
        <v>98</v>
      </c>
      <c r="P71" s="55" t="s">
        <v>99</v>
      </c>
      <c r="Q71" s="142" t="s">
        <v>100</v>
      </c>
      <c r="R71" s="143"/>
      <c r="S71" s="154" t="s">
        <v>108</v>
      </c>
      <c r="T71" s="155"/>
    </row>
    <row r="72" spans="2:31" x14ac:dyDescent="0.3">
      <c r="B72" s="240" t="s">
        <v>16</v>
      </c>
      <c r="C72" s="240"/>
      <c r="D72" s="209" t="s">
        <v>17</v>
      </c>
      <c r="E72" s="210"/>
      <c r="F72" s="223">
        <v>10</v>
      </c>
      <c r="G72" s="224"/>
      <c r="H72" s="21">
        <f>46.76</f>
        <v>46.76</v>
      </c>
      <c r="I72" s="157" t="str">
        <f>_xlfn._LONGTEXT("- Fuente para la productividad: página 74 Informe GTD 1. 
- Fuente del costo de instalación: SMMC VAD 2020-2024 ajustados por CPI (1,11).
- Se considera una brigada de 3 electricistas.
- Según página 74 Informe GTD 1, el costo de intalación de un concentr","ador DCU, se puede aproximar al costo de instalación de un UM 3F.
 - Estos montos son invariante del tipo de tecnología, salvo por el caso de TWACS, el cual dada su mayor magnitud se ha asumido como si fuese un UM 3F Inderecta.")</f>
        <v>- Fuente para la productividad: página 74 Informe GTD 1. 
- Fuente del costo de instalación: SMMC VAD 2020-2024 ajustados por CPI (1,11).
- Se considera una brigada de 3 electricistas.
- Según página 74 Informe GTD 1, el costo de intalación de un concentrador DCU, se puede aproximar al costo de instalación de un UM 3F.
 - Estos montos son invariante del tipo de tecnología, salvo por el caso de TWACS, el cual dada su mayor magnitud se ha asumido como si fuese un UM 3F Inderecta.</v>
      </c>
      <c r="J72" s="158"/>
      <c r="L72" s="172" t="s">
        <v>101</v>
      </c>
      <c r="M72" s="172"/>
      <c r="N72" s="57">
        <f>S72</f>
        <v>0.55000000000000004</v>
      </c>
      <c r="O72" s="36">
        <f t="shared" ref="O72:O75" si="10">N72*8.5</f>
        <v>4.6750000000000007</v>
      </c>
      <c r="P72" s="37">
        <f t="shared" ref="P72:P75" si="11">O72*20</f>
        <v>93.500000000000014</v>
      </c>
      <c r="Q72" s="144">
        <f>P72*$P$93</f>
        <v>3282876.6300000008</v>
      </c>
      <c r="R72" s="144"/>
      <c r="S72" s="156">
        <v>0.55000000000000004</v>
      </c>
      <c r="T72" s="156"/>
    </row>
    <row r="73" spans="2:31" x14ac:dyDescent="0.3">
      <c r="B73" s="240"/>
      <c r="C73" s="240"/>
      <c r="D73" s="209" t="s">
        <v>115</v>
      </c>
      <c r="E73" s="210"/>
      <c r="F73" s="223">
        <v>8</v>
      </c>
      <c r="G73" s="224"/>
      <c r="H73" s="21">
        <v>58.45</v>
      </c>
      <c r="I73" s="158"/>
      <c r="J73" s="158"/>
      <c r="L73" s="172" t="s">
        <v>102</v>
      </c>
      <c r="M73" s="172"/>
      <c r="N73" s="57">
        <f>S73</f>
        <v>0.3</v>
      </c>
      <c r="O73" s="36">
        <f t="shared" si="10"/>
        <v>2.5499999999999998</v>
      </c>
      <c r="P73" s="37">
        <f t="shared" si="11"/>
        <v>51</v>
      </c>
      <c r="Q73" s="144">
        <f>P73*$P$93</f>
        <v>1790659.9800000002</v>
      </c>
      <c r="R73" s="144"/>
      <c r="S73" s="156">
        <v>0.3</v>
      </c>
      <c r="T73" s="156"/>
    </row>
    <row r="74" spans="2:31" x14ac:dyDescent="0.3">
      <c r="B74" s="240"/>
      <c r="C74" s="240"/>
      <c r="D74" s="209" t="s">
        <v>116</v>
      </c>
      <c r="E74" s="210"/>
      <c r="F74" s="223">
        <v>3</v>
      </c>
      <c r="G74" s="224"/>
      <c r="H74" s="23">
        <v>155.85</v>
      </c>
      <c r="I74" s="158"/>
      <c r="J74" s="158"/>
      <c r="L74" s="172" t="s">
        <v>103</v>
      </c>
      <c r="M74" s="172"/>
      <c r="N74" s="57">
        <f>S74</f>
        <v>0.23</v>
      </c>
      <c r="O74" s="36">
        <f t="shared" si="10"/>
        <v>1.9550000000000001</v>
      </c>
      <c r="P74" s="37">
        <f t="shared" si="11"/>
        <v>39.1</v>
      </c>
      <c r="Q74" s="144">
        <f>P74*$P$93</f>
        <v>1372839.3180000002</v>
      </c>
      <c r="R74" s="144"/>
      <c r="S74" s="156">
        <v>0.23</v>
      </c>
      <c r="T74" s="156"/>
    </row>
    <row r="75" spans="2:31" ht="15" thickBot="1" x14ac:dyDescent="0.35">
      <c r="B75" s="241"/>
      <c r="C75" s="241"/>
      <c r="D75" s="148" t="s">
        <v>18</v>
      </c>
      <c r="E75" s="149"/>
      <c r="F75" s="150">
        <f>F73</f>
        <v>8</v>
      </c>
      <c r="G75" s="151"/>
      <c r="H75" s="24">
        <f>H73</f>
        <v>58.45</v>
      </c>
      <c r="I75" s="158"/>
      <c r="J75" s="158"/>
      <c r="L75" s="172" t="s">
        <v>104</v>
      </c>
      <c r="M75" s="172"/>
      <c r="N75" s="57">
        <f>S75</f>
        <v>0.23</v>
      </c>
      <c r="O75" s="36">
        <f t="shared" si="10"/>
        <v>1.9550000000000001</v>
      </c>
      <c r="P75" s="37">
        <f t="shared" si="11"/>
        <v>39.1</v>
      </c>
      <c r="Q75" s="144">
        <f>P75*$P$93</f>
        <v>1372839.3180000002</v>
      </c>
      <c r="R75" s="144"/>
      <c r="S75" s="156">
        <v>0.23</v>
      </c>
      <c r="T75" s="156"/>
    </row>
    <row r="76" spans="2:31" x14ac:dyDescent="0.3">
      <c r="B76" s="228" t="s">
        <v>19</v>
      </c>
      <c r="C76" s="228"/>
      <c r="D76" s="134" t="s">
        <v>17</v>
      </c>
      <c r="E76" s="135"/>
      <c r="F76" s="136">
        <v>8</v>
      </c>
      <c r="G76" s="137"/>
      <c r="H76" s="17">
        <f>(H72*F72)/F76</f>
        <v>58.449999999999996</v>
      </c>
      <c r="I76" s="158"/>
      <c r="J76" s="158"/>
    </row>
    <row r="77" spans="2:31" x14ac:dyDescent="0.3">
      <c r="B77" s="133"/>
      <c r="C77" s="133"/>
      <c r="D77" s="134" t="s">
        <v>115</v>
      </c>
      <c r="E77" s="135"/>
      <c r="F77" s="138">
        <v>6</v>
      </c>
      <c r="G77" s="139"/>
      <c r="H77" s="5">
        <f>(H73*F73)/F77</f>
        <v>77.933333333333337</v>
      </c>
      <c r="I77" s="158"/>
      <c r="J77" s="158"/>
      <c r="L77" s="176" t="s">
        <v>81</v>
      </c>
      <c r="M77" s="177"/>
      <c r="N77" s="177"/>
      <c r="O77" s="178"/>
      <c r="P77" s="31"/>
    </row>
    <row r="78" spans="2:31" x14ac:dyDescent="0.3">
      <c r="B78" s="133"/>
      <c r="C78" s="133"/>
      <c r="D78" s="134" t="s">
        <v>116</v>
      </c>
      <c r="E78" s="135"/>
      <c r="F78" s="138">
        <v>3</v>
      </c>
      <c r="G78" s="139"/>
      <c r="H78" s="5">
        <f>(H74*F74)/F78</f>
        <v>155.85</v>
      </c>
      <c r="I78" s="158"/>
      <c r="J78" s="158"/>
      <c r="L78" s="179" t="s">
        <v>82</v>
      </c>
      <c r="M78" s="180"/>
      <c r="N78" s="180"/>
      <c r="O78" s="180"/>
      <c r="P78" s="35"/>
    </row>
    <row r="79" spans="2:31" ht="15" thickBot="1" x14ac:dyDescent="0.35">
      <c r="B79" s="230"/>
      <c r="C79" s="230"/>
      <c r="D79" s="152" t="s">
        <v>18</v>
      </c>
      <c r="E79" s="153"/>
      <c r="F79" s="159">
        <f>F77</f>
        <v>6</v>
      </c>
      <c r="G79" s="160"/>
      <c r="H79" s="20">
        <f>H77</f>
        <v>77.933333333333337</v>
      </c>
      <c r="I79" s="158"/>
      <c r="J79" s="158"/>
      <c r="L79" s="145" t="s">
        <v>83</v>
      </c>
      <c r="M79" s="146"/>
      <c r="N79" s="146"/>
      <c r="O79" s="147"/>
      <c r="P79" s="43">
        <f>(((N72+N74+N75)*P95*P93)/P94)*1.11</f>
        <v>367.11034423977361</v>
      </c>
    </row>
    <row r="80" spans="2:31" x14ac:dyDescent="0.3">
      <c r="B80" s="228" t="s">
        <v>20</v>
      </c>
      <c r="C80" s="228"/>
      <c r="D80" s="134" t="s">
        <v>17</v>
      </c>
      <c r="E80" s="135"/>
      <c r="F80" s="136">
        <v>6</v>
      </c>
      <c r="G80" s="137"/>
      <c r="H80" s="17">
        <f>(H72*F72)/F80</f>
        <v>77.933333333333323</v>
      </c>
      <c r="I80" s="158"/>
      <c r="J80" s="158"/>
      <c r="L80" s="181" t="s">
        <v>84</v>
      </c>
      <c r="M80" s="182"/>
      <c r="N80" s="182"/>
      <c r="O80" s="183"/>
      <c r="P80" s="43">
        <f>((29245.3980668213)/P94)*1.11</f>
        <v>37.071913589945467</v>
      </c>
    </row>
    <row r="81" spans="2:18" x14ac:dyDescent="0.3">
      <c r="B81" s="133"/>
      <c r="C81" s="133"/>
      <c r="D81" s="134" t="s">
        <v>115</v>
      </c>
      <c r="E81" s="135"/>
      <c r="F81" s="138">
        <v>4</v>
      </c>
      <c r="G81" s="139"/>
      <c r="H81" s="5">
        <f>(H73*F73)/F81</f>
        <v>116.9</v>
      </c>
      <c r="I81" s="158"/>
      <c r="J81" s="158"/>
      <c r="L81" s="145"/>
      <c r="M81" s="146"/>
      <c r="N81" s="146"/>
      <c r="O81" s="147"/>
      <c r="P81" s="43"/>
    </row>
    <row r="82" spans="2:18" x14ac:dyDescent="0.3">
      <c r="B82" s="133"/>
      <c r="C82" s="133"/>
      <c r="D82" s="134" t="s">
        <v>116</v>
      </c>
      <c r="E82" s="135"/>
      <c r="F82" s="138">
        <v>2</v>
      </c>
      <c r="G82" s="139"/>
      <c r="H82" s="5">
        <f>(H74*F74)/F82</f>
        <v>233.77499999999998</v>
      </c>
      <c r="I82" s="158"/>
      <c r="J82" s="158"/>
      <c r="L82" s="145"/>
      <c r="M82" s="146"/>
      <c r="N82" s="146"/>
      <c r="O82" s="147"/>
      <c r="P82" s="43"/>
    </row>
    <row r="83" spans="2:18" ht="15" thickBot="1" x14ac:dyDescent="0.35">
      <c r="B83" s="230"/>
      <c r="C83" s="230"/>
      <c r="D83" s="152" t="s">
        <v>18</v>
      </c>
      <c r="E83" s="153"/>
      <c r="F83" s="159">
        <f>F81</f>
        <v>4</v>
      </c>
      <c r="G83" s="160"/>
      <c r="H83" s="20">
        <f>H81</f>
        <v>116.9</v>
      </c>
      <c r="I83" s="158"/>
      <c r="J83" s="158"/>
      <c r="L83" s="145" t="s">
        <v>85</v>
      </c>
      <c r="M83" s="146"/>
      <c r="N83" s="146"/>
      <c r="O83" s="147"/>
      <c r="P83" s="44">
        <f>((50000)/P94)*1.11</f>
        <v>63.380764223557094</v>
      </c>
    </row>
    <row r="84" spans="2:18" x14ac:dyDescent="0.3">
      <c r="B84" s="244" t="s">
        <v>49</v>
      </c>
      <c r="C84" s="244"/>
      <c r="D84" s="134" t="s">
        <v>17</v>
      </c>
      <c r="E84" s="135"/>
      <c r="F84" s="165">
        <v>4</v>
      </c>
      <c r="G84" s="166"/>
      <c r="H84" s="47">
        <f>(H72*F72)/F84</f>
        <v>116.89999999999999</v>
      </c>
      <c r="I84" s="158"/>
      <c r="J84" s="158"/>
      <c r="L84" s="145" t="s">
        <v>86</v>
      </c>
      <c r="M84" s="146"/>
      <c r="N84" s="146"/>
      <c r="O84" s="147"/>
      <c r="P84" s="43"/>
      <c r="Q84" s="140" t="s">
        <v>107</v>
      </c>
      <c r="R84" s="141"/>
    </row>
    <row r="85" spans="2:18" x14ac:dyDescent="0.3">
      <c r="B85" s="245"/>
      <c r="C85" s="245"/>
      <c r="D85" s="134" t="s">
        <v>115</v>
      </c>
      <c r="E85" s="135"/>
      <c r="F85" s="163">
        <v>3</v>
      </c>
      <c r="G85" s="164"/>
      <c r="H85" s="48">
        <f>(H73*F73)/F85</f>
        <v>155.86666666666667</v>
      </c>
      <c r="I85" s="158"/>
      <c r="J85" s="158"/>
      <c r="L85" s="145" t="s">
        <v>87</v>
      </c>
      <c r="M85" s="146"/>
      <c r="N85" s="146"/>
      <c r="O85" s="147"/>
      <c r="P85" s="43">
        <f>SUM(P79:P84)</f>
        <v>467.5630220532762</v>
      </c>
    </row>
    <row r="86" spans="2:18" x14ac:dyDescent="0.3">
      <c r="B86" s="245"/>
      <c r="C86" s="245"/>
      <c r="D86" s="134" t="s">
        <v>116</v>
      </c>
      <c r="E86" s="135"/>
      <c r="F86" s="163">
        <v>2</v>
      </c>
      <c r="G86" s="164"/>
      <c r="H86" s="48">
        <f>(H74*F74)/F86</f>
        <v>233.77499999999998</v>
      </c>
      <c r="I86" s="158"/>
      <c r="J86" s="158"/>
      <c r="L86" s="145"/>
      <c r="M86" s="146"/>
      <c r="N86" s="146"/>
      <c r="O86" s="147"/>
      <c r="P86" s="45"/>
    </row>
    <row r="87" spans="2:18" ht="15" thickBot="1" x14ac:dyDescent="0.35">
      <c r="B87" s="246"/>
      <c r="C87" s="246"/>
      <c r="D87" s="152" t="s">
        <v>18</v>
      </c>
      <c r="E87" s="153"/>
      <c r="F87" s="161">
        <f>F85</f>
        <v>3</v>
      </c>
      <c r="G87" s="162"/>
      <c r="H87" s="49">
        <f>H85</f>
        <v>155.86666666666667</v>
      </c>
      <c r="I87" s="158"/>
      <c r="J87" s="158"/>
      <c r="L87" s="145" t="s">
        <v>88</v>
      </c>
      <c r="M87" s="146"/>
      <c r="N87" s="146"/>
      <c r="O87" s="147"/>
      <c r="P87" s="46">
        <v>8</v>
      </c>
    </row>
    <row r="88" spans="2:18" x14ac:dyDescent="0.3">
      <c r="B88" s="132" t="s">
        <v>22</v>
      </c>
      <c r="C88" s="132"/>
      <c r="D88" s="134" t="s">
        <v>17</v>
      </c>
      <c r="E88" s="135"/>
      <c r="F88" s="136">
        <v>3</v>
      </c>
      <c r="G88" s="137"/>
      <c r="H88" s="17">
        <f>(H72*F72)/F88</f>
        <v>155.86666666666665</v>
      </c>
      <c r="I88" s="158"/>
      <c r="J88" s="158"/>
      <c r="L88" s="145" t="s">
        <v>89</v>
      </c>
      <c r="M88" s="146"/>
      <c r="N88" s="146"/>
      <c r="O88" s="147"/>
      <c r="P88" s="43">
        <f>P85/P87</f>
        <v>58.445377756659525</v>
      </c>
    </row>
    <row r="89" spans="2:18" x14ac:dyDescent="0.3">
      <c r="B89" s="133"/>
      <c r="C89" s="133"/>
      <c r="D89" s="134" t="s">
        <v>115</v>
      </c>
      <c r="E89" s="135"/>
      <c r="F89" s="138">
        <v>2</v>
      </c>
      <c r="G89" s="139"/>
      <c r="H89" s="5">
        <f>(H73*F73)/F89</f>
        <v>233.8</v>
      </c>
      <c r="I89" s="158"/>
      <c r="J89" s="158"/>
      <c r="L89" s="145" t="s">
        <v>90</v>
      </c>
      <c r="M89" s="146"/>
      <c r="N89" s="146"/>
      <c r="O89" s="147"/>
      <c r="P89" s="33">
        <v>0</v>
      </c>
    </row>
    <row r="90" spans="2:18" x14ac:dyDescent="0.3">
      <c r="B90" s="133"/>
      <c r="C90" s="133"/>
      <c r="D90" s="134" t="s">
        <v>116</v>
      </c>
      <c r="E90" s="135"/>
      <c r="F90" s="138">
        <v>1</v>
      </c>
      <c r="G90" s="139"/>
      <c r="H90" s="13">
        <f>(H74*F74)/F90</f>
        <v>467.54999999999995</v>
      </c>
      <c r="I90" s="158"/>
      <c r="J90" s="158"/>
      <c r="L90" s="145" t="s">
        <v>91</v>
      </c>
      <c r="M90" s="146"/>
      <c r="N90" s="146"/>
      <c r="O90" s="147"/>
      <c r="P90" s="43">
        <f>P88/(1-P89)</f>
        <v>58.445377756659525</v>
      </c>
    </row>
    <row r="91" spans="2:18" ht="15" thickBot="1" x14ac:dyDescent="0.35">
      <c r="B91" s="133"/>
      <c r="C91" s="133"/>
      <c r="D91" s="152" t="s">
        <v>18</v>
      </c>
      <c r="E91" s="153"/>
      <c r="F91" s="138">
        <f>F89</f>
        <v>2</v>
      </c>
      <c r="G91" s="139"/>
      <c r="H91" s="5">
        <f>H89</f>
        <v>233.8</v>
      </c>
      <c r="I91" s="158"/>
      <c r="J91" s="158"/>
      <c r="L91" s="146"/>
      <c r="M91" s="146"/>
      <c r="N91" s="146"/>
      <c r="O91" s="146"/>
      <c r="P91" s="32"/>
    </row>
    <row r="92" spans="2:18" x14ac:dyDescent="0.3">
      <c r="L92" s="173" t="s">
        <v>92</v>
      </c>
      <c r="M92" s="174"/>
      <c r="N92" s="174"/>
      <c r="O92" s="175"/>
      <c r="P92" s="31"/>
    </row>
    <row r="93" spans="2:18" x14ac:dyDescent="0.3">
      <c r="L93" s="145" t="s">
        <v>93</v>
      </c>
      <c r="M93" s="146"/>
      <c r="N93" s="146"/>
      <c r="O93" s="147"/>
      <c r="P93" s="33">
        <f>35110.98</f>
        <v>35110.980000000003</v>
      </c>
      <c r="Q93" s="140" t="s">
        <v>106</v>
      </c>
      <c r="R93" s="141"/>
    </row>
    <row r="94" spans="2:18" x14ac:dyDescent="0.3">
      <c r="L94" s="145" t="s">
        <v>94</v>
      </c>
      <c r="M94" s="146"/>
      <c r="N94" s="146"/>
      <c r="O94" s="147"/>
      <c r="P94" s="33">
        <v>875.66</v>
      </c>
      <c r="Q94" s="140" t="s">
        <v>106</v>
      </c>
      <c r="R94" s="141"/>
    </row>
    <row r="95" spans="2:18" x14ac:dyDescent="0.3">
      <c r="L95" s="167" t="s">
        <v>95</v>
      </c>
      <c r="M95" s="168"/>
      <c r="N95" s="168"/>
      <c r="O95" s="169"/>
      <c r="P95" s="34">
        <v>8.1666666666666679</v>
      </c>
    </row>
  </sheetData>
  <mergeCells count="242">
    <mergeCell ref="B32:G32"/>
    <mergeCell ref="H32:K32"/>
    <mergeCell ref="K33:O33"/>
    <mergeCell ref="K34:O34"/>
    <mergeCell ref="B37:B41"/>
    <mergeCell ref="K37:R41"/>
    <mergeCell ref="D65:E65"/>
    <mergeCell ref="D67:E67"/>
    <mergeCell ref="F63:G63"/>
    <mergeCell ref="D51:E51"/>
    <mergeCell ref="D52:E52"/>
    <mergeCell ref="D53:E53"/>
    <mergeCell ref="D55:E55"/>
    <mergeCell ref="L49:M49"/>
    <mergeCell ref="D49:E49"/>
    <mergeCell ref="L50:M50"/>
    <mergeCell ref="D56:E56"/>
    <mergeCell ref="D57:E57"/>
    <mergeCell ref="F53:G53"/>
    <mergeCell ref="F55:G55"/>
    <mergeCell ref="B56:C59"/>
    <mergeCell ref="B47:C47"/>
    <mergeCell ref="F47:G47"/>
    <mergeCell ref="I47:J47"/>
    <mergeCell ref="B70:G70"/>
    <mergeCell ref="B71:C71"/>
    <mergeCell ref="B72:C75"/>
    <mergeCell ref="B76:C79"/>
    <mergeCell ref="B80:C83"/>
    <mergeCell ref="B84:C87"/>
    <mergeCell ref="B64:C67"/>
    <mergeCell ref="F64:G64"/>
    <mergeCell ref="D85:E85"/>
    <mergeCell ref="F85:G85"/>
    <mergeCell ref="D83:E83"/>
    <mergeCell ref="F83:G83"/>
    <mergeCell ref="B48:C51"/>
    <mergeCell ref="F48:G48"/>
    <mergeCell ref="B52:C55"/>
    <mergeCell ref="B60:C63"/>
    <mergeCell ref="W46:Z46"/>
    <mergeCell ref="AD47:AE47"/>
    <mergeCell ref="W48:X51"/>
    <mergeCell ref="Y48:Z48"/>
    <mergeCell ref="W47:X47"/>
    <mergeCell ref="Y47:Z47"/>
    <mergeCell ref="AA47:AB47"/>
    <mergeCell ref="AA51:AB51"/>
    <mergeCell ref="W52:X55"/>
    <mergeCell ref="Y52:Z52"/>
    <mergeCell ref="AA46:AB46"/>
    <mergeCell ref="R51:T51"/>
    <mergeCell ref="R52:T52"/>
    <mergeCell ref="R49:T49"/>
    <mergeCell ref="R50:T50"/>
    <mergeCell ref="D50:E50"/>
    <mergeCell ref="D54:E54"/>
    <mergeCell ref="Y63:Z63"/>
    <mergeCell ref="AA53:AB53"/>
    <mergeCell ref="Y54:Z54"/>
    <mergeCell ref="AA54:AB54"/>
    <mergeCell ref="Y55:Z55"/>
    <mergeCell ref="AA55:AB55"/>
    <mergeCell ref="F56:G56"/>
    <mergeCell ref="F57:G57"/>
    <mergeCell ref="F59:G59"/>
    <mergeCell ref="D59:E59"/>
    <mergeCell ref="I48:J67"/>
    <mergeCell ref="F49:G49"/>
    <mergeCell ref="F51:G51"/>
    <mergeCell ref="F52:G52"/>
    <mergeCell ref="F60:G60"/>
    <mergeCell ref="F61:G61"/>
    <mergeCell ref="D58:E58"/>
    <mergeCell ref="D62:E62"/>
    <mergeCell ref="K26:O29"/>
    <mergeCell ref="H70:I70"/>
    <mergeCell ref="D71:E71"/>
    <mergeCell ref="F71:G71"/>
    <mergeCell ref="D72:E72"/>
    <mergeCell ref="F72:G72"/>
    <mergeCell ref="D73:E73"/>
    <mergeCell ref="F73:G73"/>
    <mergeCell ref="D74:E74"/>
    <mergeCell ref="F74:G74"/>
    <mergeCell ref="F50:G50"/>
    <mergeCell ref="F54:G54"/>
    <mergeCell ref="F58:G58"/>
    <mergeCell ref="L51:M51"/>
    <mergeCell ref="F62:G62"/>
    <mergeCell ref="F66:G66"/>
    <mergeCell ref="L52:M52"/>
    <mergeCell ref="D66:E66"/>
    <mergeCell ref="D61:E61"/>
    <mergeCell ref="F65:G65"/>
    <mergeCell ref="F67:G67"/>
    <mergeCell ref="D60:E60"/>
    <mergeCell ref="D63:E63"/>
    <mergeCell ref="D64:E64"/>
    <mergeCell ref="AG46:AK46"/>
    <mergeCell ref="W64:X67"/>
    <mergeCell ref="Y64:Z64"/>
    <mergeCell ref="AA64:AB64"/>
    <mergeCell ref="Y65:Z65"/>
    <mergeCell ref="AA65:AB65"/>
    <mergeCell ref="Y66:Z66"/>
    <mergeCell ref="AA66:AB66"/>
    <mergeCell ref="Y67:Z67"/>
    <mergeCell ref="AA67:AB67"/>
    <mergeCell ref="W60:X63"/>
    <mergeCell ref="Y60:Z60"/>
    <mergeCell ref="AA60:AB60"/>
    <mergeCell ref="Y61:Z61"/>
    <mergeCell ref="AA61:AB61"/>
    <mergeCell ref="Y62:Z62"/>
    <mergeCell ref="AA62:AB62"/>
    <mergeCell ref="AG51:AH51"/>
    <mergeCell ref="AG47:AH47"/>
    <mergeCell ref="W56:X59"/>
    <mergeCell ref="AA59:AB59"/>
    <mergeCell ref="Y53:Z53"/>
    <mergeCell ref="AA63:AB63"/>
    <mergeCell ref="Y59:Z59"/>
    <mergeCell ref="AL47:AM47"/>
    <mergeCell ref="AG48:AH48"/>
    <mergeCell ref="AG49:AH49"/>
    <mergeCell ref="AL49:AM49"/>
    <mergeCell ref="AG50:AH50"/>
    <mergeCell ref="AL48:AM48"/>
    <mergeCell ref="AA48:AB48"/>
    <mergeCell ref="AD48:AE67"/>
    <mergeCell ref="Y49:Z49"/>
    <mergeCell ref="AA49:AB49"/>
    <mergeCell ref="AA52:AB52"/>
    <mergeCell ref="Y56:Z56"/>
    <mergeCell ref="AA56:AB56"/>
    <mergeCell ref="Y57:Z57"/>
    <mergeCell ref="AA57:AB57"/>
    <mergeCell ref="Y58:Z58"/>
    <mergeCell ref="AA58:AB58"/>
    <mergeCell ref="Y50:Z50"/>
    <mergeCell ref="AA50:AB50"/>
    <mergeCell ref="Y51:Z51"/>
    <mergeCell ref="AL51:AM51"/>
    <mergeCell ref="AG52:AH52"/>
    <mergeCell ref="AL52:AM52"/>
    <mergeCell ref="AL50:AM50"/>
    <mergeCell ref="K6:O12"/>
    <mergeCell ref="B18:G18"/>
    <mergeCell ref="H18:K18"/>
    <mergeCell ref="B2:F2"/>
    <mergeCell ref="B44:F44"/>
    <mergeCell ref="L47:M47"/>
    <mergeCell ref="R47:T47"/>
    <mergeCell ref="L48:M48"/>
    <mergeCell ref="K5:O5"/>
    <mergeCell ref="B4:F4"/>
    <mergeCell ref="R48:T48"/>
    <mergeCell ref="B46:E46"/>
    <mergeCell ref="D47:E47"/>
    <mergeCell ref="D48:E48"/>
    <mergeCell ref="B20:B21"/>
    <mergeCell ref="K20:R21"/>
    <mergeCell ref="F46:G46"/>
    <mergeCell ref="L46:Q46"/>
    <mergeCell ref="K19:R19"/>
    <mergeCell ref="B24:G24"/>
    <mergeCell ref="H24:K24"/>
    <mergeCell ref="B14:B15"/>
    <mergeCell ref="B10:B11"/>
    <mergeCell ref="K25:O25"/>
    <mergeCell ref="L94:O94"/>
    <mergeCell ref="L95:O95"/>
    <mergeCell ref="L70:Q70"/>
    <mergeCell ref="L71:M71"/>
    <mergeCell ref="L73:M73"/>
    <mergeCell ref="L74:M74"/>
    <mergeCell ref="L75:M75"/>
    <mergeCell ref="L85:O85"/>
    <mergeCell ref="L86:O86"/>
    <mergeCell ref="L87:O87"/>
    <mergeCell ref="L88:O88"/>
    <mergeCell ref="L89:O89"/>
    <mergeCell ref="L90:O90"/>
    <mergeCell ref="L91:O91"/>
    <mergeCell ref="L92:O92"/>
    <mergeCell ref="L72:M72"/>
    <mergeCell ref="L77:O77"/>
    <mergeCell ref="L78:O78"/>
    <mergeCell ref="L79:O79"/>
    <mergeCell ref="L80:O80"/>
    <mergeCell ref="L81:O81"/>
    <mergeCell ref="L82:O82"/>
    <mergeCell ref="Q94:R94"/>
    <mergeCell ref="S71:T71"/>
    <mergeCell ref="S72:T72"/>
    <mergeCell ref="S73:T73"/>
    <mergeCell ref="S74:T74"/>
    <mergeCell ref="S75:T75"/>
    <mergeCell ref="F80:G80"/>
    <mergeCell ref="D81:E81"/>
    <mergeCell ref="F81:G81"/>
    <mergeCell ref="D82:E82"/>
    <mergeCell ref="I71:J71"/>
    <mergeCell ref="I72:J91"/>
    <mergeCell ref="D79:E79"/>
    <mergeCell ref="F79:G79"/>
    <mergeCell ref="D80:E80"/>
    <mergeCell ref="L83:O83"/>
    <mergeCell ref="L84:O84"/>
    <mergeCell ref="D90:E90"/>
    <mergeCell ref="F90:G90"/>
    <mergeCell ref="D87:E87"/>
    <mergeCell ref="F87:G87"/>
    <mergeCell ref="D86:E86"/>
    <mergeCell ref="F86:G86"/>
    <mergeCell ref="D84:E84"/>
    <mergeCell ref="F84:G84"/>
    <mergeCell ref="B88:C91"/>
    <mergeCell ref="D88:E88"/>
    <mergeCell ref="F88:G88"/>
    <mergeCell ref="D89:E89"/>
    <mergeCell ref="F89:G89"/>
    <mergeCell ref="Q93:R93"/>
    <mergeCell ref="Q71:R71"/>
    <mergeCell ref="Q72:R72"/>
    <mergeCell ref="Q73:R73"/>
    <mergeCell ref="Q74:R74"/>
    <mergeCell ref="Q75:R75"/>
    <mergeCell ref="Q84:R84"/>
    <mergeCell ref="L93:O93"/>
    <mergeCell ref="D75:E75"/>
    <mergeCell ref="F75:G75"/>
    <mergeCell ref="D76:E76"/>
    <mergeCell ref="F76:G76"/>
    <mergeCell ref="D77:E77"/>
    <mergeCell ref="F77:G77"/>
    <mergeCell ref="D78:E78"/>
    <mergeCell ref="F78:G78"/>
    <mergeCell ref="F82:G82"/>
    <mergeCell ref="D91:E91"/>
    <mergeCell ref="F91:G91"/>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767FF-F3AB-4AAB-B21B-BFCAD5C2E1CE}">
  <dimension ref="B2:T31"/>
  <sheetViews>
    <sheetView topLeftCell="A3" workbookViewId="0">
      <selection activeCell="E11" sqref="E11"/>
    </sheetView>
  </sheetViews>
  <sheetFormatPr baseColWidth="10" defaultRowHeight="14.4" x14ac:dyDescent="0.3"/>
  <cols>
    <col min="2" max="2" width="13.5546875" bestFit="1" customWidth="1"/>
    <col min="4" max="4" width="16.6640625" customWidth="1"/>
    <col min="5" max="5" width="17" customWidth="1"/>
    <col min="6" max="6" width="17.109375" customWidth="1"/>
    <col min="7" max="7" width="18.33203125" customWidth="1"/>
  </cols>
  <sheetData>
    <row r="2" spans="2:20" ht="23.4" x14ac:dyDescent="0.3">
      <c r="B2" s="252" t="s">
        <v>36</v>
      </c>
      <c r="C2" s="252"/>
      <c r="D2" s="252"/>
    </row>
    <row r="4" spans="2:20" ht="14.4" customHeight="1" x14ac:dyDescent="0.3">
      <c r="B4" s="204" t="s">
        <v>183</v>
      </c>
      <c r="C4" s="204"/>
      <c r="D4" s="204"/>
      <c r="E4" s="204"/>
      <c r="F4" t="s">
        <v>0</v>
      </c>
    </row>
    <row r="5" spans="2:20" ht="57.6" x14ac:dyDescent="0.3">
      <c r="B5" s="1" t="s">
        <v>34</v>
      </c>
      <c r="C5" s="1" t="s">
        <v>2</v>
      </c>
      <c r="D5" s="26" t="s">
        <v>167</v>
      </c>
      <c r="E5" s="26" t="s">
        <v>67</v>
      </c>
      <c r="F5" s="26" t="s">
        <v>181</v>
      </c>
      <c r="G5" s="26" t="s">
        <v>68</v>
      </c>
      <c r="H5" s="133" t="s">
        <v>4</v>
      </c>
      <c r="I5" s="133"/>
      <c r="J5" s="133"/>
      <c r="K5" s="133"/>
      <c r="L5" s="133"/>
      <c r="M5" s="133"/>
    </row>
    <row r="6" spans="2:20" ht="28.2" customHeight="1" x14ac:dyDescent="0.3">
      <c r="B6" s="11" t="s">
        <v>10</v>
      </c>
      <c r="C6" s="2" t="s">
        <v>8</v>
      </c>
      <c r="D6" s="14" t="s">
        <v>8</v>
      </c>
      <c r="E6" s="14" t="s">
        <v>8</v>
      </c>
      <c r="F6" s="91">
        <f>64000/190000</f>
        <v>0.33684210526315789</v>
      </c>
      <c r="G6" s="14" t="s">
        <v>8</v>
      </c>
      <c r="H6" s="157" t="s">
        <v>184</v>
      </c>
      <c r="I6" s="157"/>
      <c r="J6" s="157"/>
      <c r="K6" s="157"/>
      <c r="L6" s="157"/>
      <c r="M6" s="157"/>
    </row>
    <row r="7" spans="2:20" ht="15" thickBot="1" x14ac:dyDescent="0.35"/>
    <row r="8" spans="2:20" x14ac:dyDescent="0.3">
      <c r="B8" s="41"/>
      <c r="C8" s="41"/>
      <c r="D8" s="41"/>
      <c r="E8" s="41"/>
      <c r="F8" s="41"/>
      <c r="G8" s="41"/>
      <c r="H8" s="41"/>
      <c r="I8" s="41"/>
      <c r="J8" s="41"/>
      <c r="K8" s="41"/>
      <c r="L8" s="41"/>
      <c r="M8" s="41"/>
    </row>
    <row r="9" spans="2:20" ht="14.4" customHeight="1" x14ac:dyDescent="0.3">
      <c r="B9" s="204" t="s">
        <v>70</v>
      </c>
      <c r="C9" s="204"/>
      <c r="D9" s="204"/>
      <c r="E9" s="204"/>
      <c r="F9" t="s">
        <v>0</v>
      </c>
    </row>
    <row r="10" spans="2:20" ht="57.6" x14ac:dyDescent="0.3">
      <c r="B10" s="1" t="s">
        <v>34</v>
      </c>
      <c r="C10" s="1" t="s">
        <v>2</v>
      </c>
      <c r="D10" s="26" t="s">
        <v>167</v>
      </c>
      <c r="E10" s="26" t="s">
        <v>67</v>
      </c>
      <c r="F10" s="26" t="s">
        <v>181</v>
      </c>
      <c r="G10" s="26" t="s">
        <v>69</v>
      </c>
      <c r="H10" s="133" t="s">
        <v>4</v>
      </c>
      <c r="I10" s="133"/>
      <c r="J10" s="133"/>
      <c r="K10" s="133"/>
      <c r="L10" s="133"/>
      <c r="M10" s="133"/>
      <c r="N10" s="133"/>
      <c r="O10" s="133"/>
      <c r="P10" s="133"/>
      <c r="Q10" s="133"/>
      <c r="R10" s="133"/>
      <c r="S10" s="133"/>
      <c r="T10" s="133"/>
    </row>
    <row r="11" spans="2:20" ht="44.4" customHeight="1" x14ac:dyDescent="0.3">
      <c r="B11" s="11" t="s">
        <v>35</v>
      </c>
      <c r="C11" s="11" t="s">
        <v>6</v>
      </c>
      <c r="D11" s="92">
        <f>((2500*12)*1.12/959.36)</f>
        <v>35.023348899266175</v>
      </c>
      <c r="E11" s="92">
        <f>(((570)*12)*1.12/959.36)</f>
        <v>7.9853235490326897</v>
      </c>
      <c r="F11" s="52" t="s">
        <v>8</v>
      </c>
      <c r="G11" s="76">
        <v>0.05</v>
      </c>
      <c r="H11" s="157" t="s">
        <v>225</v>
      </c>
      <c r="I11" s="157"/>
      <c r="J11" s="157"/>
      <c r="K11" s="157"/>
      <c r="L11" s="157"/>
      <c r="M11" s="157"/>
      <c r="N11" s="157"/>
      <c r="O11" s="157"/>
      <c r="P11" s="157"/>
      <c r="Q11" s="157"/>
      <c r="R11" s="157"/>
      <c r="S11" s="157"/>
      <c r="T11" s="157"/>
    </row>
    <row r="12" spans="2:20" ht="15" thickBot="1" x14ac:dyDescent="0.35"/>
    <row r="13" spans="2:20" x14ac:dyDescent="0.3">
      <c r="B13" s="41"/>
      <c r="C13" s="41"/>
      <c r="D13" s="41"/>
      <c r="E13" s="41"/>
      <c r="F13" s="41"/>
      <c r="G13" s="41"/>
      <c r="H13" s="41"/>
      <c r="I13" s="41"/>
      <c r="J13" s="41"/>
      <c r="K13" s="41"/>
      <c r="L13" s="41"/>
      <c r="M13" s="41"/>
    </row>
    <row r="14" spans="2:20" x14ac:dyDescent="0.3">
      <c r="B14" s="204" t="s">
        <v>185</v>
      </c>
      <c r="C14" s="204"/>
      <c r="D14" s="204"/>
      <c r="E14" s="204"/>
      <c r="F14" t="s">
        <v>0</v>
      </c>
    </row>
    <row r="15" spans="2:20" ht="57.6" x14ac:dyDescent="0.3">
      <c r="B15" s="1" t="s">
        <v>34</v>
      </c>
      <c r="C15" s="1" t="s">
        <v>2</v>
      </c>
      <c r="D15" s="26" t="s">
        <v>167</v>
      </c>
      <c r="E15" s="26" t="s">
        <v>67</v>
      </c>
      <c r="F15" s="26" t="s">
        <v>181</v>
      </c>
      <c r="G15" s="26" t="s">
        <v>72</v>
      </c>
      <c r="H15" s="133" t="s">
        <v>4</v>
      </c>
      <c r="I15" s="133"/>
      <c r="J15" s="133"/>
      <c r="K15" s="133"/>
      <c r="L15" s="133"/>
      <c r="M15" s="133"/>
    </row>
    <row r="16" spans="2:20" ht="28.8" customHeight="1" x14ac:dyDescent="0.3">
      <c r="B16" s="103" t="s">
        <v>71</v>
      </c>
      <c r="C16" s="103" t="s">
        <v>6</v>
      </c>
      <c r="D16" s="90">
        <f>(800*12)/952.38</f>
        <v>10.08001008001008</v>
      </c>
      <c r="E16" s="8" t="s">
        <v>8</v>
      </c>
      <c r="F16" s="8" t="s">
        <v>8</v>
      </c>
      <c r="G16" s="8">
        <f>6200*40.88</f>
        <v>253456.00000000003</v>
      </c>
      <c r="H16" s="157" t="s">
        <v>73</v>
      </c>
      <c r="I16" s="157"/>
      <c r="J16" s="157"/>
      <c r="K16" s="157"/>
      <c r="L16" s="157"/>
      <c r="M16" s="157"/>
    </row>
    <row r="17" spans="2:13" ht="15" thickBot="1" x14ac:dyDescent="0.35"/>
    <row r="18" spans="2:13" x14ac:dyDescent="0.3">
      <c r="B18" s="41"/>
      <c r="C18" s="41"/>
      <c r="D18" s="41"/>
      <c r="E18" s="41"/>
      <c r="F18" s="41"/>
      <c r="G18" s="41"/>
      <c r="H18" s="41"/>
      <c r="I18" s="41"/>
      <c r="J18" s="41"/>
      <c r="K18" s="41"/>
      <c r="L18" s="41"/>
      <c r="M18" s="41"/>
    </row>
    <row r="19" spans="2:13" x14ac:dyDescent="0.3">
      <c r="B19" s="204" t="s">
        <v>74</v>
      </c>
      <c r="C19" s="204"/>
      <c r="D19" s="204"/>
      <c r="E19" s="204"/>
      <c r="F19" t="s">
        <v>0</v>
      </c>
    </row>
    <row r="20" spans="2:13" ht="57.6" x14ac:dyDescent="0.3">
      <c r="B20" s="1" t="s">
        <v>34</v>
      </c>
      <c r="C20" s="1" t="s">
        <v>2</v>
      </c>
      <c r="D20" s="26" t="s">
        <v>167</v>
      </c>
      <c r="E20" s="26" t="s">
        <v>67</v>
      </c>
      <c r="F20" s="26" t="s">
        <v>181</v>
      </c>
      <c r="G20" s="26" t="s">
        <v>68</v>
      </c>
      <c r="H20" s="133" t="s">
        <v>4</v>
      </c>
      <c r="I20" s="133"/>
      <c r="J20" s="133"/>
      <c r="K20" s="133"/>
      <c r="L20" s="133"/>
      <c r="M20" s="133"/>
    </row>
    <row r="21" spans="2:13" ht="14.4" customHeight="1" x14ac:dyDescent="0.3">
      <c r="B21" s="2" t="s">
        <v>75</v>
      </c>
      <c r="C21" s="2" t="s">
        <v>64</v>
      </c>
      <c r="D21" s="8">
        <v>0</v>
      </c>
      <c r="E21" s="8">
        <v>0</v>
      </c>
      <c r="F21" s="8" t="s">
        <v>8</v>
      </c>
      <c r="G21" s="92">
        <f>0.92*1.35</f>
        <v>1.2420000000000002</v>
      </c>
      <c r="H21" s="184" t="s">
        <v>77</v>
      </c>
      <c r="I21" s="231"/>
      <c r="J21" s="231"/>
      <c r="K21" s="231"/>
      <c r="L21" s="231"/>
      <c r="M21" s="232"/>
    </row>
    <row r="22" spans="2:13" ht="14.4" customHeight="1" x14ac:dyDescent="0.3">
      <c r="B22" s="2" t="s">
        <v>75</v>
      </c>
      <c r="C22" s="2" t="s">
        <v>32</v>
      </c>
      <c r="D22" s="8">
        <v>0</v>
      </c>
      <c r="E22" s="8">
        <v>0</v>
      </c>
      <c r="F22" s="8" t="s">
        <v>8</v>
      </c>
      <c r="G22" s="92">
        <f t="shared" ref="G22:G23" si="0">0.92*1.35</f>
        <v>1.2420000000000002</v>
      </c>
      <c r="H22" s="187"/>
      <c r="I22" s="233"/>
      <c r="J22" s="233"/>
      <c r="K22" s="233"/>
      <c r="L22" s="233"/>
      <c r="M22" s="234"/>
    </row>
    <row r="23" spans="2:13" ht="14.4" customHeight="1" x14ac:dyDescent="0.3">
      <c r="B23" s="2" t="s">
        <v>75</v>
      </c>
      <c r="C23" s="2" t="s">
        <v>33</v>
      </c>
      <c r="D23" s="8">
        <v>0</v>
      </c>
      <c r="E23" s="8">
        <v>0</v>
      </c>
      <c r="F23" s="8" t="s">
        <v>8</v>
      </c>
      <c r="G23" s="92">
        <f t="shared" si="0"/>
        <v>1.2420000000000002</v>
      </c>
      <c r="H23" s="187"/>
      <c r="I23" s="233"/>
      <c r="J23" s="233"/>
      <c r="K23" s="233"/>
      <c r="L23" s="233"/>
      <c r="M23" s="234"/>
    </row>
    <row r="24" spans="2:13" ht="14.4" customHeight="1" x14ac:dyDescent="0.3">
      <c r="B24" s="103" t="s">
        <v>75</v>
      </c>
      <c r="C24" s="103" t="s">
        <v>6</v>
      </c>
      <c r="D24" s="90">
        <f>42.39*1.35</f>
        <v>57.226500000000001</v>
      </c>
      <c r="E24" s="8">
        <v>0</v>
      </c>
      <c r="F24" s="90">
        <f>0.59*1.35</f>
        <v>0.79649999999999999</v>
      </c>
      <c r="G24" s="8">
        <v>0</v>
      </c>
      <c r="H24" s="235"/>
      <c r="I24" s="236"/>
      <c r="J24" s="236"/>
      <c r="K24" s="236"/>
      <c r="L24" s="236"/>
      <c r="M24" s="237"/>
    </row>
    <row r="25" spans="2:13" ht="15" thickBot="1" x14ac:dyDescent="0.35"/>
    <row r="26" spans="2:13" x14ac:dyDescent="0.3">
      <c r="B26" s="41"/>
      <c r="C26" s="41"/>
      <c r="D26" s="41"/>
      <c r="E26" s="41"/>
      <c r="F26" s="41"/>
      <c r="G26" s="41"/>
      <c r="H26" s="41"/>
      <c r="I26" s="41"/>
      <c r="J26" s="41"/>
      <c r="K26" s="41"/>
      <c r="L26" s="41"/>
      <c r="M26" s="41"/>
    </row>
    <row r="27" spans="2:13" x14ac:dyDescent="0.3">
      <c r="B27" s="253" t="s">
        <v>114</v>
      </c>
      <c r="C27" s="11" t="s">
        <v>6</v>
      </c>
      <c r="D27" s="99">
        <f>D11</f>
        <v>35.023348899266175</v>
      </c>
      <c r="E27" s="99">
        <f>$E$11</f>
        <v>7.9853235490326897</v>
      </c>
      <c r="F27" s="99">
        <f>$F$6+$F$24</f>
        <v>1.1333421052631578</v>
      </c>
      <c r="G27" s="99">
        <f>G24</f>
        <v>0</v>
      </c>
    </row>
    <row r="28" spans="2:13" x14ac:dyDescent="0.3">
      <c r="B28" s="253"/>
      <c r="C28" s="11" t="s">
        <v>174</v>
      </c>
      <c r="D28" s="99">
        <v>0</v>
      </c>
      <c r="E28" s="99">
        <f t="shared" ref="E28:E31" si="1">$E$11</f>
        <v>7.9853235490326897</v>
      </c>
      <c r="F28" s="99">
        <f t="shared" ref="F28:F31" si="2">$F$6+$F$24</f>
        <v>1.1333421052631578</v>
      </c>
      <c r="G28" s="99">
        <f>G21</f>
        <v>1.2420000000000002</v>
      </c>
    </row>
    <row r="29" spans="2:13" x14ac:dyDescent="0.3">
      <c r="B29" s="253"/>
      <c r="C29" s="11" t="s">
        <v>176</v>
      </c>
      <c r="D29" s="99">
        <v>0</v>
      </c>
      <c r="E29" s="99">
        <f t="shared" si="1"/>
        <v>7.9853235490326897</v>
      </c>
      <c r="F29" s="99">
        <f t="shared" si="2"/>
        <v>1.1333421052631578</v>
      </c>
      <c r="G29" s="99">
        <f>G21</f>
        <v>1.2420000000000002</v>
      </c>
    </row>
    <row r="30" spans="2:13" x14ac:dyDescent="0.3">
      <c r="B30" s="253"/>
      <c r="C30" s="11" t="s">
        <v>177</v>
      </c>
      <c r="D30" s="99">
        <v>0</v>
      </c>
      <c r="E30" s="99">
        <f t="shared" si="1"/>
        <v>7.9853235490326897</v>
      </c>
      <c r="F30" s="99">
        <f t="shared" si="2"/>
        <v>1.1333421052631578</v>
      </c>
      <c r="G30" s="99">
        <f>G22</f>
        <v>1.2420000000000002</v>
      </c>
    </row>
    <row r="31" spans="2:13" x14ac:dyDescent="0.3">
      <c r="B31" s="253"/>
      <c r="C31" s="11" t="s">
        <v>78</v>
      </c>
      <c r="D31" s="99">
        <v>0</v>
      </c>
      <c r="E31" s="99">
        <f t="shared" si="1"/>
        <v>7.9853235490326897</v>
      </c>
      <c r="F31" s="99">
        <f t="shared" si="2"/>
        <v>1.1333421052631578</v>
      </c>
      <c r="G31" s="99">
        <f>G30</f>
        <v>1.2420000000000002</v>
      </c>
    </row>
  </sheetData>
  <mergeCells count="14">
    <mergeCell ref="B27:B31"/>
    <mergeCell ref="H21:M24"/>
    <mergeCell ref="B14:E14"/>
    <mergeCell ref="H15:M15"/>
    <mergeCell ref="H16:M16"/>
    <mergeCell ref="B19:E19"/>
    <mergeCell ref="H20:M20"/>
    <mergeCell ref="H11:T11"/>
    <mergeCell ref="H10:T10"/>
    <mergeCell ref="B2:D2"/>
    <mergeCell ref="B4:E4"/>
    <mergeCell ref="H5:M5"/>
    <mergeCell ref="H6:M6"/>
    <mergeCell ref="B9:E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C8020-05D2-4EDC-9B93-F9BEF38A23ED}">
  <dimension ref="B2:BC52"/>
  <sheetViews>
    <sheetView topLeftCell="G1" zoomScale="90" zoomScaleNormal="90" workbookViewId="0">
      <selection activeCell="N5" sqref="N5"/>
    </sheetView>
  </sheetViews>
  <sheetFormatPr baseColWidth="10" defaultRowHeight="14.4" x14ac:dyDescent="0.3"/>
  <sheetData>
    <row r="2" spans="2:55" ht="21" x14ac:dyDescent="0.4">
      <c r="B2" s="122" t="s">
        <v>206</v>
      </c>
      <c r="C2" s="122"/>
      <c r="D2" s="122"/>
      <c r="E2" s="122"/>
      <c r="F2" s="122"/>
      <c r="G2" s="122"/>
      <c r="H2" s="122"/>
      <c r="I2" s="122"/>
      <c r="J2" s="122"/>
      <c r="K2" s="122"/>
    </row>
    <row r="5" spans="2:55" x14ac:dyDescent="0.3">
      <c r="I5" s="125" t="s">
        <v>212</v>
      </c>
      <c r="J5" s="126"/>
      <c r="K5" s="126"/>
      <c r="L5" s="126"/>
      <c r="O5" s="127" t="s">
        <v>213</v>
      </c>
      <c r="P5" s="127"/>
      <c r="Q5" s="127"/>
      <c r="R5" s="127"/>
      <c r="T5" s="113"/>
      <c r="U5" s="125" t="s">
        <v>214</v>
      </c>
      <c r="V5" s="126"/>
      <c r="W5" s="126"/>
      <c r="X5" s="126"/>
      <c r="AA5" s="127" t="s">
        <v>215</v>
      </c>
      <c r="AB5" s="127"/>
      <c r="AC5" s="127"/>
      <c r="AD5" s="127"/>
      <c r="AF5" s="112"/>
      <c r="AG5" s="125" t="s">
        <v>216</v>
      </c>
      <c r="AH5" s="126"/>
      <c r="AI5" s="126"/>
      <c r="AJ5" s="126"/>
      <c r="AM5" s="127" t="s">
        <v>217</v>
      </c>
      <c r="AN5" s="127"/>
      <c r="AO5" s="127"/>
      <c r="AP5" s="127"/>
      <c r="AR5" s="113"/>
      <c r="AS5" s="125" t="s">
        <v>218</v>
      </c>
      <c r="AT5" s="126"/>
      <c r="AU5" s="126"/>
      <c r="AV5" s="126"/>
      <c r="AY5" s="127" t="s">
        <v>219</v>
      </c>
      <c r="AZ5" s="127"/>
      <c r="BA5" s="127"/>
      <c r="BB5" s="127"/>
    </row>
    <row r="6" spans="2:55" ht="14.4" customHeight="1" x14ac:dyDescent="0.3">
      <c r="I6" s="126"/>
      <c r="J6" s="126"/>
      <c r="K6" s="126"/>
      <c r="L6" s="126"/>
      <c r="O6" s="127"/>
      <c r="P6" s="127"/>
      <c r="Q6" s="127"/>
      <c r="R6" s="127"/>
      <c r="T6" s="113"/>
      <c r="U6" s="126"/>
      <c r="V6" s="126"/>
      <c r="W6" s="126"/>
      <c r="X6" s="126"/>
      <c r="AA6" s="127"/>
      <c r="AB6" s="127"/>
      <c r="AC6" s="127"/>
      <c r="AD6" s="127"/>
      <c r="AF6" s="112"/>
      <c r="AG6" s="126"/>
      <c r="AH6" s="126"/>
      <c r="AI6" s="126"/>
      <c r="AJ6" s="126"/>
      <c r="AM6" s="127"/>
      <c r="AN6" s="127"/>
      <c r="AO6" s="127"/>
      <c r="AP6" s="127"/>
      <c r="AR6" s="113"/>
      <c r="AS6" s="126"/>
      <c r="AT6" s="126"/>
      <c r="AU6" s="126"/>
      <c r="AV6" s="126"/>
      <c r="AY6" s="127"/>
      <c r="AZ6" s="127"/>
      <c r="BA6" s="127"/>
      <c r="BB6" s="127"/>
    </row>
    <row r="7" spans="2:55" x14ac:dyDescent="0.3">
      <c r="I7" s="117" t="s">
        <v>152</v>
      </c>
      <c r="J7" s="117"/>
      <c r="K7" s="117"/>
      <c r="L7" s="117"/>
      <c r="O7" s="117" t="s">
        <v>152</v>
      </c>
      <c r="P7" s="117"/>
      <c r="Q7" s="117"/>
      <c r="R7" s="117"/>
      <c r="T7" s="113"/>
      <c r="U7" s="117" t="s">
        <v>152</v>
      </c>
      <c r="V7" s="117"/>
      <c r="W7" s="117"/>
      <c r="X7" s="117"/>
      <c r="AA7" s="117" t="s">
        <v>152</v>
      </c>
      <c r="AB7" s="117"/>
      <c r="AC7" s="117"/>
      <c r="AD7" s="117"/>
      <c r="AF7" s="112"/>
      <c r="AG7" s="117" t="s">
        <v>152</v>
      </c>
      <c r="AH7" s="117"/>
      <c r="AI7" s="117"/>
      <c r="AJ7" s="117"/>
      <c r="AM7" s="117" t="s">
        <v>152</v>
      </c>
      <c r="AN7" s="117"/>
      <c r="AO7" s="117"/>
      <c r="AP7" s="117"/>
      <c r="AR7" s="113"/>
      <c r="AS7" s="117" t="s">
        <v>152</v>
      </c>
      <c r="AT7" s="117"/>
      <c r="AU7" s="117"/>
      <c r="AV7" s="117"/>
      <c r="AY7" s="117" t="s">
        <v>152</v>
      </c>
      <c r="AZ7" s="117"/>
      <c r="BA7" s="117"/>
      <c r="BB7" s="117"/>
    </row>
    <row r="8" spans="2:55" x14ac:dyDescent="0.3">
      <c r="I8" s="115" t="s">
        <v>153</v>
      </c>
      <c r="J8" s="115"/>
      <c r="K8" s="115"/>
      <c r="L8" s="88">
        <f>L40</f>
        <v>67</v>
      </c>
      <c r="O8" s="115" t="s">
        <v>153</v>
      </c>
      <c r="P8" s="115"/>
      <c r="Q8" s="115"/>
      <c r="R8" s="88">
        <f>R40</f>
        <v>67</v>
      </c>
      <c r="T8" s="113"/>
      <c r="U8" s="115" t="s">
        <v>153</v>
      </c>
      <c r="V8" s="115"/>
      <c r="W8" s="115"/>
      <c r="X8" s="88">
        <f>X40</f>
        <v>37</v>
      </c>
      <c r="AA8" s="115" t="s">
        <v>153</v>
      </c>
      <c r="AB8" s="115"/>
      <c r="AC8" s="115"/>
      <c r="AD8" s="88">
        <f>AD40</f>
        <v>22</v>
      </c>
      <c r="AF8" s="112"/>
      <c r="AG8" s="115" t="s">
        <v>153</v>
      </c>
      <c r="AH8" s="115"/>
      <c r="AI8" s="115"/>
      <c r="AJ8" s="88">
        <f>AJ40</f>
        <v>67</v>
      </c>
      <c r="AM8" s="115" t="s">
        <v>153</v>
      </c>
      <c r="AN8" s="115"/>
      <c r="AO8" s="115"/>
      <c r="AP8" s="88">
        <f>AP40</f>
        <v>67</v>
      </c>
      <c r="AR8" s="113"/>
      <c r="AS8" s="115" t="s">
        <v>153</v>
      </c>
      <c r="AT8" s="115"/>
      <c r="AU8" s="115"/>
      <c r="AV8" s="88">
        <f>AV40</f>
        <v>47</v>
      </c>
      <c r="AY8" s="115" t="s">
        <v>153</v>
      </c>
      <c r="AZ8" s="115"/>
      <c r="BA8" s="115"/>
      <c r="BB8" s="88">
        <f>BB40</f>
        <v>47</v>
      </c>
    </row>
    <row r="9" spans="2:55" x14ac:dyDescent="0.3">
      <c r="I9" s="115" t="s">
        <v>154</v>
      </c>
      <c r="J9" s="115"/>
      <c r="K9" s="115"/>
      <c r="L9" s="88">
        <v>4</v>
      </c>
      <c r="M9" s="104" t="s">
        <v>207</v>
      </c>
      <c r="O9" s="115" t="s">
        <v>154</v>
      </c>
      <c r="P9" s="115"/>
      <c r="Q9" s="115"/>
      <c r="R9" s="88">
        <v>1</v>
      </c>
      <c r="S9" s="104" t="s">
        <v>211</v>
      </c>
      <c r="T9" s="113"/>
      <c r="U9" s="115" t="s">
        <v>154</v>
      </c>
      <c r="V9" s="115"/>
      <c r="W9" s="115"/>
      <c r="X9" s="88">
        <v>4</v>
      </c>
      <c r="Y9" s="104" t="s">
        <v>207</v>
      </c>
      <c r="AA9" s="115" t="s">
        <v>154</v>
      </c>
      <c r="AB9" s="115"/>
      <c r="AC9" s="115"/>
      <c r="AD9" s="88">
        <v>1</v>
      </c>
      <c r="AE9" s="104" t="s">
        <v>211</v>
      </c>
      <c r="AF9" s="112"/>
      <c r="AG9" s="115" t="s">
        <v>154</v>
      </c>
      <c r="AH9" s="115"/>
      <c r="AI9" s="115"/>
      <c r="AJ9" s="88">
        <v>4</v>
      </c>
      <c r="AK9" s="104" t="s">
        <v>207</v>
      </c>
      <c r="AM9" s="115" t="s">
        <v>154</v>
      </c>
      <c r="AN9" s="115"/>
      <c r="AO9" s="115"/>
      <c r="AP9" s="88">
        <v>1</v>
      </c>
      <c r="AQ9" s="104" t="s">
        <v>211</v>
      </c>
      <c r="AR9" s="113"/>
      <c r="AS9" s="115" t="s">
        <v>154</v>
      </c>
      <c r="AT9" s="115"/>
      <c r="AU9" s="115"/>
      <c r="AV9" s="88">
        <v>4</v>
      </c>
      <c r="AW9" s="104" t="s">
        <v>207</v>
      </c>
      <c r="AY9" s="115" t="s">
        <v>154</v>
      </c>
      <c r="AZ9" s="115"/>
      <c r="BA9" s="115"/>
      <c r="BB9" s="88">
        <v>1</v>
      </c>
      <c r="BC9" s="104" t="s">
        <v>211</v>
      </c>
    </row>
    <row r="10" spans="2:55" x14ac:dyDescent="0.3">
      <c r="I10" s="115" t="s">
        <v>155</v>
      </c>
      <c r="J10" s="115"/>
      <c r="K10" s="115"/>
      <c r="L10" s="88">
        <f>L9*24*30</f>
        <v>2880</v>
      </c>
      <c r="O10" s="115" t="s">
        <v>155</v>
      </c>
      <c r="P10" s="115"/>
      <c r="Q10" s="115"/>
      <c r="R10" s="88">
        <f>R9*24*30</f>
        <v>720</v>
      </c>
      <c r="T10" s="113"/>
      <c r="U10" s="115" t="s">
        <v>155</v>
      </c>
      <c r="V10" s="115"/>
      <c r="W10" s="115"/>
      <c r="X10" s="88">
        <f>X9*24*30</f>
        <v>2880</v>
      </c>
      <c r="AA10" s="115" t="s">
        <v>155</v>
      </c>
      <c r="AB10" s="115"/>
      <c r="AC10" s="115"/>
      <c r="AD10" s="88">
        <f>AD9*24*30</f>
        <v>720</v>
      </c>
      <c r="AF10" s="112"/>
      <c r="AG10" s="115" t="s">
        <v>155</v>
      </c>
      <c r="AH10" s="115"/>
      <c r="AI10" s="115"/>
      <c r="AJ10" s="88">
        <f>AJ9*24*30</f>
        <v>2880</v>
      </c>
      <c r="AM10" s="115" t="s">
        <v>155</v>
      </c>
      <c r="AN10" s="115"/>
      <c r="AO10" s="115"/>
      <c r="AP10" s="88">
        <f>AP9*24*30</f>
        <v>720</v>
      </c>
      <c r="AR10" s="113"/>
      <c r="AS10" s="115" t="s">
        <v>155</v>
      </c>
      <c r="AT10" s="115"/>
      <c r="AU10" s="115"/>
      <c r="AV10" s="88">
        <f>AV9*24*30</f>
        <v>2880</v>
      </c>
      <c r="AY10" s="115" t="s">
        <v>155</v>
      </c>
      <c r="AZ10" s="115"/>
      <c r="BA10" s="115"/>
      <c r="BB10" s="88">
        <f>BB9*24*30</f>
        <v>720</v>
      </c>
    </row>
    <row r="11" spans="2:55" x14ac:dyDescent="0.3">
      <c r="I11" s="115" t="s">
        <v>156</v>
      </c>
      <c r="J11" s="115"/>
      <c r="K11" s="115"/>
      <c r="L11" s="88">
        <v>17</v>
      </c>
      <c r="O11" s="115" t="s">
        <v>156</v>
      </c>
      <c r="P11" s="115"/>
      <c r="Q11" s="115"/>
      <c r="R11" s="88">
        <v>17</v>
      </c>
      <c r="T11" s="113"/>
      <c r="U11" s="115" t="s">
        <v>156</v>
      </c>
      <c r="V11" s="115"/>
      <c r="W11" s="115"/>
      <c r="X11" s="88">
        <v>17</v>
      </c>
      <c r="AA11" s="115" t="s">
        <v>156</v>
      </c>
      <c r="AB11" s="115"/>
      <c r="AC11" s="115"/>
      <c r="AD11" s="88">
        <v>17</v>
      </c>
      <c r="AF11" s="112"/>
      <c r="AG11" s="115" t="s">
        <v>156</v>
      </c>
      <c r="AH11" s="115"/>
      <c r="AI11" s="115"/>
      <c r="AJ11" s="88">
        <v>17</v>
      </c>
      <c r="AM11" s="115" t="s">
        <v>156</v>
      </c>
      <c r="AN11" s="115"/>
      <c r="AO11" s="115"/>
      <c r="AP11" s="88">
        <v>17</v>
      </c>
      <c r="AR11" s="113"/>
      <c r="AS11" s="115" t="s">
        <v>156</v>
      </c>
      <c r="AT11" s="115"/>
      <c r="AU11" s="115"/>
      <c r="AV11" s="88">
        <v>17</v>
      </c>
      <c r="AY11" s="115" t="s">
        <v>156</v>
      </c>
      <c r="AZ11" s="115"/>
      <c r="BA11" s="115"/>
      <c r="BB11" s="88">
        <v>17</v>
      </c>
    </row>
    <row r="12" spans="2:55" x14ac:dyDescent="0.3">
      <c r="I12" s="115" t="s">
        <v>157</v>
      </c>
      <c r="J12" s="115"/>
      <c r="K12" s="115"/>
      <c r="L12" s="88">
        <v>48</v>
      </c>
      <c r="O12" s="115" t="s">
        <v>157</v>
      </c>
      <c r="P12" s="115"/>
      <c r="Q12" s="115"/>
      <c r="R12" s="88">
        <v>48</v>
      </c>
      <c r="T12" s="113"/>
      <c r="U12" s="115" t="s">
        <v>157</v>
      </c>
      <c r="V12" s="115"/>
      <c r="W12" s="115"/>
      <c r="X12" s="88">
        <v>48</v>
      </c>
      <c r="AA12" s="115" t="s">
        <v>157</v>
      </c>
      <c r="AB12" s="115"/>
      <c r="AC12" s="115"/>
      <c r="AD12" s="88">
        <v>48</v>
      </c>
      <c r="AF12" s="112"/>
      <c r="AG12" s="115" t="s">
        <v>157</v>
      </c>
      <c r="AH12" s="115"/>
      <c r="AI12" s="115"/>
      <c r="AJ12" s="88">
        <v>48</v>
      </c>
      <c r="AM12" s="115" t="s">
        <v>157</v>
      </c>
      <c r="AN12" s="115"/>
      <c r="AO12" s="115"/>
      <c r="AP12" s="88">
        <v>48</v>
      </c>
      <c r="AR12" s="113"/>
      <c r="AS12" s="115" t="s">
        <v>157</v>
      </c>
      <c r="AT12" s="115"/>
      <c r="AU12" s="115"/>
      <c r="AV12" s="88">
        <v>48</v>
      </c>
      <c r="AY12" s="115" t="s">
        <v>157</v>
      </c>
      <c r="AZ12" s="115"/>
      <c r="BA12" s="115"/>
      <c r="BB12" s="88">
        <v>48</v>
      </c>
    </row>
    <row r="13" spans="2:55" x14ac:dyDescent="0.3">
      <c r="I13" s="115" t="s">
        <v>158</v>
      </c>
      <c r="J13" s="115"/>
      <c r="K13" s="115"/>
      <c r="L13" s="88">
        <v>512</v>
      </c>
      <c r="O13" s="115" t="s">
        <v>158</v>
      </c>
      <c r="P13" s="115"/>
      <c r="Q13" s="115"/>
      <c r="R13" s="88">
        <v>512</v>
      </c>
      <c r="T13" s="113"/>
      <c r="U13" s="115" t="s">
        <v>158</v>
      </c>
      <c r="V13" s="115"/>
      <c r="W13" s="115"/>
      <c r="X13" s="88">
        <v>512</v>
      </c>
      <c r="AA13" s="115" t="s">
        <v>158</v>
      </c>
      <c r="AB13" s="115"/>
      <c r="AC13" s="115"/>
      <c r="AD13" s="88">
        <v>512</v>
      </c>
      <c r="AF13" s="112"/>
      <c r="AG13" s="115" t="s">
        <v>158</v>
      </c>
      <c r="AH13" s="115"/>
      <c r="AI13" s="115"/>
      <c r="AJ13" s="88">
        <v>512</v>
      </c>
      <c r="AM13" s="115" t="s">
        <v>158</v>
      </c>
      <c r="AN13" s="115"/>
      <c r="AO13" s="115"/>
      <c r="AP13" s="88">
        <v>512</v>
      </c>
      <c r="AR13" s="113"/>
      <c r="AS13" s="115" t="s">
        <v>158</v>
      </c>
      <c r="AT13" s="115"/>
      <c r="AU13" s="115"/>
      <c r="AV13" s="88">
        <v>512</v>
      </c>
      <c r="AY13" s="115" t="s">
        <v>158</v>
      </c>
      <c r="AZ13" s="115"/>
      <c r="BA13" s="115"/>
      <c r="BB13" s="88">
        <v>512</v>
      </c>
    </row>
    <row r="14" spans="2:55" x14ac:dyDescent="0.3">
      <c r="I14" s="117" t="s">
        <v>159</v>
      </c>
      <c r="J14" s="117"/>
      <c r="K14" s="117"/>
      <c r="L14" s="117"/>
      <c r="O14" s="117" t="s">
        <v>159</v>
      </c>
      <c r="P14" s="117"/>
      <c r="Q14" s="117"/>
      <c r="R14" s="117"/>
      <c r="T14" s="113"/>
      <c r="U14" s="117" t="s">
        <v>159</v>
      </c>
      <c r="V14" s="117"/>
      <c r="W14" s="117"/>
      <c r="X14" s="117"/>
      <c r="AA14" s="117" t="s">
        <v>159</v>
      </c>
      <c r="AB14" s="117"/>
      <c r="AC14" s="117"/>
      <c r="AD14" s="117"/>
      <c r="AF14" s="112"/>
      <c r="AG14" s="117" t="s">
        <v>159</v>
      </c>
      <c r="AH14" s="117"/>
      <c r="AI14" s="117"/>
      <c r="AJ14" s="117"/>
      <c r="AM14" s="117" t="s">
        <v>159</v>
      </c>
      <c r="AN14" s="117"/>
      <c r="AO14" s="117"/>
      <c r="AP14" s="117"/>
      <c r="AR14" s="113"/>
      <c r="AS14" s="117" t="s">
        <v>159</v>
      </c>
      <c r="AT14" s="117"/>
      <c r="AU14" s="117"/>
      <c r="AV14" s="117"/>
      <c r="AY14" s="117" t="s">
        <v>159</v>
      </c>
      <c r="AZ14" s="117"/>
      <c r="BA14" s="117"/>
      <c r="BB14" s="117"/>
    </row>
    <row r="15" spans="2:55" x14ac:dyDescent="0.3">
      <c r="I15" s="115" t="s">
        <v>160</v>
      </c>
      <c r="J15" s="115"/>
      <c r="K15" s="115"/>
      <c r="L15" s="107">
        <f>L8*L10/1024</f>
        <v>188.4375</v>
      </c>
      <c r="O15" s="115" t="s">
        <v>160</v>
      </c>
      <c r="P15" s="115"/>
      <c r="Q15" s="115"/>
      <c r="R15" s="107">
        <f>R8*R10/1024</f>
        <v>47.109375</v>
      </c>
      <c r="T15" s="113"/>
      <c r="U15" s="115" t="s">
        <v>160</v>
      </c>
      <c r="V15" s="115"/>
      <c r="W15" s="115"/>
      <c r="X15" s="107">
        <f>X8*X10/1024</f>
        <v>104.0625</v>
      </c>
      <c r="AA15" s="115" t="s">
        <v>160</v>
      </c>
      <c r="AB15" s="115"/>
      <c r="AC15" s="115"/>
      <c r="AD15" s="107">
        <f>AD8*AD10/1024</f>
        <v>15.46875</v>
      </c>
      <c r="AF15" s="112"/>
      <c r="AG15" s="115" t="s">
        <v>160</v>
      </c>
      <c r="AH15" s="115"/>
      <c r="AI15" s="115"/>
      <c r="AJ15" s="107">
        <f>AJ8*AJ10/1024</f>
        <v>188.4375</v>
      </c>
      <c r="AM15" s="115" t="s">
        <v>160</v>
      </c>
      <c r="AN15" s="115"/>
      <c r="AO15" s="115"/>
      <c r="AP15" s="107">
        <f>AP8*AP10/1024</f>
        <v>47.109375</v>
      </c>
      <c r="AR15" s="113"/>
      <c r="AS15" s="115" t="s">
        <v>160</v>
      </c>
      <c r="AT15" s="115"/>
      <c r="AU15" s="115"/>
      <c r="AV15" s="107">
        <f>AV8*AV10/1024</f>
        <v>132.1875</v>
      </c>
      <c r="AY15" s="115" t="s">
        <v>160</v>
      </c>
      <c r="AZ15" s="115"/>
      <c r="BA15" s="115"/>
      <c r="BB15" s="107">
        <f>BB8*BB10/1024</f>
        <v>33.046875</v>
      </c>
    </row>
    <row r="16" spans="2:55" x14ac:dyDescent="0.3">
      <c r="I16" s="115" t="s">
        <v>161</v>
      </c>
      <c r="J16" s="115"/>
      <c r="K16" s="115"/>
      <c r="L16" s="107">
        <f>L11*L46*30/1024</f>
        <v>11.455078125</v>
      </c>
      <c r="O16" s="115" t="s">
        <v>161</v>
      </c>
      <c r="P16" s="115"/>
      <c r="Q16" s="115"/>
      <c r="R16" s="107">
        <f>R11*R46*30/1024</f>
        <v>11.455078125</v>
      </c>
      <c r="T16" s="113"/>
      <c r="U16" s="115" t="s">
        <v>161</v>
      </c>
      <c r="V16" s="115"/>
      <c r="W16" s="115"/>
      <c r="X16" s="107">
        <f>X11*X46*30/1024</f>
        <v>11.455078125</v>
      </c>
      <c r="AA16" s="115" t="s">
        <v>161</v>
      </c>
      <c r="AB16" s="115"/>
      <c r="AC16" s="115"/>
      <c r="AD16" s="107">
        <f>AD11*AD46*30/1024</f>
        <v>11.455078125</v>
      </c>
      <c r="AF16" s="112"/>
      <c r="AG16" s="115" t="s">
        <v>161</v>
      </c>
      <c r="AH16" s="115"/>
      <c r="AI16" s="115"/>
      <c r="AJ16" s="107">
        <f>AJ11*AJ46*30/1024</f>
        <v>11.455078125</v>
      </c>
      <c r="AM16" s="115" t="s">
        <v>161</v>
      </c>
      <c r="AN16" s="115"/>
      <c r="AO16" s="115"/>
      <c r="AP16" s="107">
        <f>AP11*AP46*30/1024</f>
        <v>11.455078125</v>
      </c>
      <c r="AR16" s="113"/>
      <c r="AS16" s="115" t="s">
        <v>161</v>
      </c>
      <c r="AT16" s="115"/>
      <c r="AU16" s="115"/>
      <c r="AV16" s="107">
        <f>AV11*AV46*30/1024</f>
        <v>11.455078125</v>
      </c>
      <c r="AY16" s="115" t="s">
        <v>161</v>
      </c>
      <c r="AZ16" s="115"/>
      <c r="BA16" s="115"/>
      <c r="BB16" s="107">
        <f>BB11*BB46*30/1024</f>
        <v>11.455078125</v>
      </c>
    </row>
    <row r="17" spans="5:54" x14ac:dyDescent="0.3">
      <c r="I17" s="115" t="s">
        <v>162</v>
      </c>
      <c r="J17" s="115"/>
      <c r="K17" s="115"/>
      <c r="L17" s="107">
        <f>L12*L52*30/1024</f>
        <v>32.34375</v>
      </c>
      <c r="O17" s="115" t="s">
        <v>162</v>
      </c>
      <c r="P17" s="115"/>
      <c r="Q17" s="115"/>
      <c r="R17" s="107">
        <f>R12*R52*30/1024</f>
        <v>32.34375</v>
      </c>
      <c r="T17" s="113"/>
      <c r="U17" s="115" t="s">
        <v>162</v>
      </c>
      <c r="V17" s="115"/>
      <c r="W17" s="115"/>
      <c r="X17" s="107">
        <f>X12*X52*30/1024</f>
        <v>25.3125</v>
      </c>
      <c r="AA17" s="115" t="s">
        <v>162</v>
      </c>
      <c r="AB17" s="115"/>
      <c r="AC17" s="115"/>
      <c r="AD17" s="107">
        <f>AD12*AD52*30/1024</f>
        <v>25.3125</v>
      </c>
      <c r="AF17" s="112"/>
      <c r="AG17" s="115" t="s">
        <v>162</v>
      </c>
      <c r="AH17" s="115"/>
      <c r="AI17" s="115"/>
      <c r="AJ17" s="107">
        <f>AJ12*AJ52*30/1024</f>
        <v>32.34375</v>
      </c>
      <c r="AM17" s="115" t="s">
        <v>162</v>
      </c>
      <c r="AN17" s="115"/>
      <c r="AO17" s="115"/>
      <c r="AP17" s="107">
        <f>AP12*AP52*30/1024</f>
        <v>32.34375</v>
      </c>
      <c r="AR17" s="113"/>
      <c r="AS17" s="115" t="s">
        <v>162</v>
      </c>
      <c r="AT17" s="115"/>
      <c r="AU17" s="115"/>
      <c r="AV17" s="107">
        <f>AV12*AV52*30/1024</f>
        <v>25.3125</v>
      </c>
      <c r="AY17" s="115" t="s">
        <v>162</v>
      </c>
      <c r="AZ17" s="115"/>
      <c r="BA17" s="115"/>
      <c r="BB17" s="107">
        <f>BB12*BB52*30/1024</f>
        <v>25.3125</v>
      </c>
    </row>
    <row r="18" spans="5:54" x14ac:dyDescent="0.3">
      <c r="I18" s="115" t="s">
        <v>163</v>
      </c>
      <c r="J18" s="115"/>
      <c r="K18" s="115"/>
      <c r="L18" s="107">
        <f>L13/12</f>
        <v>42.666666666666664</v>
      </c>
      <c r="O18" s="115" t="s">
        <v>163</v>
      </c>
      <c r="P18" s="115"/>
      <c r="Q18" s="115"/>
      <c r="R18" s="107">
        <f>R13/12</f>
        <v>42.666666666666664</v>
      </c>
      <c r="T18" s="113"/>
      <c r="U18" s="115" t="s">
        <v>163</v>
      </c>
      <c r="V18" s="115"/>
      <c r="W18" s="115"/>
      <c r="X18" s="107">
        <f>X13/12</f>
        <v>42.666666666666664</v>
      </c>
      <c r="AA18" s="115" t="s">
        <v>163</v>
      </c>
      <c r="AB18" s="115"/>
      <c r="AC18" s="115"/>
      <c r="AD18" s="107">
        <f>AD13/12</f>
        <v>42.666666666666664</v>
      </c>
      <c r="AF18" s="112"/>
      <c r="AG18" s="115" t="s">
        <v>163</v>
      </c>
      <c r="AH18" s="115"/>
      <c r="AI18" s="115"/>
      <c r="AJ18" s="107">
        <f>AJ13/12</f>
        <v>42.666666666666664</v>
      </c>
      <c r="AM18" s="115" t="s">
        <v>163</v>
      </c>
      <c r="AN18" s="115"/>
      <c r="AO18" s="115"/>
      <c r="AP18" s="107">
        <f>AP13/12</f>
        <v>42.666666666666664</v>
      </c>
      <c r="AR18" s="113"/>
      <c r="AS18" s="115" t="s">
        <v>163</v>
      </c>
      <c r="AT18" s="115"/>
      <c r="AU18" s="115"/>
      <c r="AV18" s="107">
        <f>AV13/12</f>
        <v>42.666666666666664</v>
      </c>
      <c r="AY18" s="115" t="s">
        <v>163</v>
      </c>
      <c r="AZ18" s="115"/>
      <c r="BA18" s="115"/>
      <c r="BB18" s="107">
        <f>BB13/12</f>
        <v>42.666666666666664</v>
      </c>
    </row>
    <row r="19" spans="5:54" x14ac:dyDescent="0.3">
      <c r="I19" s="115" t="s">
        <v>164</v>
      </c>
      <c r="J19" s="115"/>
      <c r="K19" s="115"/>
      <c r="L19" s="108">
        <f>SUM(L15:L18)*0.2</f>
        <v>54.980598958333339</v>
      </c>
      <c r="O19" s="115" t="s">
        <v>164</v>
      </c>
      <c r="P19" s="115"/>
      <c r="Q19" s="115"/>
      <c r="R19" s="108">
        <f>SUM(R15:R18)*0.2</f>
        <v>26.714973958333331</v>
      </c>
      <c r="T19" s="113"/>
      <c r="U19" s="115" t="s">
        <v>164</v>
      </c>
      <c r="V19" s="115"/>
      <c r="W19" s="115"/>
      <c r="X19" s="108">
        <f>SUM(X15:X18)*0.2</f>
        <v>36.699348958333331</v>
      </c>
      <c r="AA19" s="115" t="s">
        <v>164</v>
      </c>
      <c r="AB19" s="115"/>
      <c r="AC19" s="115"/>
      <c r="AD19" s="108">
        <f>SUM(AD15:AD18)*0.2</f>
        <v>18.980598958333331</v>
      </c>
      <c r="AF19" s="112"/>
      <c r="AG19" s="115" t="s">
        <v>164</v>
      </c>
      <c r="AH19" s="115"/>
      <c r="AI19" s="115"/>
      <c r="AJ19" s="108">
        <f>SUM(AJ15:AJ18)*0.2</f>
        <v>54.980598958333339</v>
      </c>
      <c r="AM19" s="115" t="s">
        <v>164</v>
      </c>
      <c r="AN19" s="115"/>
      <c r="AO19" s="115"/>
      <c r="AP19" s="108">
        <f>SUM(AP15:AP18)*0.2</f>
        <v>26.714973958333331</v>
      </c>
      <c r="AR19" s="113"/>
      <c r="AS19" s="115" t="s">
        <v>164</v>
      </c>
      <c r="AT19" s="115"/>
      <c r="AU19" s="115"/>
      <c r="AV19" s="108">
        <f>SUM(AV15:AV18)*0.2</f>
        <v>42.324348958333331</v>
      </c>
      <c r="AY19" s="115" t="s">
        <v>164</v>
      </c>
      <c r="AZ19" s="115"/>
      <c r="BA19" s="115"/>
      <c r="BB19" s="108">
        <f>SUM(BB15:BB18)*0.2</f>
        <v>22.496223958333331</v>
      </c>
    </row>
    <row r="20" spans="5:54" x14ac:dyDescent="0.3">
      <c r="I20" s="116" t="s">
        <v>165</v>
      </c>
      <c r="J20" s="116"/>
      <c r="K20" s="116"/>
      <c r="L20" s="108">
        <f>SUM(L15:L19)</f>
        <v>329.88359375000005</v>
      </c>
      <c r="O20" s="116" t="s">
        <v>165</v>
      </c>
      <c r="P20" s="116"/>
      <c r="Q20" s="116"/>
      <c r="R20" s="108">
        <f>SUM(R15:R19)</f>
        <v>160.28984374999999</v>
      </c>
      <c r="T20" s="113"/>
      <c r="U20" s="116" t="s">
        <v>165</v>
      </c>
      <c r="V20" s="116"/>
      <c r="W20" s="116"/>
      <c r="X20" s="108">
        <f>SUM(X15:X19)</f>
        <v>220.19609374999999</v>
      </c>
      <c r="AA20" s="116" t="s">
        <v>165</v>
      </c>
      <c r="AB20" s="116"/>
      <c r="AC20" s="116"/>
      <c r="AD20" s="108">
        <f>SUM(AD15:AD19)</f>
        <v>113.88359374999999</v>
      </c>
      <c r="AF20" s="112"/>
      <c r="AG20" s="116" t="s">
        <v>165</v>
      </c>
      <c r="AH20" s="116"/>
      <c r="AI20" s="116"/>
      <c r="AJ20" s="108">
        <f>SUM(AJ15:AJ19)</f>
        <v>329.88359375000005</v>
      </c>
      <c r="AM20" s="116" t="s">
        <v>165</v>
      </c>
      <c r="AN20" s="116"/>
      <c r="AO20" s="116"/>
      <c r="AP20" s="108">
        <f>SUM(AP15:AP19)</f>
        <v>160.28984374999999</v>
      </c>
      <c r="AR20" s="113"/>
      <c r="AS20" s="116" t="s">
        <v>165</v>
      </c>
      <c r="AT20" s="116"/>
      <c r="AU20" s="116"/>
      <c r="AV20" s="108">
        <f>SUM(AV15:AV19)</f>
        <v>253.94609374999999</v>
      </c>
      <c r="AY20" s="116" t="s">
        <v>165</v>
      </c>
      <c r="AZ20" s="116"/>
      <c r="BA20" s="116"/>
      <c r="BB20" s="108">
        <f>SUM(BB15:BB19)</f>
        <v>134.97734374999999</v>
      </c>
    </row>
    <row r="21" spans="5:54" x14ac:dyDescent="0.3">
      <c r="I21" s="116" t="s">
        <v>166</v>
      </c>
      <c r="J21" s="116"/>
      <c r="K21" s="116"/>
      <c r="L21" s="108">
        <f>L20*$G$29</f>
        <v>94.072632849961181</v>
      </c>
      <c r="O21" s="116" t="s">
        <v>166</v>
      </c>
      <c r="P21" s="116"/>
      <c r="Q21" s="116"/>
      <c r="R21" s="108">
        <f>R20*$G$29</f>
        <v>45.709722782087859</v>
      </c>
      <c r="T21" s="113"/>
      <c r="U21" s="116" t="s">
        <v>166</v>
      </c>
      <c r="V21" s="116"/>
      <c r="W21" s="116"/>
      <c r="X21" s="108">
        <f>X20*$G$29</f>
        <v>62.79313877621226</v>
      </c>
      <c r="AA21" s="116" t="s">
        <v>166</v>
      </c>
      <c r="AB21" s="116"/>
      <c r="AC21" s="116"/>
      <c r="AD21" s="108">
        <f>AD20*$G$29</f>
        <v>32.476090673963327</v>
      </c>
      <c r="AF21" s="112"/>
      <c r="AG21" s="116" t="s">
        <v>166</v>
      </c>
      <c r="AH21" s="116"/>
      <c r="AI21" s="116"/>
      <c r="AJ21" s="108">
        <f>AJ20*$G$29</f>
        <v>94.072632849961181</v>
      </c>
      <c r="AM21" s="116" t="s">
        <v>166</v>
      </c>
      <c r="AN21" s="116"/>
      <c r="AO21" s="116"/>
      <c r="AP21" s="108">
        <f>AP20*$G$29</f>
        <v>45.709722782087859</v>
      </c>
      <c r="AR21" s="113"/>
      <c r="AS21" s="116" t="s">
        <v>166</v>
      </c>
      <c r="AT21" s="116"/>
      <c r="AU21" s="116"/>
      <c r="AV21" s="108">
        <f>AV20*$G$29</f>
        <v>72.417598491211919</v>
      </c>
      <c r="AY21" s="116" t="s">
        <v>166</v>
      </c>
      <c r="AZ21" s="116"/>
      <c r="BA21" s="116"/>
      <c r="BB21" s="108">
        <f>BB20*$G$29</f>
        <v>38.491377995838114</v>
      </c>
    </row>
    <row r="22" spans="5:54" x14ac:dyDescent="0.3">
      <c r="T22" s="113"/>
      <c r="AF22" s="112"/>
      <c r="AR22" s="113"/>
    </row>
    <row r="23" spans="5:54" x14ac:dyDescent="0.3">
      <c r="T23" s="113"/>
      <c r="AF23" s="112"/>
      <c r="AR23" s="113"/>
    </row>
    <row r="24" spans="5:54" x14ac:dyDescent="0.3">
      <c r="J24" s="119" t="s">
        <v>186</v>
      </c>
      <c r="K24" s="119"/>
      <c r="L24" s="119"/>
      <c r="P24" s="119" t="s">
        <v>186</v>
      </c>
      <c r="Q24" s="119"/>
      <c r="R24" s="119"/>
      <c r="T24" s="113"/>
      <c r="V24" s="119" t="s">
        <v>186</v>
      </c>
      <c r="W24" s="119"/>
      <c r="X24" s="119"/>
      <c r="AB24" s="119" t="s">
        <v>186</v>
      </c>
      <c r="AC24" s="119"/>
      <c r="AD24" s="119"/>
      <c r="AF24" s="112"/>
      <c r="AH24" s="119" t="s">
        <v>186</v>
      </c>
      <c r="AI24" s="119"/>
      <c r="AJ24" s="119"/>
      <c r="AN24" s="119" t="s">
        <v>186</v>
      </c>
      <c r="AO24" s="119"/>
      <c r="AP24" s="119"/>
      <c r="AR24" s="113"/>
      <c r="AT24" s="119" t="s">
        <v>186</v>
      </c>
      <c r="AU24" s="119"/>
      <c r="AV24" s="119"/>
      <c r="AZ24" s="119" t="s">
        <v>186</v>
      </c>
      <c r="BA24" s="119"/>
      <c r="BB24" s="119"/>
    </row>
    <row r="25" spans="5:54" x14ac:dyDescent="0.3">
      <c r="J25" s="114" t="s">
        <v>187</v>
      </c>
      <c r="K25" s="114"/>
      <c r="L25" s="109">
        <v>12</v>
      </c>
      <c r="P25" s="114" t="s">
        <v>187</v>
      </c>
      <c r="Q25" s="114"/>
      <c r="R25" s="109">
        <v>12</v>
      </c>
      <c r="T25" s="113"/>
      <c r="V25" s="114" t="s">
        <v>187</v>
      </c>
      <c r="W25" s="114"/>
      <c r="X25" s="109">
        <v>12</v>
      </c>
      <c r="AB25" s="114" t="s">
        <v>187</v>
      </c>
      <c r="AC25" s="114"/>
      <c r="AD25" s="109">
        <v>12</v>
      </c>
      <c r="AF25" s="112"/>
      <c r="AH25" s="114" t="s">
        <v>187</v>
      </c>
      <c r="AI25" s="114"/>
      <c r="AJ25" s="109">
        <v>12</v>
      </c>
      <c r="AN25" s="114" t="s">
        <v>187</v>
      </c>
      <c r="AO25" s="114"/>
      <c r="AP25" s="109">
        <v>12</v>
      </c>
      <c r="AR25" s="113"/>
      <c r="AT25" s="114" t="s">
        <v>187</v>
      </c>
      <c r="AU25" s="114"/>
      <c r="AV25" s="109">
        <v>12</v>
      </c>
      <c r="AZ25" s="114" t="s">
        <v>187</v>
      </c>
      <c r="BA25" s="114"/>
      <c r="BB25" s="109">
        <v>12</v>
      </c>
    </row>
    <row r="26" spans="5:54" x14ac:dyDescent="0.3">
      <c r="J26" s="114" t="s">
        <v>188</v>
      </c>
      <c r="K26" s="114"/>
      <c r="L26" s="109">
        <v>5</v>
      </c>
      <c r="P26" s="114" t="s">
        <v>188</v>
      </c>
      <c r="Q26" s="114"/>
      <c r="R26" s="109">
        <v>5</v>
      </c>
      <c r="T26" s="113"/>
      <c r="V26" s="114" t="s">
        <v>188</v>
      </c>
      <c r="W26" s="114"/>
      <c r="X26" s="109">
        <v>5</v>
      </c>
      <c r="AB26" s="114" t="s">
        <v>188</v>
      </c>
      <c r="AC26" s="114"/>
      <c r="AD26" s="109">
        <v>5</v>
      </c>
      <c r="AF26" s="112"/>
      <c r="AH26" s="114" t="s">
        <v>188</v>
      </c>
      <c r="AI26" s="114"/>
      <c r="AJ26" s="109">
        <v>5</v>
      </c>
      <c r="AN26" s="114" t="s">
        <v>188</v>
      </c>
      <c r="AO26" s="114"/>
      <c r="AP26" s="109">
        <v>5</v>
      </c>
      <c r="AR26" s="113"/>
      <c r="AT26" s="114" t="s">
        <v>188</v>
      </c>
      <c r="AU26" s="114"/>
      <c r="AV26" s="109">
        <v>5</v>
      </c>
      <c r="AZ26" s="114" t="s">
        <v>188</v>
      </c>
      <c r="BA26" s="114"/>
      <c r="BB26" s="109">
        <v>5</v>
      </c>
    </row>
    <row r="27" spans="5:54" x14ac:dyDescent="0.3">
      <c r="E27" s="123" t="s">
        <v>208</v>
      </c>
      <c r="F27" s="123"/>
      <c r="G27" s="105">
        <v>325754</v>
      </c>
      <c r="J27" s="114" t="s">
        <v>189</v>
      </c>
      <c r="K27" s="114"/>
      <c r="L27" s="109">
        <v>5</v>
      </c>
      <c r="P27" s="114" t="s">
        <v>189</v>
      </c>
      <c r="Q27" s="114"/>
      <c r="R27" s="109">
        <v>5</v>
      </c>
      <c r="T27" s="113"/>
      <c r="V27" s="114" t="s">
        <v>189</v>
      </c>
      <c r="W27" s="114"/>
      <c r="X27" s="109">
        <v>5</v>
      </c>
      <c r="AB27" s="114" t="s">
        <v>189</v>
      </c>
      <c r="AC27" s="114"/>
      <c r="AD27" s="109">
        <v>0</v>
      </c>
      <c r="AF27" s="112"/>
      <c r="AH27" s="114" t="s">
        <v>189</v>
      </c>
      <c r="AI27" s="114"/>
      <c r="AJ27" s="109">
        <v>5</v>
      </c>
      <c r="AN27" s="114" t="s">
        <v>189</v>
      </c>
      <c r="AO27" s="114"/>
      <c r="AP27" s="109">
        <v>5</v>
      </c>
      <c r="AR27" s="113"/>
      <c r="AT27" s="114" t="s">
        <v>189</v>
      </c>
      <c r="AU27" s="114"/>
      <c r="AV27" s="109">
        <v>5</v>
      </c>
      <c r="AZ27" s="114" t="s">
        <v>189</v>
      </c>
      <c r="BA27" s="114"/>
      <c r="BB27" s="109">
        <v>5</v>
      </c>
    </row>
    <row r="28" spans="5:54" x14ac:dyDescent="0.3">
      <c r="E28" s="123" t="s">
        <v>209</v>
      </c>
      <c r="F28" s="123"/>
      <c r="G28" s="105">
        <v>92895</v>
      </c>
      <c r="J28" s="114" t="s">
        <v>190</v>
      </c>
      <c r="K28" s="114"/>
      <c r="L28" s="109">
        <v>5</v>
      </c>
      <c r="P28" s="114" t="s">
        <v>190</v>
      </c>
      <c r="Q28" s="114"/>
      <c r="R28" s="109">
        <v>5</v>
      </c>
      <c r="T28" s="113"/>
      <c r="V28" s="114" t="s">
        <v>190</v>
      </c>
      <c r="W28" s="114"/>
      <c r="X28" s="109">
        <v>0</v>
      </c>
      <c r="AB28" s="114" t="s">
        <v>190</v>
      </c>
      <c r="AC28" s="114"/>
      <c r="AD28" s="109">
        <v>0</v>
      </c>
      <c r="AF28" s="112"/>
      <c r="AH28" s="114" t="s">
        <v>190</v>
      </c>
      <c r="AI28" s="114"/>
      <c r="AJ28" s="109">
        <v>5</v>
      </c>
      <c r="AN28" s="114" t="s">
        <v>190</v>
      </c>
      <c r="AO28" s="114"/>
      <c r="AP28" s="109">
        <v>5</v>
      </c>
      <c r="AR28" s="113"/>
      <c r="AT28" s="114" t="s">
        <v>190</v>
      </c>
      <c r="AU28" s="114"/>
      <c r="AV28" s="109">
        <v>5</v>
      </c>
      <c r="AZ28" s="114" t="s">
        <v>190</v>
      </c>
      <c r="BA28" s="114"/>
      <c r="BB28" s="109">
        <v>5</v>
      </c>
    </row>
    <row r="29" spans="5:54" x14ac:dyDescent="0.3">
      <c r="E29" s="124" t="s">
        <v>210</v>
      </c>
      <c r="F29" s="124"/>
      <c r="G29" s="106">
        <f>G28/G27</f>
        <v>0.28516917674073072</v>
      </c>
      <c r="J29" s="114" t="s">
        <v>191</v>
      </c>
      <c r="K29" s="114"/>
      <c r="L29" s="109">
        <v>5</v>
      </c>
      <c r="P29" s="114" t="s">
        <v>191</v>
      </c>
      <c r="Q29" s="114"/>
      <c r="R29" s="109">
        <v>5</v>
      </c>
      <c r="T29" s="113"/>
      <c r="V29" s="114" t="s">
        <v>191</v>
      </c>
      <c r="W29" s="114"/>
      <c r="X29" s="109">
        <v>0</v>
      </c>
      <c r="AB29" s="114" t="s">
        <v>191</v>
      </c>
      <c r="AC29" s="114"/>
      <c r="AD29" s="109">
        <v>0</v>
      </c>
      <c r="AF29" s="112"/>
      <c r="AH29" s="114" t="s">
        <v>191</v>
      </c>
      <c r="AI29" s="114"/>
      <c r="AJ29" s="109">
        <v>5</v>
      </c>
      <c r="AN29" s="114" t="s">
        <v>191</v>
      </c>
      <c r="AO29" s="114"/>
      <c r="AP29" s="109">
        <v>5</v>
      </c>
      <c r="AR29" s="113"/>
      <c r="AT29" s="114" t="s">
        <v>191</v>
      </c>
      <c r="AU29" s="114"/>
      <c r="AV29" s="109">
        <v>5</v>
      </c>
      <c r="AZ29" s="114" t="s">
        <v>191</v>
      </c>
      <c r="BA29" s="114"/>
      <c r="BB29" s="109">
        <v>5</v>
      </c>
    </row>
    <row r="30" spans="5:54" x14ac:dyDescent="0.3">
      <c r="J30" s="114" t="s">
        <v>192</v>
      </c>
      <c r="K30" s="114"/>
      <c r="L30" s="109">
        <v>5</v>
      </c>
      <c r="P30" s="114" t="s">
        <v>192</v>
      </c>
      <c r="Q30" s="114"/>
      <c r="R30" s="109">
        <v>5</v>
      </c>
      <c r="T30" s="113"/>
      <c r="V30" s="114" t="s">
        <v>192</v>
      </c>
      <c r="W30" s="114"/>
      <c r="X30" s="109">
        <v>5</v>
      </c>
      <c r="AB30" s="114" t="s">
        <v>192</v>
      </c>
      <c r="AC30" s="114"/>
      <c r="AD30" s="109">
        <v>0</v>
      </c>
      <c r="AF30" s="112"/>
      <c r="AH30" s="114" t="s">
        <v>192</v>
      </c>
      <c r="AI30" s="114"/>
      <c r="AJ30" s="109">
        <v>5</v>
      </c>
      <c r="AN30" s="114" t="s">
        <v>192</v>
      </c>
      <c r="AO30" s="114"/>
      <c r="AP30" s="109">
        <v>5</v>
      </c>
      <c r="AR30" s="113"/>
      <c r="AT30" s="114" t="s">
        <v>192</v>
      </c>
      <c r="AU30" s="114"/>
      <c r="AV30" s="109">
        <v>5</v>
      </c>
      <c r="AZ30" s="114" t="s">
        <v>192</v>
      </c>
      <c r="BA30" s="114"/>
      <c r="BB30" s="109">
        <v>5</v>
      </c>
    </row>
    <row r="31" spans="5:54" x14ac:dyDescent="0.3">
      <c r="J31" s="114" t="s">
        <v>193</v>
      </c>
      <c r="K31" s="114"/>
      <c r="L31" s="109">
        <v>5</v>
      </c>
      <c r="P31" s="114" t="s">
        <v>193</v>
      </c>
      <c r="Q31" s="114"/>
      <c r="R31" s="109">
        <v>5</v>
      </c>
      <c r="T31" s="113"/>
      <c r="V31" s="114" t="s">
        <v>193</v>
      </c>
      <c r="W31" s="114"/>
      <c r="X31" s="109">
        <v>0</v>
      </c>
      <c r="AB31" s="114" t="s">
        <v>193</v>
      </c>
      <c r="AC31" s="114"/>
      <c r="AD31" s="109">
        <v>0</v>
      </c>
      <c r="AF31" s="112"/>
      <c r="AH31" s="114" t="s">
        <v>193</v>
      </c>
      <c r="AI31" s="114"/>
      <c r="AJ31" s="109">
        <v>5</v>
      </c>
      <c r="AN31" s="114" t="s">
        <v>193</v>
      </c>
      <c r="AO31" s="114"/>
      <c r="AP31" s="109">
        <v>5</v>
      </c>
      <c r="AR31" s="113"/>
      <c r="AT31" s="114" t="s">
        <v>193</v>
      </c>
      <c r="AU31" s="114"/>
      <c r="AV31" s="109">
        <v>0</v>
      </c>
      <c r="AZ31" s="114" t="s">
        <v>193</v>
      </c>
      <c r="BA31" s="114"/>
      <c r="BB31" s="109">
        <v>0</v>
      </c>
    </row>
    <row r="32" spans="5:54" x14ac:dyDescent="0.3">
      <c r="J32" s="114" t="s">
        <v>194</v>
      </c>
      <c r="K32" s="114"/>
      <c r="L32" s="109">
        <v>5</v>
      </c>
      <c r="P32" s="114" t="s">
        <v>194</v>
      </c>
      <c r="Q32" s="114"/>
      <c r="R32" s="109">
        <v>5</v>
      </c>
      <c r="T32" s="113"/>
      <c r="V32" s="114" t="s">
        <v>194</v>
      </c>
      <c r="W32" s="114"/>
      <c r="X32" s="109">
        <v>0</v>
      </c>
      <c r="AB32" s="114" t="s">
        <v>194</v>
      </c>
      <c r="AC32" s="114"/>
      <c r="AD32" s="109">
        <v>0</v>
      </c>
      <c r="AF32" s="112"/>
      <c r="AH32" s="114" t="s">
        <v>194</v>
      </c>
      <c r="AI32" s="114"/>
      <c r="AJ32" s="109">
        <v>5</v>
      </c>
      <c r="AN32" s="114" t="s">
        <v>194</v>
      </c>
      <c r="AO32" s="114"/>
      <c r="AP32" s="109">
        <v>5</v>
      </c>
      <c r="AR32" s="113"/>
      <c r="AT32" s="114" t="s">
        <v>194</v>
      </c>
      <c r="AU32" s="114"/>
      <c r="AV32" s="109">
        <v>0</v>
      </c>
      <c r="AZ32" s="114" t="s">
        <v>194</v>
      </c>
      <c r="BA32" s="114"/>
      <c r="BB32" s="109">
        <v>0</v>
      </c>
    </row>
    <row r="33" spans="10:54" x14ac:dyDescent="0.3">
      <c r="J33" s="114" t="s">
        <v>195</v>
      </c>
      <c r="K33" s="114"/>
      <c r="L33" s="109">
        <v>5</v>
      </c>
      <c r="P33" s="114" t="s">
        <v>195</v>
      </c>
      <c r="Q33" s="114"/>
      <c r="R33" s="109">
        <v>5</v>
      </c>
      <c r="T33" s="113"/>
      <c r="V33" s="114" t="s">
        <v>195</v>
      </c>
      <c r="W33" s="114"/>
      <c r="X33" s="109">
        <v>5</v>
      </c>
      <c r="AB33" s="114" t="s">
        <v>195</v>
      </c>
      <c r="AC33" s="114"/>
      <c r="AD33" s="109">
        <v>0</v>
      </c>
      <c r="AF33" s="112"/>
      <c r="AH33" s="114" t="s">
        <v>195</v>
      </c>
      <c r="AI33" s="114"/>
      <c r="AJ33" s="109">
        <v>5</v>
      </c>
      <c r="AN33" s="114" t="s">
        <v>195</v>
      </c>
      <c r="AO33" s="114"/>
      <c r="AP33" s="109">
        <v>5</v>
      </c>
      <c r="AR33" s="113"/>
      <c r="AT33" s="114" t="s">
        <v>195</v>
      </c>
      <c r="AU33" s="114"/>
      <c r="AV33" s="109">
        <v>5</v>
      </c>
      <c r="AZ33" s="114" t="s">
        <v>195</v>
      </c>
      <c r="BA33" s="114"/>
      <c r="BB33" s="109">
        <v>5</v>
      </c>
    </row>
    <row r="34" spans="10:54" x14ac:dyDescent="0.3">
      <c r="J34" s="114" t="s">
        <v>196</v>
      </c>
      <c r="K34" s="114"/>
      <c r="L34" s="109">
        <v>5</v>
      </c>
      <c r="P34" s="114" t="s">
        <v>196</v>
      </c>
      <c r="Q34" s="114"/>
      <c r="R34" s="109">
        <v>5</v>
      </c>
      <c r="T34" s="113"/>
      <c r="V34" s="114" t="s">
        <v>196</v>
      </c>
      <c r="W34" s="114"/>
      <c r="X34" s="109">
        <v>0</v>
      </c>
      <c r="AB34" s="114" t="s">
        <v>196</v>
      </c>
      <c r="AC34" s="114"/>
      <c r="AD34" s="109">
        <v>0</v>
      </c>
      <c r="AF34" s="112"/>
      <c r="AH34" s="114" t="s">
        <v>196</v>
      </c>
      <c r="AI34" s="114"/>
      <c r="AJ34" s="109">
        <v>5</v>
      </c>
      <c r="AN34" s="114" t="s">
        <v>196</v>
      </c>
      <c r="AO34" s="114"/>
      <c r="AP34" s="109">
        <v>5</v>
      </c>
      <c r="AR34" s="113"/>
      <c r="AT34" s="114" t="s">
        <v>196</v>
      </c>
      <c r="AU34" s="114"/>
      <c r="AV34" s="109">
        <v>0</v>
      </c>
      <c r="AZ34" s="114" t="s">
        <v>196</v>
      </c>
      <c r="BA34" s="114"/>
      <c r="BB34" s="109">
        <v>0</v>
      </c>
    </row>
    <row r="35" spans="10:54" x14ac:dyDescent="0.3">
      <c r="J35" s="114" t="s">
        <v>197</v>
      </c>
      <c r="K35" s="114"/>
      <c r="L35" s="109">
        <v>5</v>
      </c>
      <c r="P35" s="114" t="s">
        <v>197</v>
      </c>
      <c r="Q35" s="114"/>
      <c r="R35" s="109">
        <v>5</v>
      </c>
      <c r="T35" s="113"/>
      <c r="V35" s="114" t="s">
        <v>197</v>
      </c>
      <c r="W35" s="114"/>
      <c r="X35" s="109">
        <v>0</v>
      </c>
      <c r="AB35" s="114" t="s">
        <v>197</v>
      </c>
      <c r="AC35" s="114"/>
      <c r="AD35" s="109">
        <v>0</v>
      </c>
      <c r="AF35" s="112"/>
      <c r="AH35" s="114" t="s">
        <v>197</v>
      </c>
      <c r="AI35" s="114"/>
      <c r="AJ35" s="109">
        <v>5</v>
      </c>
      <c r="AN35" s="114" t="s">
        <v>197</v>
      </c>
      <c r="AO35" s="114"/>
      <c r="AP35" s="109">
        <v>5</v>
      </c>
      <c r="AR35" s="113"/>
      <c r="AT35" s="114" t="s">
        <v>197</v>
      </c>
      <c r="AU35" s="114"/>
      <c r="AV35" s="109">
        <v>0</v>
      </c>
      <c r="AZ35" s="114" t="s">
        <v>197</v>
      </c>
      <c r="BA35" s="114"/>
      <c r="BB35" s="109">
        <v>0</v>
      </c>
    </row>
    <row r="36" spans="10:54" x14ac:dyDescent="0.3">
      <c r="J36" s="114" t="s">
        <v>198</v>
      </c>
      <c r="K36" s="114"/>
      <c r="L36" s="109">
        <v>0</v>
      </c>
      <c r="P36" s="114" t="s">
        <v>198</v>
      </c>
      <c r="Q36" s="114"/>
      <c r="R36" s="109">
        <v>0</v>
      </c>
      <c r="T36" s="113"/>
      <c r="V36" s="114" t="s">
        <v>198</v>
      </c>
      <c r="W36" s="114"/>
      <c r="X36" s="109">
        <v>0</v>
      </c>
      <c r="AB36" s="114" t="s">
        <v>198</v>
      </c>
      <c r="AC36" s="114"/>
      <c r="AD36" s="109">
        <v>0</v>
      </c>
      <c r="AF36" s="112"/>
      <c r="AH36" s="114" t="s">
        <v>198</v>
      </c>
      <c r="AI36" s="114"/>
      <c r="AJ36" s="109">
        <v>0</v>
      </c>
      <c r="AN36" s="114" t="s">
        <v>198</v>
      </c>
      <c r="AO36" s="114"/>
      <c r="AP36" s="109">
        <v>0</v>
      </c>
      <c r="AR36" s="113"/>
      <c r="AT36" s="114" t="s">
        <v>198</v>
      </c>
      <c r="AU36" s="114"/>
      <c r="AV36" s="109">
        <v>0</v>
      </c>
      <c r="AZ36" s="114" t="s">
        <v>198</v>
      </c>
      <c r="BA36" s="114"/>
      <c r="BB36" s="109">
        <v>0</v>
      </c>
    </row>
    <row r="37" spans="10:54" x14ac:dyDescent="0.3">
      <c r="J37" s="114" t="s">
        <v>199</v>
      </c>
      <c r="K37" s="114"/>
      <c r="L37" s="109">
        <v>0</v>
      </c>
      <c r="P37" s="114" t="s">
        <v>199</v>
      </c>
      <c r="Q37" s="114"/>
      <c r="R37" s="109">
        <v>0</v>
      </c>
      <c r="T37" s="113"/>
      <c r="V37" s="114" t="s">
        <v>199</v>
      </c>
      <c r="W37" s="114"/>
      <c r="X37" s="109">
        <v>0</v>
      </c>
      <c r="AB37" s="114" t="s">
        <v>199</v>
      </c>
      <c r="AC37" s="114"/>
      <c r="AD37" s="109">
        <v>0</v>
      </c>
      <c r="AF37" s="112"/>
      <c r="AH37" s="114" t="s">
        <v>199</v>
      </c>
      <c r="AI37" s="114"/>
      <c r="AJ37" s="109">
        <v>0</v>
      </c>
      <c r="AN37" s="114" t="s">
        <v>199</v>
      </c>
      <c r="AO37" s="114"/>
      <c r="AP37" s="109">
        <v>0</v>
      </c>
      <c r="AR37" s="113"/>
      <c r="AT37" s="114" t="s">
        <v>199</v>
      </c>
      <c r="AU37" s="114"/>
      <c r="AV37" s="109">
        <v>0</v>
      </c>
      <c r="AZ37" s="114" t="s">
        <v>199</v>
      </c>
      <c r="BA37" s="114"/>
      <c r="BB37" s="109">
        <v>0</v>
      </c>
    </row>
    <row r="38" spans="10:54" x14ac:dyDescent="0.3">
      <c r="J38" s="114" t="s">
        <v>200</v>
      </c>
      <c r="K38" s="114"/>
      <c r="L38" s="109">
        <v>0</v>
      </c>
      <c r="P38" s="114" t="s">
        <v>200</v>
      </c>
      <c r="Q38" s="114"/>
      <c r="R38" s="109">
        <v>0</v>
      </c>
      <c r="T38" s="113"/>
      <c r="V38" s="114" t="s">
        <v>200</v>
      </c>
      <c r="W38" s="114"/>
      <c r="X38" s="109">
        <v>0</v>
      </c>
      <c r="AB38" s="114" t="s">
        <v>200</v>
      </c>
      <c r="AC38" s="114"/>
      <c r="AD38" s="109">
        <v>0</v>
      </c>
      <c r="AF38" s="112"/>
      <c r="AH38" s="114" t="s">
        <v>200</v>
      </c>
      <c r="AI38" s="114"/>
      <c r="AJ38" s="109">
        <v>0</v>
      </c>
      <c r="AN38" s="114" t="s">
        <v>200</v>
      </c>
      <c r="AO38" s="114"/>
      <c r="AP38" s="109">
        <v>0</v>
      </c>
      <c r="AR38" s="113"/>
      <c r="AT38" s="114" t="s">
        <v>200</v>
      </c>
      <c r="AU38" s="114"/>
      <c r="AV38" s="109">
        <v>0</v>
      </c>
      <c r="AZ38" s="114" t="s">
        <v>200</v>
      </c>
      <c r="BA38" s="114"/>
      <c r="BB38" s="109">
        <v>0</v>
      </c>
    </row>
    <row r="39" spans="10:54" x14ac:dyDescent="0.3">
      <c r="J39" s="114" t="s">
        <v>201</v>
      </c>
      <c r="K39" s="114"/>
      <c r="L39" s="109">
        <v>5</v>
      </c>
      <c r="P39" s="114" t="s">
        <v>201</v>
      </c>
      <c r="Q39" s="114"/>
      <c r="R39" s="109">
        <v>5</v>
      </c>
      <c r="T39" s="113"/>
      <c r="V39" s="114" t="s">
        <v>201</v>
      </c>
      <c r="W39" s="114"/>
      <c r="X39" s="109">
        <v>5</v>
      </c>
      <c r="AB39" s="114" t="s">
        <v>201</v>
      </c>
      <c r="AC39" s="114"/>
      <c r="AD39" s="109">
        <v>5</v>
      </c>
      <c r="AF39" s="112"/>
      <c r="AH39" s="114" t="s">
        <v>201</v>
      </c>
      <c r="AI39" s="114"/>
      <c r="AJ39" s="109">
        <v>5</v>
      </c>
      <c r="AN39" s="114" t="s">
        <v>201</v>
      </c>
      <c r="AO39" s="114"/>
      <c r="AP39" s="109">
        <v>5</v>
      </c>
      <c r="AR39" s="113"/>
      <c r="AT39" s="114" t="s">
        <v>201</v>
      </c>
      <c r="AU39" s="114"/>
      <c r="AV39" s="109">
        <v>5</v>
      </c>
      <c r="AZ39" s="114" t="s">
        <v>201</v>
      </c>
      <c r="BA39" s="114"/>
      <c r="BB39" s="109">
        <v>5</v>
      </c>
    </row>
    <row r="40" spans="10:54" x14ac:dyDescent="0.3">
      <c r="J40" s="121" t="s">
        <v>153</v>
      </c>
      <c r="K40" s="121"/>
      <c r="L40" s="110">
        <f>SUM(L25:L39)</f>
        <v>67</v>
      </c>
      <c r="P40" s="121" t="s">
        <v>153</v>
      </c>
      <c r="Q40" s="121"/>
      <c r="R40" s="110">
        <f>SUM(R25:R39)</f>
        <v>67</v>
      </c>
      <c r="T40" s="113"/>
      <c r="V40" s="121" t="s">
        <v>153</v>
      </c>
      <c r="W40" s="121"/>
      <c r="X40" s="110">
        <f>SUM(X25:X39)</f>
        <v>37</v>
      </c>
      <c r="AB40" s="121" t="s">
        <v>153</v>
      </c>
      <c r="AC40" s="121"/>
      <c r="AD40" s="110">
        <f>SUM(AD25:AD39)</f>
        <v>22</v>
      </c>
      <c r="AF40" s="112"/>
      <c r="AH40" s="121" t="s">
        <v>153</v>
      </c>
      <c r="AI40" s="121"/>
      <c r="AJ40" s="110">
        <f>SUM(AJ25:AJ39)</f>
        <v>67</v>
      </c>
      <c r="AN40" s="121" t="s">
        <v>153</v>
      </c>
      <c r="AO40" s="121"/>
      <c r="AP40" s="110">
        <f>SUM(AP25:AP39)</f>
        <v>67</v>
      </c>
      <c r="AR40" s="113"/>
      <c r="AT40" s="121" t="s">
        <v>153</v>
      </c>
      <c r="AU40" s="121"/>
      <c r="AV40" s="110">
        <f>SUM(AV25:AV39)</f>
        <v>47</v>
      </c>
      <c r="AZ40" s="121" t="s">
        <v>153</v>
      </c>
      <c r="BA40" s="121"/>
      <c r="BB40" s="110">
        <f>SUM(BB25:BB39)</f>
        <v>47</v>
      </c>
    </row>
    <row r="41" spans="10:54" x14ac:dyDescent="0.3">
      <c r="J41" s="120" t="s">
        <v>202</v>
      </c>
      <c r="K41" s="120"/>
      <c r="L41" s="120"/>
      <c r="P41" s="120" t="s">
        <v>202</v>
      </c>
      <c r="Q41" s="120"/>
      <c r="R41" s="120"/>
      <c r="T41" s="113"/>
      <c r="V41" s="120" t="s">
        <v>202</v>
      </c>
      <c r="W41" s="120"/>
      <c r="X41" s="120"/>
      <c r="AB41" s="120" t="s">
        <v>202</v>
      </c>
      <c r="AC41" s="120"/>
      <c r="AD41" s="120"/>
      <c r="AF41" s="112"/>
      <c r="AH41" s="120" t="s">
        <v>202</v>
      </c>
      <c r="AI41" s="120"/>
      <c r="AJ41" s="120"/>
      <c r="AN41" s="120" t="s">
        <v>202</v>
      </c>
      <c r="AO41" s="120"/>
      <c r="AP41" s="120"/>
      <c r="AR41" s="113"/>
      <c r="AT41" s="120" t="s">
        <v>202</v>
      </c>
      <c r="AU41" s="120"/>
      <c r="AV41" s="120"/>
      <c r="AZ41" s="120" t="s">
        <v>202</v>
      </c>
      <c r="BA41" s="120"/>
      <c r="BB41" s="120"/>
    </row>
    <row r="42" spans="10:54" x14ac:dyDescent="0.3">
      <c r="J42" s="114" t="s">
        <v>187</v>
      </c>
      <c r="K42" s="114"/>
      <c r="L42" s="109">
        <f>L25</f>
        <v>12</v>
      </c>
      <c r="P42" s="114" t="s">
        <v>187</v>
      </c>
      <c r="Q42" s="114"/>
      <c r="R42" s="109">
        <f>R25</f>
        <v>12</v>
      </c>
      <c r="T42" s="113"/>
      <c r="V42" s="114" t="s">
        <v>187</v>
      </c>
      <c r="W42" s="114"/>
      <c r="X42" s="109">
        <f>X25</f>
        <v>12</v>
      </c>
      <c r="AB42" s="114" t="s">
        <v>187</v>
      </c>
      <c r="AC42" s="114"/>
      <c r="AD42" s="109">
        <f>AD25</f>
        <v>12</v>
      </c>
      <c r="AF42" s="112"/>
      <c r="AH42" s="114" t="s">
        <v>187</v>
      </c>
      <c r="AI42" s="114"/>
      <c r="AJ42" s="109">
        <f>AJ25</f>
        <v>12</v>
      </c>
      <c r="AN42" s="114" t="s">
        <v>187</v>
      </c>
      <c r="AO42" s="114"/>
      <c r="AP42" s="109">
        <f>AP25</f>
        <v>12</v>
      </c>
      <c r="AR42" s="113"/>
      <c r="AT42" s="114" t="s">
        <v>187</v>
      </c>
      <c r="AU42" s="114"/>
      <c r="AV42" s="109">
        <f>AV25</f>
        <v>12</v>
      </c>
      <c r="AZ42" s="114" t="s">
        <v>187</v>
      </c>
      <c r="BA42" s="114"/>
      <c r="BB42" s="109">
        <f>BB25</f>
        <v>12</v>
      </c>
    </row>
    <row r="43" spans="10:54" x14ac:dyDescent="0.3">
      <c r="J43" s="114" t="s">
        <v>203</v>
      </c>
      <c r="K43" s="114"/>
      <c r="L43" s="109">
        <f>L26</f>
        <v>5</v>
      </c>
      <c r="P43" s="114" t="s">
        <v>203</v>
      </c>
      <c r="Q43" s="114"/>
      <c r="R43" s="109">
        <f>R26</f>
        <v>5</v>
      </c>
      <c r="T43" s="113"/>
      <c r="V43" s="114" t="s">
        <v>203</v>
      </c>
      <c r="W43" s="114"/>
      <c r="X43" s="109">
        <f>X26</f>
        <v>5</v>
      </c>
      <c r="AB43" s="114" t="s">
        <v>203</v>
      </c>
      <c r="AC43" s="114"/>
      <c r="AD43" s="109">
        <f>AD26</f>
        <v>5</v>
      </c>
      <c r="AF43" s="112"/>
      <c r="AH43" s="114" t="s">
        <v>203</v>
      </c>
      <c r="AI43" s="114"/>
      <c r="AJ43" s="109">
        <f>AJ26</f>
        <v>5</v>
      </c>
      <c r="AN43" s="114" t="s">
        <v>203</v>
      </c>
      <c r="AO43" s="114"/>
      <c r="AP43" s="109">
        <f>AP26</f>
        <v>5</v>
      </c>
      <c r="AR43" s="113"/>
      <c r="AT43" s="114" t="s">
        <v>203</v>
      </c>
      <c r="AU43" s="114"/>
      <c r="AV43" s="109">
        <f>AV26</f>
        <v>5</v>
      </c>
      <c r="AZ43" s="114" t="s">
        <v>203</v>
      </c>
      <c r="BA43" s="114"/>
      <c r="BB43" s="109">
        <f>BB26</f>
        <v>5</v>
      </c>
    </row>
    <row r="44" spans="10:54" x14ac:dyDescent="0.3">
      <c r="J44" s="114" t="s">
        <v>204</v>
      </c>
      <c r="K44" s="114"/>
      <c r="L44" s="109">
        <v>2</v>
      </c>
      <c r="P44" s="114" t="s">
        <v>204</v>
      </c>
      <c r="Q44" s="114"/>
      <c r="R44" s="109">
        <v>2</v>
      </c>
      <c r="T44" s="113"/>
      <c r="V44" s="114" t="s">
        <v>204</v>
      </c>
      <c r="W44" s="114"/>
      <c r="X44" s="109">
        <v>2</v>
      </c>
      <c r="AB44" s="114" t="s">
        <v>204</v>
      </c>
      <c r="AC44" s="114"/>
      <c r="AD44" s="109">
        <v>2</v>
      </c>
      <c r="AF44" s="112"/>
      <c r="AH44" s="114" t="s">
        <v>204</v>
      </c>
      <c r="AI44" s="114"/>
      <c r="AJ44" s="109">
        <v>2</v>
      </c>
      <c r="AN44" s="114" t="s">
        <v>204</v>
      </c>
      <c r="AO44" s="114"/>
      <c r="AP44" s="109">
        <v>2</v>
      </c>
      <c r="AR44" s="113"/>
      <c r="AT44" s="114" t="s">
        <v>204</v>
      </c>
      <c r="AU44" s="114"/>
      <c r="AV44" s="109">
        <v>2</v>
      </c>
      <c r="AZ44" s="114" t="s">
        <v>204</v>
      </c>
      <c r="BA44" s="114"/>
      <c r="BB44" s="109">
        <v>2</v>
      </c>
    </row>
    <row r="45" spans="10:54" x14ac:dyDescent="0.3">
      <c r="J45" s="114" t="s">
        <v>201</v>
      </c>
      <c r="K45" s="114"/>
      <c r="L45" s="109">
        <v>4</v>
      </c>
      <c r="P45" s="114" t="s">
        <v>201</v>
      </c>
      <c r="Q45" s="114"/>
      <c r="R45" s="109">
        <v>4</v>
      </c>
      <c r="T45" s="113"/>
      <c r="V45" s="114" t="s">
        <v>201</v>
      </c>
      <c r="W45" s="114"/>
      <c r="X45" s="109">
        <v>4</v>
      </c>
      <c r="AB45" s="114" t="s">
        <v>201</v>
      </c>
      <c r="AC45" s="114"/>
      <c r="AD45" s="109">
        <v>4</v>
      </c>
      <c r="AF45" s="112"/>
      <c r="AH45" s="114" t="s">
        <v>201</v>
      </c>
      <c r="AI45" s="114"/>
      <c r="AJ45" s="109">
        <v>4</v>
      </c>
      <c r="AN45" s="114" t="s">
        <v>201</v>
      </c>
      <c r="AO45" s="114"/>
      <c r="AP45" s="109">
        <v>4</v>
      </c>
      <c r="AR45" s="113"/>
      <c r="AT45" s="114" t="s">
        <v>201</v>
      </c>
      <c r="AU45" s="114"/>
      <c r="AV45" s="109">
        <v>4</v>
      </c>
      <c r="AZ45" s="114" t="s">
        <v>201</v>
      </c>
      <c r="BA45" s="114"/>
      <c r="BB45" s="109">
        <v>4</v>
      </c>
    </row>
    <row r="46" spans="10:54" x14ac:dyDescent="0.3">
      <c r="J46" s="121" t="s">
        <v>153</v>
      </c>
      <c r="K46" s="121"/>
      <c r="L46" s="110">
        <f>SUM(L42:L45)</f>
        <v>23</v>
      </c>
      <c r="P46" s="121" t="s">
        <v>153</v>
      </c>
      <c r="Q46" s="121"/>
      <c r="R46" s="110">
        <f>SUM(R42:R45)</f>
        <v>23</v>
      </c>
      <c r="T46" s="113"/>
      <c r="V46" s="121" t="s">
        <v>153</v>
      </c>
      <c r="W46" s="121"/>
      <c r="X46" s="110">
        <f>SUM(X42:X45)</f>
        <v>23</v>
      </c>
      <c r="AB46" s="121" t="s">
        <v>153</v>
      </c>
      <c r="AC46" s="121"/>
      <c r="AD46" s="110">
        <f>SUM(AD42:AD45)</f>
        <v>23</v>
      </c>
      <c r="AF46" s="112"/>
      <c r="AH46" s="121" t="s">
        <v>153</v>
      </c>
      <c r="AI46" s="121"/>
      <c r="AJ46" s="110">
        <f>SUM(AJ42:AJ45)</f>
        <v>23</v>
      </c>
      <c r="AN46" s="121" t="s">
        <v>153</v>
      </c>
      <c r="AO46" s="121"/>
      <c r="AP46" s="110">
        <f>SUM(AP42:AP45)</f>
        <v>23</v>
      </c>
      <c r="AR46" s="113"/>
      <c r="AT46" s="121" t="s">
        <v>153</v>
      </c>
      <c r="AU46" s="121"/>
      <c r="AV46" s="110">
        <f>SUM(AV42:AV45)</f>
        <v>23</v>
      </c>
      <c r="AZ46" s="121" t="s">
        <v>153</v>
      </c>
      <c r="BA46" s="121"/>
      <c r="BB46" s="110">
        <f>SUM(BB42:BB45)</f>
        <v>23</v>
      </c>
    </row>
    <row r="47" spans="10:54" x14ac:dyDescent="0.3">
      <c r="J47" s="120" t="s">
        <v>205</v>
      </c>
      <c r="K47" s="120"/>
      <c r="L47" s="120"/>
      <c r="P47" s="120" t="s">
        <v>205</v>
      </c>
      <c r="Q47" s="120"/>
      <c r="R47" s="120"/>
      <c r="T47" s="113"/>
      <c r="V47" s="120" t="s">
        <v>205</v>
      </c>
      <c r="W47" s="120"/>
      <c r="X47" s="120"/>
      <c r="AB47" s="120" t="s">
        <v>205</v>
      </c>
      <c r="AC47" s="120"/>
      <c r="AD47" s="120"/>
      <c r="AF47" s="112"/>
      <c r="AH47" s="120" t="s">
        <v>205</v>
      </c>
      <c r="AI47" s="120"/>
      <c r="AJ47" s="120"/>
      <c r="AN47" s="120" t="s">
        <v>205</v>
      </c>
      <c r="AO47" s="120"/>
      <c r="AP47" s="120"/>
      <c r="AR47" s="113"/>
      <c r="AT47" s="120" t="s">
        <v>205</v>
      </c>
      <c r="AU47" s="120"/>
      <c r="AV47" s="120"/>
      <c r="AZ47" s="120" t="s">
        <v>205</v>
      </c>
      <c r="BA47" s="120"/>
      <c r="BB47" s="120"/>
    </row>
    <row r="48" spans="10:54" x14ac:dyDescent="0.3">
      <c r="J48" s="114" t="s">
        <v>187</v>
      </c>
      <c r="K48" s="114"/>
      <c r="L48" s="109">
        <v>12</v>
      </c>
      <c r="P48" s="114" t="s">
        <v>187</v>
      </c>
      <c r="Q48" s="114"/>
      <c r="R48" s="109">
        <v>12</v>
      </c>
      <c r="T48" s="113"/>
      <c r="V48" s="114" t="s">
        <v>187</v>
      </c>
      <c r="W48" s="114"/>
      <c r="X48" s="109">
        <v>12</v>
      </c>
      <c r="AB48" s="114" t="s">
        <v>187</v>
      </c>
      <c r="AC48" s="114"/>
      <c r="AD48" s="109">
        <v>12</v>
      </c>
      <c r="AF48" s="112"/>
      <c r="AH48" s="114" t="s">
        <v>187</v>
      </c>
      <c r="AI48" s="114"/>
      <c r="AJ48" s="109">
        <v>12</v>
      </c>
      <c r="AN48" s="114" t="s">
        <v>187</v>
      </c>
      <c r="AO48" s="114"/>
      <c r="AP48" s="109">
        <v>12</v>
      </c>
      <c r="AR48" s="113"/>
      <c r="AT48" s="114" t="s">
        <v>187</v>
      </c>
      <c r="AU48" s="114"/>
      <c r="AV48" s="109">
        <v>12</v>
      </c>
      <c r="AZ48" s="114" t="s">
        <v>187</v>
      </c>
      <c r="BA48" s="114"/>
      <c r="BB48" s="109">
        <v>12</v>
      </c>
    </row>
    <row r="49" spans="10:54" x14ac:dyDescent="0.3">
      <c r="J49" s="114" t="s">
        <v>203</v>
      </c>
      <c r="K49" s="114"/>
      <c r="L49" s="109">
        <f>L32</f>
        <v>5</v>
      </c>
      <c r="P49" s="114" t="s">
        <v>203</v>
      </c>
      <c r="Q49" s="114"/>
      <c r="R49" s="109">
        <f>R32</f>
        <v>5</v>
      </c>
      <c r="T49" s="113"/>
      <c r="V49" s="114" t="s">
        <v>203</v>
      </c>
      <c r="W49" s="114"/>
      <c r="X49" s="109">
        <f>X32</f>
        <v>0</v>
      </c>
      <c r="AB49" s="114" t="s">
        <v>203</v>
      </c>
      <c r="AC49" s="114"/>
      <c r="AD49" s="109">
        <f>AD32</f>
        <v>0</v>
      </c>
      <c r="AF49" s="112"/>
      <c r="AH49" s="114" t="s">
        <v>203</v>
      </c>
      <c r="AI49" s="114"/>
      <c r="AJ49" s="109">
        <f>AJ32</f>
        <v>5</v>
      </c>
      <c r="AN49" s="114" t="s">
        <v>203</v>
      </c>
      <c r="AO49" s="114"/>
      <c r="AP49" s="109">
        <f>AP32</f>
        <v>5</v>
      </c>
      <c r="AR49" s="113"/>
      <c r="AT49" s="114" t="s">
        <v>203</v>
      </c>
      <c r="AU49" s="114"/>
      <c r="AV49" s="109">
        <f>AV32</f>
        <v>0</v>
      </c>
      <c r="AZ49" s="114" t="s">
        <v>203</v>
      </c>
      <c r="BA49" s="114"/>
      <c r="BB49" s="109">
        <f>BB32</f>
        <v>0</v>
      </c>
    </row>
    <row r="50" spans="10:54" x14ac:dyDescent="0.3">
      <c r="J50" s="114" t="s">
        <v>204</v>
      </c>
      <c r="K50" s="114"/>
      <c r="L50" s="109">
        <v>2</v>
      </c>
      <c r="P50" s="114" t="s">
        <v>204</v>
      </c>
      <c r="Q50" s="114"/>
      <c r="R50" s="109">
        <v>2</v>
      </c>
      <c r="T50" s="113"/>
      <c r="V50" s="114" t="s">
        <v>204</v>
      </c>
      <c r="W50" s="114"/>
      <c r="X50" s="109">
        <v>2</v>
      </c>
      <c r="AB50" s="114" t="s">
        <v>204</v>
      </c>
      <c r="AC50" s="114"/>
      <c r="AD50" s="109">
        <v>2</v>
      </c>
      <c r="AF50" s="112"/>
      <c r="AH50" s="114" t="s">
        <v>204</v>
      </c>
      <c r="AI50" s="114"/>
      <c r="AJ50" s="109">
        <v>2</v>
      </c>
      <c r="AN50" s="114" t="s">
        <v>204</v>
      </c>
      <c r="AO50" s="114"/>
      <c r="AP50" s="109">
        <v>2</v>
      </c>
      <c r="AR50" s="113"/>
      <c r="AT50" s="114" t="s">
        <v>204</v>
      </c>
      <c r="AU50" s="114"/>
      <c r="AV50" s="109">
        <v>2</v>
      </c>
      <c r="AZ50" s="114" t="s">
        <v>204</v>
      </c>
      <c r="BA50" s="114"/>
      <c r="BB50" s="109">
        <v>2</v>
      </c>
    </row>
    <row r="51" spans="10:54" x14ac:dyDescent="0.3">
      <c r="J51" s="114" t="s">
        <v>201</v>
      </c>
      <c r="K51" s="114"/>
      <c r="L51" s="109">
        <v>4</v>
      </c>
      <c r="P51" s="114" t="s">
        <v>201</v>
      </c>
      <c r="Q51" s="114"/>
      <c r="R51" s="109">
        <v>4</v>
      </c>
      <c r="T51" s="113"/>
      <c r="V51" s="114" t="s">
        <v>201</v>
      </c>
      <c r="W51" s="114"/>
      <c r="X51" s="109">
        <v>4</v>
      </c>
      <c r="AB51" s="114" t="s">
        <v>201</v>
      </c>
      <c r="AC51" s="114"/>
      <c r="AD51" s="109">
        <v>4</v>
      </c>
      <c r="AF51" s="112"/>
      <c r="AH51" s="114" t="s">
        <v>201</v>
      </c>
      <c r="AI51" s="114"/>
      <c r="AJ51" s="109">
        <v>4</v>
      </c>
      <c r="AN51" s="114" t="s">
        <v>201</v>
      </c>
      <c r="AO51" s="114"/>
      <c r="AP51" s="109">
        <v>4</v>
      </c>
      <c r="AR51" s="113"/>
      <c r="AT51" s="114" t="s">
        <v>201</v>
      </c>
      <c r="AU51" s="114"/>
      <c r="AV51" s="109">
        <v>4</v>
      </c>
      <c r="AZ51" s="114" t="s">
        <v>201</v>
      </c>
      <c r="BA51" s="114"/>
      <c r="BB51" s="109">
        <v>4</v>
      </c>
    </row>
    <row r="52" spans="10:54" x14ac:dyDescent="0.3">
      <c r="J52" s="118" t="s">
        <v>153</v>
      </c>
      <c r="K52" s="118"/>
      <c r="L52" s="111">
        <f>SUM(L48:L51)</f>
        <v>23</v>
      </c>
      <c r="P52" s="118" t="s">
        <v>153</v>
      </c>
      <c r="Q52" s="118"/>
      <c r="R52" s="111">
        <f>SUM(R48:R51)</f>
        <v>23</v>
      </c>
      <c r="T52" s="113"/>
      <c r="V52" s="118" t="s">
        <v>153</v>
      </c>
      <c r="W52" s="118"/>
      <c r="X52" s="111">
        <f>SUM(X48:X51)</f>
        <v>18</v>
      </c>
      <c r="AB52" s="118" t="s">
        <v>153</v>
      </c>
      <c r="AC52" s="118"/>
      <c r="AD52" s="111">
        <f>SUM(AD48:AD51)</f>
        <v>18</v>
      </c>
      <c r="AF52" s="112"/>
      <c r="AH52" s="118" t="s">
        <v>153</v>
      </c>
      <c r="AI52" s="118"/>
      <c r="AJ52" s="111">
        <f>SUM(AJ48:AJ51)</f>
        <v>23</v>
      </c>
      <c r="AN52" s="118" t="s">
        <v>153</v>
      </c>
      <c r="AO52" s="118"/>
      <c r="AP52" s="111">
        <f>SUM(AP48:AP51)</f>
        <v>23</v>
      </c>
      <c r="AR52" s="113"/>
      <c r="AT52" s="118" t="s">
        <v>153</v>
      </c>
      <c r="AU52" s="118"/>
      <c r="AV52" s="111">
        <f>SUM(AV48:AV51)</f>
        <v>18</v>
      </c>
      <c r="AZ52" s="118" t="s">
        <v>153</v>
      </c>
      <c r="BA52" s="118"/>
      <c r="BB52" s="111">
        <f>SUM(BB48:BB51)</f>
        <v>18</v>
      </c>
    </row>
  </sheetData>
  <mergeCells count="364">
    <mergeCell ref="AT50:AU50"/>
    <mergeCell ref="AZ50:BA50"/>
    <mergeCell ref="AT51:AU51"/>
    <mergeCell ref="AZ51:BA51"/>
    <mergeCell ref="AT52:AU52"/>
    <mergeCell ref="AZ52:BA52"/>
    <mergeCell ref="AT47:AV47"/>
    <mergeCell ref="AZ47:BB47"/>
    <mergeCell ref="AT48:AU48"/>
    <mergeCell ref="AZ48:BA48"/>
    <mergeCell ref="AT49:AU49"/>
    <mergeCell ref="AZ49:BA49"/>
    <mergeCell ref="AT44:AU44"/>
    <mergeCell ref="AZ44:BA44"/>
    <mergeCell ref="AT45:AU45"/>
    <mergeCell ref="AZ45:BA45"/>
    <mergeCell ref="AT46:AU46"/>
    <mergeCell ref="AZ46:BA46"/>
    <mergeCell ref="AT41:AV41"/>
    <mergeCell ref="AZ41:BB41"/>
    <mergeCell ref="AT42:AU42"/>
    <mergeCell ref="AZ42:BA42"/>
    <mergeCell ref="AT43:AU43"/>
    <mergeCell ref="AZ43:BA43"/>
    <mergeCell ref="AT38:AU38"/>
    <mergeCell ref="AZ38:BA38"/>
    <mergeCell ref="AT39:AU39"/>
    <mergeCell ref="AZ39:BA39"/>
    <mergeCell ref="AT40:AU40"/>
    <mergeCell ref="AZ40:BA40"/>
    <mergeCell ref="AT35:AU35"/>
    <mergeCell ref="AZ35:BA35"/>
    <mergeCell ref="AT36:AU36"/>
    <mergeCell ref="AZ36:BA36"/>
    <mergeCell ref="AT37:AU37"/>
    <mergeCell ref="AZ37:BA37"/>
    <mergeCell ref="AT32:AU32"/>
    <mergeCell ref="AZ32:BA32"/>
    <mergeCell ref="AT33:AU33"/>
    <mergeCell ref="AZ33:BA33"/>
    <mergeCell ref="AT34:AU34"/>
    <mergeCell ref="AZ34:BA34"/>
    <mergeCell ref="AT29:AU29"/>
    <mergeCell ref="AZ29:BA29"/>
    <mergeCell ref="AT30:AU30"/>
    <mergeCell ref="AZ30:BA30"/>
    <mergeCell ref="AT31:AU31"/>
    <mergeCell ref="AZ31:BA31"/>
    <mergeCell ref="AT26:AU26"/>
    <mergeCell ref="AZ26:BA26"/>
    <mergeCell ref="AT27:AU27"/>
    <mergeCell ref="AZ27:BA27"/>
    <mergeCell ref="AT28:AU28"/>
    <mergeCell ref="AZ28:BA28"/>
    <mergeCell ref="AS21:AU21"/>
    <mergeCell ref="AY21:BA21"/>
    <mergeCell ref="AT24:AV24"/>
    <mergeCell ref="AZ24:BB24"/>
    <mergeCell ref="AT25:AU25"/>
    <mergeCell ref="AZ25:BA25"/>
    <mergeCell ref="AS18:AU18"/>
    <mergeCell ref="AY18:BA18"/>
    <mergeCell ref="AS19:AU19"/>
    <mergeCell ref="AY19:BA19"/>
    <mergeCell ref="AS20:AU20"/>
    <mergeCell ref="AY20:BA20"/>
    <mergeCell ref="AS15:AU15"/>
    <mergeCell ref="AY15:BA15"/>
    <mergeCell ref="AS16:AU16"/>
    <mergeCell ref="AY16:BA16"/>
    <mergeCell ref="AS17:AU17"/>
    <mergeCell ref="AY17:BA17"/>
    <mergeCell ref="AS12:AU12"/>
    <mergeCell ref="AY12:BA12"/>
    <mergeCell ref="AS13:AU13"/>
    <mergeCell ref="AY13:BA13"/>
    <mergeCell ref="AS14:AV14"/>
    <mergeCell ref="AY14:BB14"/>
    <mergeCell ref="AS9:AU9"/>
    <mergeCell ref="AY9:BA9"/>
    <mergeCell ref="AS10:AU10"/>
    <mergeCell ref="AY10:BA10"/>
    <mergeCell ref="AS11:AU11"/>
    <mergeCell ref="AY11:BA11"/>
    <mergeCell ref="AS5:AV6"/>
    <mergeCell ref="AY5:BB6"/>
    <mergeCell ref="AS7:AV7"/>
    <mergeCell ref="AY7:BB7"/>
    <mergeCell ref="AS8:AU8"/>
    <mergeCell ref="AY8:BA8"/>
    <mergeCell ref="AH50:AI50"/>
    <mergeCell ref="AN50:AO50"/>
    <mergeCell ref="AH51:AI51"/>
    <mergeCell ref="AN51:AO51"/>
    <mergeCell ref="AN41:AP41"/>
    <mergeCell ref="AH42:AI42"/>
    <mergeCell ref="AN42:AO42"/>
    <mergeCell ref="AH43:AI43"/>
    <mergeCell ref="AN43:AO43"/>
    <mergeCell ref="AH41:AJ41"/>
    <mergeCell ref="AN38:AO38"/>
    <mergeCell ref="AH39:AI39"/>
    <mergeCell ref="AN39:AO39"/>
    <mergeCell ref="AH40:AI40"/>
    <mergeCell ref="AN40:AO40"/>
    <mergeCell ref="AH38:AI38"/>
    <mergeCell ref="AN35:AO35"/>
    <mergeCell ref="AH36:AI36"/>
    <mergeCell ref="AH52:AI52"/>
    <mergeCell ref="AN52:AO52"/>
    <mergeCell ref="AH47:AJ47"/>
    <mergeCell ref="AN47:AP47"/>
    <mergeCell ref="AH48:AI48"/>
    <mergeCell ref="AN48:AO48"/>
    <mergeCell ref="AH49:AI49"/>
    <mergeCell ref="AN49:AO49"/>
    <mergeCell ref="AH44:AI44"/>
    <mergeCell ref="AN44:AO44"/>
    <mergeCell ref="AH45:AI45"/>
    <mergeCell ref="AN45:AO45"/>
    <mergeCell ref="AH46:AI46"/>
    <mergeCell ref="AN46:AO46"/>
    <mergeCell ref="AN36:AO36"/>
    <mergeCell ref="AH37:AI37"/>
    <mergeCell ref="AN37:AO37"/>
    <mergeCell ref="AH35:AI35"/>
    <mergeCell ref="AN32:AO32"/>
    <mergeCell ref="AH33:AI33"/>
    <mergeCell ref="AN33:AO33"/>
    <mergeCell ref="AH34:AI34"/>
    <mergeCell ref="AN34:AO34"/>
    <mergeCell ref="AH32:AI32"/>
    <mergeCell ref="AN29:AO29"/>
    <mergeCell ref="AH30:AI30"/>
    <mergeCell ref="AN30:AO30"/>
    <mergeCell ref="AH31:AI31"/>
    <mergeCell ref="AN31:AO31"/>
    <mergeCell ref="AH29:AI29"/>
    <mergeCell ref="AN26:AO26"/>
    <mergeCell ref="AH27:AI27"/>
    <mergeCell ref="AN27:AO27"/>
    <mergeCell ref="AH28:AI28"/>
    <mergeCell ref="AN28:AO28"/>
    <mergeCell ref="AH26:AI26"/>
    <mergeCell ref="AM21:AO21"/>
    <mergeCell ref="AH24:AJ24"/>
    <mergeCell ref="AN24:AP24"/>
    <mergeCell ref="AH25:AI25"/>
    <mergeCell ref="AN25:AO25"/>
    <mergeCell ref="AG21:AI21"/>
    <mergeCell ref="AM18:AO18"/>
    <mergeCell ref="AG19:AI19"/>
    <mergeCell ref="AM19:AO19"/>
    <mergeCell ref="AG20:AI20"/>
    <mergeCell ref="AM20:AO20"/>
    <mergeCell ref="AG18:AI18"/>
    <mergeCell ref="AM15:AO15"/>
    <mergeCell ref="AG16:AI16"/>
    <mergeCell ref="AM16:AO16"/>
    <mergeCell ref="AG17:AI17"/>
    <mergeCell ref="AM17:AO17"/>
    <mergeCell ref="AG15:AI15"/>
    <mergeCell ref="AM12:AO12"/>
    <mergeCell ref="AG13:AI13"/>
    <mergeCell ref="AM13:AO13"/>
    <mergeCell ref="AG14:AJ14"/>
    <mergeCell ref="AM14:AP14"/>
    <mergeCell ref="AG12:AI12"/>
    <mergeCell ref="AM9:AO9"/>
    <mergeCell ref="AG10:AI10"/>
    <mergeCell ref="AM10:AO10"/>
    <mergeCell ref="AG11:AI11"/>
    <mergeCell ref="AM11:AO11"/>
    <mergeCell ref="AG9:AI9"/>
    <mergeCell ref="AM5:AP6"/>
    <mergeCell ref="AG7:AJ7"/>
    <mergeCell ref="AM7:AP7"/>
    <mergeCell ref="AG8:AI8"/>
    <mergeCell ref="AM8:AO8"/>
    <mergeCell ref="AG5:AJ6"/>
    <mergeCell ref="V51:W51"/>
    <mergeCell ref="AB51:AC51"/>
    <mergeCell ref="V52:W52"/>
    <mergeCell ref="AB52:AC52"/>
    <mergeCell ref="V48:W48"/>
    <mergeCell ref="AB48:AC48"/>
    <mergeCell ref="V49:W49"/>
    <mergeCell ref="AB49:AC49"/>
    <mergeCell ref="V50:W50"/>
    <mergeCell ref="AB50:AC50"/>
    <mergeCell ref="V45:W45"/>
    <mergeCell ref="AB45:AC45"/>
    <mergeCell ref="V46:W46"/>
    <mergeCell ref="AB46:AC46"/>
    <mergeCell ref="V47:X47"/>
    <mergeCell ref="AB47:AD47"/>
    <mergeCell ref="V42:W42"/>
    <mergeCell ref="AB42:AC42"/>
    <mergeCell ref="V43:W43"/>
    <mergeCell ref="AB43:AC43"/>
    <mergeCell ref="V44:W44"/>
    <mergeCell ref="AB44:AC44"/>
    <mergeCell ref="V39:W39"/>
    <mergeCell ref="AB39:AC39"/>
    <mergeCell ref="V40:W40"/>
    <mergeCell ref="AB40:AC40"/>
    <mergeCell ref="V41:X41"/>
    <mergeCell ref="AB41:AD41"/>
    <mergeCell ref="V36:W36"/>
    <mergeCell ref="AB36:AC36"/>
    <mergeCell ref="V37:W37"/>
    <mergeCell ref="AB37:AC37"/>
    <mergeCell ref="V38:W38"/>
    <mergeCell ref="AB38:AC38"/>
    <mergeCell ref="V33:W33"/>
    <mergeCell ref="AB33:AC33"/>
    <mergeCell ref="V34:W34"/>
    <mergeCell ref="AB34:AC34"/>
    <mergeCell ref="V35:W35"/>
    <mergeCell ref="AB35:AC35"/>
    <mergeCell ref="V30:W30"/>
    <mergeCell ref="AB30:AC30"/>
    <mergeCell ref="V31:W31"/>
    <mergeCell ref="AB31:AC31"/>
    <mergeCell ref="V32:W32"/>
    <mergeCell ref="AB32:AC32"/>
    <mergeCell ref="V27:W27"/>
    <mergeCell ref="AB27:AC27"/>
    <mergeCell ref="V28:W28"/>
    <mergeCell ref="AB28:AC28"/>
    <mergeCell ref="V29:W29"/>
    <mergeCell ref="AB29:AC29"/>
    <mergeCell ref="V24:X24"/>
    <mergeCell ref="AB24:AD24"/>
    <mergeCell ref="V25:W25"/>
    <mergeCell ref="AB25:AC25"/>
    <mergeCell ref="V26:W26"/>
    <mergeCell ref="AB26:AC26"/>
    <mergeCell ref="U19:W19"/>
    <mergeCell ref="AA19:AC19"/>
    <mergeCell ref="U20:W20"/>
    <mergeCell ref="AA20:AC20"/>
    <mergeCell ref="U21:W21"/>
    <mergeCell ref="AA21:AC21"/>
    <mergeCell ref="U16:W16"/>
    <mergeCell ref="AA16:AC16"/>
    <mergeCell ref="U17:W17"/>
    <mergeCell ref="AA17:AC17"/>
    <mergeCell ref="U18:W18"/>
    <mergeCell ref="AA18:AC18"/>
    <mergeCell ref="U13:W13"/>
    <mergeCell ref="AA13:AC13"/>
    <mergeCell ref="U14:X14"/>
    <mergeCell ref="AA14:AD14"/>
    <mergeCell ref="U15:W15"/>
    <mergeCell ref="AA15:AC15"/>
    <mergeCell ref="P51:Q51"/>
    <mergeCell ref="P52:Q52"/>
    <mergeCell ref="U5:X6"/>
    <mergeCell ref="AA5:AD6"/>
    <mergeCell ref="U7:X7"/>
    <mergeCell ref="AA7:AD7"/>
    <mergeCell ref="U8:W8"/>
    <mergeCell ref="AA8:AC8"/>
    <mergeCell ref="U9:W9"/>
    <mergeCell ref="AA9:AC9"/>
    <mergeCell ref="U10:W10"/>
    <mergeCell ref="AA10:AC10"/>
    <mergeCell ref="U11:W11"/>
    <mergeCell ref="AA11:AC11"/>
    <mergeCell ref="U12:W12"/>
    <mergeCell ref="AA12:AC12"/>
    <mergeCell ref="P46:Q46"/>
    <mergeCell ref="P47:R47"/>
    <mergeCell ref="P48:Q48"/>
    <mergeCell ref="P49:Q49"/>
    <mergeCell ref="P50:Q50"/>
    <mergeCell ref="P41:R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26:Q26"/>
    <mergeCell ref="P27:Q27"/>
    <mergeCell ref="P28:Q28"/>
    <mergeCell ref="P29:Q29"/>
    <mergeCell ref="P30:Q30"/>
    <mergeCell ref="B2:K2"/>
    <mergeCell ref="E27:F27"/>
    <mergeCell ref="E28:F28"/>
    <mergeCell ref="E29:F29"/>
    <mergeCell ref="O7:R7"/>
    <mergeCell ref="O8:Q8"/>
    <mergeCell ref="O9:Q9"/>
    <mergeCell ref="O10:Q10"/>
    <mergeCell ref="O11:Q11"/>
    <mergeCell ref="O12:Q12"/>
    <mergeCell ref="O13:Q13"/>
    <mergeCell ref="O14:R14"/>
    <mergeCell ref="O15:Q15"/>
    <mergeCell ref="I7:L7"/>
    <mergeCell ref="O21:Q21"/>
    <mergeCell ref="I5:L6"/>
    <mergeCell ref="O5:R6"/>
    <mergeCell ref="P24:R24"/>
    <mergeCell ref="P25:Q25"/>
    <mergeCell ref="O16:Q16"/>
    <mergeCell ref="O17:Q17"/>
    <mergeCell ref="O18:Q18"/>
    <mergeCell ref="O19:Q19"/>
    <mergeCell ref="O20:Q20"/>
    <mergeCell ref="J50:K50"/>
    <mergeCell ref="J51:K51"/>
    <mergeCell ref="J52:K52"/>
    <mergeCell ref="J24:L24"/>
    <mergeCell ref="J41:L41"/>
    <mergeCell ref="J47:L47"/>
    <mergeCell ref="J44:K44"/>
    <mergeCell ref="J45:K45"/>
    <mergeCell ref="J46:K46"/>
    <mergeCell ref="J48:K48"/>
    <mergeCell ref="J49:K49"/>
    <mergeCell ref="J38:K38"/>
    <mergeCell ref="J39:K39"/>
    <mergeCell ref="J40:K40"/>
    <mergeCell ref="J42:K42"/>
    <mergeCell ref="J43:K43"/>
    <mergeCell ref="J25:K25"/>
    <mergeCell ref="J26:K26"/>
    <mergeCell ref="J27:K27"/>
    <mergeCell ref="J28:K28"/>
    <mergeCell ref="J29:K29"/>
    <mergeCell ref="J30:K30"/>
    <mergeCell ref="J31:K31"/>
    <mergeCell ref="J32:K32"/>
    <mergeCell ref="J33:K33"/>
    <mergeCell ref="J34:K34"/>
    <mergeCell ref="J35:K35"/>
    <mergeCell ref="J36:K36"/>
    <mergeCell ref="J37:K37"/>
    <mergeCell ref="I8:K8"/>
    <mergeCell ref="I9:K9"/>
    <mergeCell ref="I10:K10"/>
    <mergeCell ref="I11:K11"/>
    <mergeCell ref="I12:K12"/>
    <mergeCell ref="I13:K13"/>
    <mergeCell ref="I20:K20"/>
    <mergeCell ref="I21:K21"/>
    <mergeCell ref="I14:L14"/>
    <mergeCell ref="I15:K15"/>
    <mergeCell ref="I16:K16"/>
    <mergeCell ref="I17:K17"/>
    <mergeCell ref="I18:K18"/>
    <mergeCell ref="I19:K19"/>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D9B4C-81B7-457D-9536-DFFDD25DE428}">
  <dimension ref="B2:AH52"/>
  <sheetViews>
    <sheetView topLeftCell="P1" zoomScale="90" zoomScaleNormal="90" workbookViewId="0">
      <selection activeCell="AH21" sqref="AH21"/>
    </sheetView>
  </sheetViews>
  <sheetFormatPr baseColWidth="10" defaultRowHeight="14.4" x14ac:dyDescent="0.3"/>
  <sheetData>
    <row r="2" spans="2:34" ht="21" x14ac:dyDescent="0.4">
      <c r="B2" s="122" t="s">
        <v>206</v>
      </c>
      <c r="C2" s="122"/>
      <c r="D2" s="122"/>
      <c r="E2" s="122"/>
      <c r="F2" s="122"/>
      <c r="G2" s="122"/>
      <c r="H2" s="122"/>
      <c r="I2" s="122"/>
      <c r="J2" s="122"/>
      <c r="K2" s="122"/>
    </row>
    <row r="5" spans="2:34" x14ac:dyDescent="0.3">
      <c r="I5" s="125" t="s">
        <v>220</v>
      </c>
      <c r="J5" s="126"/>
      <c r="K5" s="126"/>
      <c r="L5" s="126"/>
      <c r="O5" s="113"/>
      <c r="P5" s="125" t="s">
        <v>221</v>
      </c>
      <c r="Q5" s="126"/>
      <c r="R5" s="126"/>
      <c r="S5" s="126"/>
      <c r="V5" s="112"/>
      <c r="W5" s="125" t="s">
        <v>222</v>
      </c>
      <c r="X5" s="126"/>
      <c r="Y5" s="126"/>
      <c r="Z5" s="126"/>
      <c r="AC5" s="113"/>
      <c r="AD5" s="125" t="s">
        <v>223</v>
      </c>
      <c r="AE5" s="126"/>
      <c r="AF5" s="126"/>
      <c r="AG5" s="126"/>
    </row>
    <row r="6" spans="2:34" ht="14.4" customHeight="1" x14ac:dyDescent="0.3">
      <c r="I6" s="126"/>
      <c r="J6" s="126"/>
      <c r="K6" s="126"/>
      <c r="L6" s="126"/>
      <c r="O6" s="113"/>
      <c r="P6" s="126"/>
      <c r="Q6" s="126"/>
      <c r="R6" s="126"/>
      <c r="S6" s="126"/>
      <c r="V6" s="112"/>
      <c r="W6" s="126"/>
      <c r="X6" s="126"/>
      <c r="Y6" s="126"/>
      <c r="Z6" s="126"/>
      <c r="AC6" s="113"/>
      <c r="AD6" s="126"/>
      <c r="AE6" s="126"/>
      <c r="AF6" s="126"/>
      <c r="AG6" s="126"/>
    </row>
    <row r="7" spans="2:34" x14ac:dyDescent="0.3">
      <c r="I7" s="117" t="s">
        <v>152</v>
      </c>
      <c r="J7" s="117"/>
      <c r="K7" s="117"/>
      <c r="L7" s="117"/>
      <c r="O7" s="113"/>
      <c r="P7" s="117" t="s">
        <v>152</v>
      </c>
      <c r="Q7" s="117"/>
      <c r="R7" s="117"/>
      <c r="S7" s="117"/>
      <c r="V7" s="112"/>
      <c r="W7" s="117" t="s">
        <v>152</v>
      </c>
      <c r="X7" s="117"/>
      <c r="Y7" s="117"/>
      <c r="Z7" s="117"/>
      <c r="AC7" s="113"/>
      <c r="AD7" s="117" t="s">
        <v>152</v>
      </c>
      <c r="AE7" s="117"/>
      <c r="AF7" s="117"/>
      <c r="AG7" s="117"/>
    </row>
    <row r="8" spans="2:34" x14ac:dyDescent="0.3">
      <c r="I8" s="115" t="s">
        <v>153</v>
      </c>
      <c r="J8" s="115"/>
      <c r="K8" s="115"/>
      <c r="L8" s="88">
        <f>L40</f>
        <v>67</v>
      </c>
      <c r="O8" s="113"/>
      <c r="P8" s="115" t="s">
        <v>153</v>
      </c>
      <c r="Q8" s="115"/>
      <c r="R8" s="115"/>
      <c r="S8" s="88">
        <f>S40</f>
        <v>37</v>
      </c>
      <c r="V8" s="112"/>
      <c r="W8" s="115" t="s">
        <v>153</v>
      </c>
      <c r="X8" s="115"/>
      <c r="Y8" s="115"/>
      <c r="Z8" s="88">
        <f>Z40</f>
        <v>67</v>
      </c>
      <c r="AC8" s="113"/>
      <c r="AD8" s="115" t="s">
        <v>153</v>
      </c>
      <c r="AE8" s="115"/>
      <c r="AF8" s="115"/>
      <c r="AG8" s="88">
        <f>AG40</f>
        <v>47</v>
      </c>
    </row>
    <row r="9" spans="2:34" x14ac:dyDescent="0.3">
      <c r="I9" s="115" t="s">
        <v>154</v>
      </c>
      <c r="J9" s="115"/>
      <c r="K9" s="115"/>
      <c r="L9" s="88">
        <v>4</v>
      </c>
      <c r="M9" s="104" t="s">
        <v>207</v>
      </c>
      <c r="O9" s="113"/>
      <c r="P9" s="115" t="s">
        <v>154</v>
      </c>
      <c r="Q9" s="115"/>
      <c r="R9" s="115"/>
      <c r="S9" s="88">
        <v>4</v>
      </c>
      <c r="T9" s="104" t="s">
        <v>207</v>
      </c>
      <c r="V9" s="112"/>
      <c r="W9" s="115" t="s">
        <v>154</v>
      </c>
      <c r="X9" s="115"/>
      <c r="Y9" s="115"/>
      <c r="Z9" s="88">
        <v>4</v>
      </c>
      <c r="AA9" s="104" t="s">
        <v>207</v>
      </c>
      <c r="AC9" s="113"/>
      <c r="AD9" s="115" t="s">
        <v>154</v>
      </c>
      <c r="AE9" s="115"/>
      <c r="AF9" s="115"/>
      <c r="AG9" s="88">
        <v>4</v>
      </c>
      <c r="AH9" s="104" t="s">
        <v>207</v>
      </c>
    </row>
    <row r="10" spans="2:34" x14ac:dyDescent="0.3">
      <c r="I10" s="115" t="s">
        <v>155</v>
      </c>
      <c r="J10" s="115"/>
      <c r="K10" s="115"/>
      <c r="L10" s="88">
        <f>L9*24*30</f>
        <v>2880</v>
      </c>
      <c r="O10" s="113"/>
      <c r="P10" s="115" t="s">
        <v>155</v>
      </c>
      <c r="Q10" s="115"/>
      <c r="R10" s="115"/>
      <c r="S10" s="88">
        <f>S9*24*30</f>
        <v>2880</v>
      </c>
      <c r="V10" s="112"/>
      <c r="W10" s="115" t="s">
        <v>155</v>
      </c>
      <c r="X10" s="115"/>
      <c r="Y10" s="115"/>
      <c r="Z10" s="88">
        <f>Z9*24*30</f>
        <v>2880</v>
      </c>
      <c r="AC10" s="113"/>
      <c r="AD10" s="115" t="s">
        <v>155</v>
      </c>
      <c r="AE10" s="115"/>
      <c r="AF10" s="115"/>
      <c r="AG10" s="88">
        <f>AG9*24*30</f>
        <v>2880</v>
      </c>
    </row>
    <row r="11" spans="2:34" x14ac:dyDescent="0.3">
      <c r="I11" s="115" t="s">
        <v>156</v>
      </c>
      <c r="J11" s="115"/>
      <c r="K11" s="115"/>
      <c r="L11" s="88">
        <v>17</v>
      </c>
      <c r="O11" s="113"/>
      <c r="P11" s="115" t="s">
        <v>156</v>
      </c>
      <c r="Q11" s="115"/>
      <c r="R11" s="115"/>
      <c r="S11" s="88">
        <v>17</v>
      </c>
      <c r="V11" s="112"/>
      <c r="W11" s="115" t="s">
        <v>156</v>
      </c>
      <c r="X11" s="115"/>
      <c r="Y11" s="115"/>
      <c r="Z11" s="88">
        <v>17</v>
      </c>
      <c r="AC11" s="113"/>
      <c r="AD11" s="115" t="s">
        <v>156</v>
      </c>
      <c r="AE11" s="115"/>
      <c r="AF11" s="115"/>
      <c r="AG11" s="88">
        <v>17</v>
      </c>
    </row>
    <row r="12" spans="2:34" x14ac:dyDescent="0.3">
      <c r="I12" s="115" t="s">
        <v>157</v>
      </c>
      <c r="J12" s="115"/>
      <c r="K12" s="115"/>
      <c r="L12" s="88">
        <v>48</v>
      </c>
      <c r="O12" s="113"/>
      <c r="P12" s="115" t="s">
        <v>157</v>
      </c>
      <c r="Q12" s="115"/>
      <c r="R12" s="115"/>
      <c r="S12" s="88">
        <v>48</v>
      </c>
      <c r="V12" s="112"/>
      <c r="W12" s="115" t="s">
        <v>157</v>
      </c>
      <c r="X12" s="115"/>
      <c r="Y12" s="115"/>
      <c r="Z12" s="88">
        <v>48</v>
      </c>
      <c r="AC12" s="113"/>
      <c r="AD12" s="115" t="s">
        <v>157</v>
      </c>
      <c r="AE12" s="115"/>
      <c r="AF12" s="115"/>
      <c r="AG12" s="88">
        <v>48</v>
      </c>
    </row>
    <row r="13" spans="2:34" x14ac:dyDescent="0.3">
      <c r="I13" s="115" t="s">
        <v>158</v>
      </c>
      <c r="J13" s="115"/>
      <c r="K13" s="115"/>
      <c r="L13" s="88">
        <v>512</v>
      </c>
      <c r="O13" s="113"/>
      <c r="P13" s="115" t="s">
        <v>158</v>
      </c>
      <c r="Q13" s="115"/>
      <c r="R13" s="115"/>
      <c r="S13" s="88">
        <v>512</v>
      </c>
      <c r="V13" s="112"/>
      <c r="W13" s="115" t="s">
        <v>158</v>
      </c>
      <c r="X13" s="115"/>
      <c r="Y13" s="115"/>
      <c r="Z13" s="88">
        <v>512</v>
      </c>
      <c r="AC13" s="113"/>
      <c r="AD13" s="115" t="s">
        <v>158</v>
      </c>
      <c r="AE13" s="115"/>
      <c r="AF13" s="115"/>
      <c r="AG13" s="88">
        <v>512</v>
      </c>
    </row>
    <row r="14" spans="2:34" x14ac:dyDescent="0.3">
      <c r="I14" s="117" t="s">
        <v>159</v>
      </c>
      <c r="J14" s="117"/>
      <c r="K14" s="117"/>
      <c r="L14" s="117"/>
      <c r="O14" s="113"/>
      <c r="P14" s="117" t="s">
        <v>159</v>
      </c>
      <c r="Q14" s="117"/>
      <c r="R14" s="117"/>
      <c r="S14" s="117"/>
      <c r="V14" s="112"/>
      <c r="W14" s="117" t="s">
        <v>159</v>
      </c>
      <c r="X14" s="117"/>
      <c r="Y14" s="117"/>
      <c r="Z14" s="117"/>
      <c r="AC14" s="113"/>
      <c r="AD14" s="117" t="s">
        <v>159</v>
      </c>
      <c r="AE14" s="117"/>
      <c r="AF14" s="117"/>
      <c r="AG14" s="117"/>
    </row>
    <row r="15" spans="2:34" x14ac:dyDescent="0.3">
      <c r="I15" s="115" t="s">
        <v>160</v>
      </c>
      <c r="J15" s="115"/>
      <c r="K15" s="115"/>
      <c r="L15" s="107">
        <f>L8*L10/1024</f>
        <v>188.4375</v>
      </c>
      <c r="O15" s="113"/>
      <c r="P15" s="115" t="s">
        <v>160</v>
      </c>
      <c r="Q15" s="115"/>
      <c r="R15" s="115"/>
      <c r="S15" s="107">
        <f>S8*S10/1024</f>
        <v>104.0625</v>
      </c>
      <c r="V15" s="112"/>
      <c r="W15" s="115" t="s">
        <v>160</v>
      </c>
      <c r="X15" s="115"/>
      <c r="Y15" s="115"/>
      <c r="Z15" s="107">
        <f>Z8*Z10/1024</f>
        <v>188.4375</v>
      </c>
      <c r="AC15" s="113"/>
      <c r="AD15" s="115" t="s">
        <v>160</v>
      </c>
      <c r="AE15" s="115"/>
      <c r="AF15" s="115"/>
      <c r="AG15" s="107">
        <f>AG8*AG10/1024</f>
        <v>132.1875</v>
      </c>
    </row>
    <row r="16" spans="2:34" x14ac:dyDescent="0.3">
      <c r="I16" s="115" t="s">
        <v>161</v>
      </c>
      <c r="J16" s="115"/>
      <c r="K16" s="115"/>
      <c r="L16" s="107">
        <f>L11*L46*30/1024</f>
        <v>11.455078125</v>
      </c>
      <c r="O16" s="113"/>
      <c r="P16" s="115" t="s">
        <v>161</v>
      </c>
      <c r="Q16" s="115"/>
      <c r="R16" s="115"/>
      <c r="S16" s="107">
        <f>S11*S46*30/1024</f>
        <v>11.455078125</v>
      </c>
      <c r="V16" s="112"/>
      <c r="W16" s="115" t="s">
        <v>161</v>
      </c>
      <c r="X16" s="115"/>
      <c r="Y16" s="115"/>
      <c r="Z16" s="107">
        <f>Z11*Z46*30/1024</f>
        <v>11.455078125</v>
      </c>
      <c r="AC16" s="113"/>
      <c r="AD16" s="115" t="s">
        <v>161</v>
      </c>
      <c r="AE16" s="115"/>
      <c r="AF16" s="115"/>
      <c r="AG16" s="107">
        <f>AG11*AG46*30/1024</f>
        <v>11.455078125</v>
      </c>
    </row>
    <row r="17" spans="5:33" x14ac:dyDescent="0.3">
      <c r="I17" s="115" t="s">
        <v>162</v>
      </c>
      <c r="J17" s="115"/>
      <c r="K17" s="115"/>
      <c r="L17" s="107">
        <f>L12*L52*30/1024</f>
        <v>32.34375</v>
      </c>
      <c r="O17" s="113"/>
      <c r="P17" s="115" t="s">
        <v>162</v>
      </c>
      <c r="Q17" s="115"/>
      <c r="R17" s="115"/>
      <c r="S17" s="107">
        <f>S12*S52*30/1024</f>
        <v>25.3125</v>
      </c>
      <c r="V17" s="112"/>
      <c r="W17" s="115" t="s">
        <v>162</v>
      </c>
      <c r="X17" s="115"/>
      <c r="Y17" s="115"/>
      <c r="Z17" s="107">
        <f>Z12*Z52*30/1024</f>
        <v>32.34375</v>
      </c>
      <c r="AC17" s="113"/>
      <c r="AD17" s="115" t="s">
        <v>162</v>
      </c>
      <c r="AE17" s="115"/>
      <c r="AF17" s="115"/>
      <c r="AG17" s="107">
        <f>AG12*AG52*30/1024</f>
        <v>25.3125</v>
      </c>
    </row>
    <row r="18" spans="5:33" x14ac:dyDescent="0.3">
      <c r="I18" s="115" t="s">
        <v>163</v>
      </c>
      <c r="J18" s="115"/>
      <c r="K18" s="115"/>
      <c r="L18" s="107">
        <f>L13/12</f>
        <v>42.666666666666664</v>
      </c>
      <c r="O18" s="113"/>
      <c r="P18" s="115" t="s">
        <v>163</v>
      </c>
      <c r="Q18" s="115"/>
      <c r="R18" s="115"/>
      <c r="S18" s="107">
        <f>S13/12</f>
        <v>42.666666666666664</v>
      </c>
      <c r="V18" s="112"/>
      <c r="W18" s="115" t="s">
        <v>163</v>
      </c>
      <c r="X18" s="115"/>
      <c r="Y18" s="115"/>
      <c r="Z18" s="107">
        <f>Z13/12</f>
        <v>42.666666666666664</v>
      </c>
      <c r="AC18" s="113"/>
      <c r="AD18" s="115" t="s">
        <v>163</v>
      </c>
      <c r="AE18" s="115"/>
      <c r="AF18" s="115"/>
      <c r="AG18" s="107">
        <f>AG13/12</f>
        <v>42.666666666666664</v>
      </c>
    </row>
    <row r="19" spans="5:33" x14ac:dyDescent="0.3">
      <c r="I19" s="115" t="s">
        <v>164</v>
      </c>
      <c r="J19" s="115"/>
      <c r="K19" s="115"/>
      <c r="L19" s="108">
        <f>SUM(L15:L18)*0.2</f>
        <v>54.980598958333339</v>
      </c>
      <c r="O19" s="113"/>
      <c r="P19" s="115" t="s">
        <v>164</v>
      </c>
      <c r="Q19" s="115"/>
      <c r="R19" s="115"/>
      <c r="S19" s="108">
        <f>SUM(S15:S18)*0.2</f>
        <v>36.699348958333331</v>
      </c>
      <c r="V19" s="112"/>
      <c r="W19" s="115" t="s">
        <v>164</v>
      </c>
      <c r="X19" s="115"/>
      <c r="Y19" s="115"/>
      <c r="Z19" s="108">
        <f>SUM(Z15:Z18)*0.2</f>
        <v>54.980598958333339</v>
      </c>
      <c r="AC19" s="113"/>
      <c r="AD19" s="115" t="s">
        <v>164</v>
      </c>
      <c r="AE19" s="115"/>
      <c r="AF19" s="115"/>
      <c r="AG19" s="108">
        <f>SUM(AG15:AG18)*0.2</f>
        <v>42.324348958333331</v>
      </c>
    </row>
    <row r="20" spans="5:33" x14ac:dyDescent="0.3">
      <c r="I20" s="116" t="s">
        <v>165</v>
      </c>
      <c r="J20" s="116"/>
      <c r="K20" s="116"/>
      <c r="L20" s="108">
        <f>SUM(L15:L19)</f>
        <v>329.88359375000005</v>
      </c>
      <c r="O20" s="113"/>
      <c r="P20" s="116" t="s">
        <v>165</v>
      </c>
      <c r="Q20" s="116"/>
      <c r="R20" s="116"/>
      <c r="S20" s="108">
        <f>SUM(S15:S19)</f>
        <v>220.19609374999999</v>
      </c>
      <c r="V20" s="112"/>
      <c r="W20" s="116" t="s">
        <v>165</v>
      </c>
      <c r="X20" s="116"/>
      <c r="Y20" s="116"/>
      <c r="Z20" s="108">
        <f>SUM(Z15:Z19)</f>
        <v>329.88359375000005</v>
      </c>
      <c r="AC20" s="113"/>
      <c r="AD20" s="116" t="s">
        <v>165</v>
      </c>
      <c r="AE20" s="116"/>
      <c r="AF20" s="116"/>
      <c r="AG20" s="108">
        <f>SUM(AG15:AG19)</f>
        <v>253.94609374999999</v>
      </c>
    </row>
    <row r="21" spans="5:33" x14ac:dyDescent="0.3">
      <c r="I21" s="116" t="s">
        <v>166</v>
      </c>
      <c r="J21" s="116"/>
      <c r="K21" s="116"/>
      <c r="L21" s="108">
        <f>L20*$G$29</f>
        <v>94.072632849961181</v>
      </c>
      <c r="O21" s="113"/>
      <c r="P21" s="116" t="s">
        <v>166</v>
      </c>
      <c r="Q21" s="116"/>
      <c r="R21" s="116"/>
      <c r="S21" s="108">
        <f>S20*$G$29</f>
        <v>62.79313877621226</v>
      </c>
      <c r="V21" s="112"/>
      <c r="W21" s="116" t="s">
        <v>166</v>
      </c>
      <c r="X21" s="116"/>
      <c r="Y21" s="116"/>
      <c r="Z21" s="108">
        <f>Z20*$G$29</f>
        <v>94.072632849961181</v>
      </c>
      <c r="AC21" s="113"/>
      <c r="AD21" s="116" t="s">
        <v>166</v>
      </c>
      <c r="AE21" s="116"/>
      <c r="AF21" s="116"/>
      <c r="AG21" s="108">
        <f>AG20*$G$29</f>
        <v>72.417598491211919</v>
      </c>
    </row>
    <row r="22" spans="5:33" x14ac:dyDescent="0.3">
      <c r="O22" s="113"/>
      <c r="V22" s="112"/>
      <c r="AC22" s="113"/>
    </row>
    <row r="23" spans="5:33" x14ac:dyDescent="0.3">
      <c r="O23" s="113"/>
      <c r="V23" s="112"/>
      <c r="AC23" s="113"/>
    </row>
    <row r="24" spans="5:33" x14ac:dyDescent="0.3">
      <c r="J24" s="119" t="s">
        <v>186</v>
      </c>
      <c r="K24" s="119"/>
      <c r="L24" s="119"/>
      <c r="O24" s="113"/>
      <c r="Q24" s="119" t="s">
        <v>186</v>
      </c>
      <c r="R24" s="119"/>
      <c r="S24" s="119"/>
      <c r="V24" s="112"/>
      <c r="X24" s="119" t="s">
        <v>186</v>
      </c>
      <c r="Y24" s="119"/>
      <c r="Z24" s="119"/>
      <c r="AC24" s="113"/>
      <c r="AE24" s="119" t="s">
        <v>186</v>
      </c>
      <c r="AF24" s="119"/>
      <c r="AG24" s="119"/>
    </row>
    <row r="25" spans="5:33" x14ac:dyDescent="0.3">
      <c r="J25" s="114" t="s">
        <v>187</v>
      </c>
      <c r="K25" s="114"/>
      <c r="L25" s="109">
        <v>12</v>
      </c>
      <c r="O25" s="113"/>
      <c r="Q25" s="114" t="s">
        <v>187</v>
      </c>
      <c r="R25" s="114"/>
      <c r="S25" s="109">
        <v>12</v>
      </c>
      <c r="V25" s="112"/>
      <c r="X25" s="114" t="s">
        <v>187</v>
      </c>
      <c r="Y25" s="114"/>
      <c r="Z25" s="109">
        <v>12</v>
      </c>
      <c r="AC25" s="113"/>
      <c r="AE25" s="114" t="s">
        <v>187</v>
      </c>
      <c r="AF25" s="114"/>
      <c r="AG25" s="109">
        <v>12</v>
      </c>
    </row>
    <row r="26" spans="5:33" x14ac:dyDescent="0.3">
      <c r="J26" s="114" t="s">
        <v>188</v>
      </c>
      <c r="K26" s="114"/>
      <c r="L26" s="109">
        <v>5</v>
      </c>
      <c r="O26" s="113"/>
      <c r="Q26" s="114" t="s">
        <v>188</v>
      </c>
      <c r="R26" s="114"/>
      <c r="S26" s="109">
        <v>5</v>
      </c>
      <c r="V26" s="112"/>
      <c r="X26" s="114" t="s">
        <v>188</v>
      </c>
      <c r="Y26" s="114"/>
      <c r="Z26" s="109">
        <v>5</v>
      </c>
      <c r="AC26" s="113"/>
      <c r="AE26" s="114" t="s">
        <v>188</v>
      </c>
      <c r="AF26" s="114"/>
      <c r="AG26" s="109">
        <v>5</v>
      </c>
    </row>
    <row r="27" spans="5:33" x14ac:dyDescent="0.3">
      <c r="E27" s="123" t="s">
        <v>208</v>
      </c>
      <c r="F27" s="123"/>
      <c r="G27" s="105">
        <v>325754</v>
      </c>
      <c r="J27" s="114" t="s">
        <v>189</v>
      </c>
      <c r="K27" s="114"/>
      <c r="L27" s="109">
        <v>5</v>
      </c>
      <c r="O27" s="113"/>
      <c r="Q27" s="114" t="s">
        <v>189</v>
      </c>
      <c r="R27" s="114"/>
      <c r="S27" s="109">
        <v>5</v>
      </c>
      <c r="V27" s="112"/>
      <c r="X27" s="114" t="s">
        <v>189</v>
      </c>
      <c r="Y27" s="114"/>
      <c r="Z27" s="109">
        <v>5</v>
      </c>
      <c r="AC27" s="113"/>
      <c r="AE27" s="114" t="s">
        <v>189</v>
      </c>
      <c r="AF27" s="114"/>
      <c r="AG27" s="109">
        <v>5</v>
      </c>
    </row>
    <row r="28" spans="5:33" x14ac:dyDescent="0.3">
      <c r="E28" s="123" t="s">
        <v>209</v>
      </c>
      <c r="F28" s="123"/>
      <c r="G28" s="105">
        <v>92895</v>
      </c>
      <c r="J28" s="114" t="s">
        <v>190</v>
      </c>
      <c r="K28" s="114"/>
      <c r="L28" s="109">
        <v>5</v>
      </c>
      <c r="O28" s="113"/>
      <c r="Q28" s="114" t="s">
        <v>190</v>
      </c>
      <c r="R28" s="114"/>
      <c r="S28" s="109">
        <v>0</v>
      </c>
      <c r="V28" s="112"/>
      <c r="X28" s="114" t="s">
        <v>190</v>
      </c>
      <c r="Y28" s="114"/>
      <c r="Z28" s="109">
        <v>5</v>
      </c>
      <c r="AC28" s="113"/>
      <c r="AE28" s="114" t="s">
        <v>190</v>
      </c>
      <c r="AF28" s="114"/>
      <c r="AG28" s="109">
        <v>5</v>
      </c>
    </row>
    <row r="29" spans="5:33" x14ac:dyDescent="0.3">
      <c r="E29" s="124" t="s">
        <v>210</v>
      </c>
      <c r="F29" s="124"/>
      <c r="G29" s="106">
        <f>G28/G27</f>
        <v>0.28516917674073072</v>
      </c>
      <c r="J29" s="114" t="s">
        <v>191</v>
      </c>
      <c r="K29" s="114"/>
      <c r="L29" s="109">
        <v>5</v>
      </c>
      <c r="O29" s="113"/>
      <c r="Q29" s="114" t="s">
        <v>191</v>
      </c>
      <c r="R29" s="114"/>
      <c r="S29" s="109">
        <v>0</v>
      </c>
      <c r="V29" s="112"/>
      <c r="X29" s="114" t="s">
        <v>191</v>
      </c>
      <c r="Y29" s="114"/>
      <c r="Z29" s="109">
        <v>5</v>
      </c>
      <c r="AC29" s="113"/>
      <c r="AE29" s="114" t="s">
        <v>191</v>
      </c>
      <c r="AF29" s="114"/>
      <c r="AG29" s="109">
        <v>5</v>
      </c>
    </row>
    <row r="30" spans="5:33" x14ac:dyDescent="0.3">
      <c r="J30" s="114" t="s">
        <v>192</v>
      </c>
      <c r="K30" s="114"/>
      <c r="L30" s="109">
        <v>5</v>
      </c>
      <c r="O30" s="113"/>
      <c r="Q30" s="114" t="s">
        <v>192</v>
      </c>
      <c r="R30" s="114"/>
      <c r="S30" s="109">
        <v>5</v>
      </c>
      <c r="V30" s="112"/>
      <c r="X30" s="114" t="s">
        <v>192</v>
      </c>
      <c r="Y30" s="114"/>
      <c r="Z30" s="109">
        <v>5</v>
      </c>
      <c r="AC30" s="113"/>
      <c r="AE30" s="114" t="s">
        <v>192</v>
      </c>
      <c r="AF30" s="114"/>
      <c r="AG30" s="109">
        <v>5</v>
      </c>
    </row>
    <row r="31" spans="5:33" x14ac:dyDescent="0.3">
      <c r="J31" s="114" t="s">
        <v>193</v>
      </c>
      <c r="K31" s="114"/>
      <c r="L31" s="109">
        <v>5</v>
      </c>
      <c r="O31" s="113"/>
      <c r="Q31" s="114" t="s">
        <v>193</v>
      </c>
      <c r="R31" s="114"/>
      <c r="S31" s="109">
        <v>0</v>
      </c>
      <c r="V31" s="112"/>
      <c r="X31" s="114" t="s">
        <v>193</v>
      </c>
      <c r="Y31" s="114"/>
      <c r="Z31" s="109">
        <v>5</v>
      </c>
      <c r="AC31" s="113"/>
      <c r="AE31" s="114" t="s">
        <v>193</v>
      </c>
      <c r="AF31" s="114"/>
      <c r="AG31" s="109">
        <v>0</v>
      </c>
    </row>
    <row r="32" spans="5:33" x14ac:dyDescent="0.3">
      <c r="J32" s="114" t="s">
        <v>194</v>
      </c>
      <c r="K32" s="114"/>
      <c r="L32" s="109">
        <v>5</v>
      </c>
      <c r="O32" s="113"/>
      <c r="Q32" s="114" t="s">
        <v>194</v>
      </c>
      <c r="R32" s="114"/>
      <c r="S32" s="109">
        <v>0</v>
      </c>
      <c r="V32" s="112"/>
      <c r="X32" s="114" t="s">
        <v>194</v>
      </c>
      <c r="Y32" s="114"/>
      <c r="Z32" s="109">
        <v>5</v>
      </c>
      <c r="AC32" s="113"/>
      <c r="AE32" s="114" t="s">
        <v>194</v>
      </c>
      <c r="AF32" s="114"/>
      <c r="AG32" s="109">
        <v>0</v>
      </c>
    </row>
    <row r="33" spans="10:33" x14ac:dyDescent="0.3">
      <c r="J33" s="114" t="s">
        <v>195</v>
      </c>
      <c r="K33" s="114"/>
      <c r="L33" s="109">
        <v>5</v>
      </c>
      <c r="O33" s="113"/>
      <c r="Q33" s="114" t="s">
        <v>195</v>
      </c>
      <c r="R33" s="114"/>
      <c r="S33" s="109">
        <v>5</v>
      </c>
      <c r="V33" s="112"/>
      <c r="X33" s="114" t="s">
        <v>195</v>
      </c>
      <c r="Y33" s="114"/>
      <c r="Z33" s="109">
        <v>5</v>
      </c>
      <c r="AC33" s="113"/>
      <c r="AE33" s="114" t="s">
        <v>195</v>
      </c>
      <c r="AF33" s="114"/>
      <c r="AG33" s="109">
        <v>5</v>
      </c>
    </row>
    <row r="34" spans="10:33" x14ac:dyDescent="0.3">
      <c r="J34" s="114" t="s">
        <v>196</v>
      </c>
      <c r="K34" s="114"/>
      <c r="L34" s="109">
        <v>5</v>
      </c>
      <c r="O34" s="113"/>
      <c r="Q34" s="114" t="s">
        <v>196</v>
      </c>
      <c r="R34" s="114"/>
      <c r="S34" s="109">
        <v>0</v>
      </c>
      <c r="V34" s="112"/>
      <c r="X34" s="114" t="s">
        <v>196</v>
      </c>
      <c r="Y34" s="114"/>
      <c r="Z34" s="109">
        <v>5</v>
      </c>
      <c r="AC34" s="113"/>
      <c r="AE34" s="114" t="s">
        <v>196</v>
      </c>
      <c r="AF34" s="114"/>
      <c r="AG34" s="109">
        <v>0</v>
      </c>
    </row>
    <row r="35" spans="10:33" x14ac:dyDescent="0.3">
      <c r="J35" s="114" t="s">
        <v>197</v>
      </c>
      <c r="K35" s="114"/>
      <c r="L35" s="109">
        <v>5</v>
      </c>
      <c r="O35" s="113"/>
      <c r="Q35" s="114" t="s">
        <v>197</v>
      </c>
      <c r="R35" s="114"/>
      <c r="S35" s="109">
        <v>0</v>
      </c>
      <c r="V35" s="112"/>
      <c r="X35" s="114" t="s">
        <v>197</v>
      </c>
      <c r="Y35" s="114"/>
      <c r="Z35" s="109">
        <v>5</v>
      </c>
      <c r="AC35" s="113"/>
      <c r="AE35" s="114" t="s">
        <v>197</v>
      </c>
      <c r="AF35" s="114"/>
      <c r="AG35" s="109">
        <v>0</v>
      </c>
    </row>
    <row r="36" spans="10:33" x14ac:dyDescent="0.3">
      <c r="J36" s="114" t="s">
        <v>198</v>
      </c>
      <c r="K36" s="114"/>
      <c r="L36" s="109">
        <v>0</v>
      </c>
      <c r="O36" s="113"/>
      <c r="Q36" s="114" t="s">
        <v>198</v>
      </c>
      <c r="R36" s="114"/>
      <c r="S36" s="109">
        <v>0</v>
      </c>
      <c r="V36" s="112"/>
      <c r="X36" s="114" t="s">
        <v>198</v>
      </c>
      <c r="Y36" s="114"/>
      <c r="Z36" s="109">
        <v>0</v>
      </c>
      <c r="AC36" s="113"/>
      <c r="AE36" s="114" t="s">
        <v>198</v>
      </c>
      <c r="AF36" s="114"/>
      <c r="AG36" s="109">
        <v>0</v>
      </c>
    </row>
    <row r="37" spans="10:33" x14ac:dyDescent="0.3">
      <c r="J37" s="114" t="s">
        <v>199</v>
      </c>
      <c r="K37" s="114"/>
      <c r="L37" s="109">
        <v>0</v>
      </c>
      <c r="O37" s="113"/>
      <c r="Q37" s="114" t="s">
        <v>199</v>
      </c>
      <c r="R37" s="114"/>
      <c r="S37" s="109">
        <v>0</v>
      </c>
      <c r="V37" s="112"/>
      <c r="X37" s="114" t="s">
        <v>199</v>
      </c>
      <c r="Y37" s="114"/>
      <c r="Z37" s="109">
        <v>0</v>
      </c>
      <c r="AC37" s="113"/>
      <c r="AE37" s="114" t="s">
        <v>199</v>
      </c>
      <c r="AF37" s="114"/>
      <c r="AG37" s="109">
        <v>0</v>
      </c>
    </row>
    <row r="38" spans="10:33" x14ac:dyDescent="0.3">
      <c r="J38" s="114" t="s">
        <v>200</v>
      </c>
      <c r="K38" s="114"/>
      <c r="L38" s="109">
        <v>0</v>
      </c>
      <c r="O38" s="113"/>
      <c r="Q38" s="114" t="s">
        <v>200</v>
      </c>
      <c r="R38" s="114"/>
      <c r="S38" s="109">
        <v>0</v>
      </c>
      <c r="V38" s="112"/>
      <c r="X38" s="114" t="s">
        <v>200</v>
      </c>
      <c r="Y38" s="114"/>
      <c r="Z38" s="109">
        <v>0</v>
      </c>
      <c r="AC38" s="113"/>
      <c r="AE38" s="114" t="s">
        <v>200</v>
      </c>
      <c r="AF38" s="114"/>
      <c r="AG38" s="109">
        <v>0</v>
      </c>
    </row>
    <row r="39" spans="10:33" x14ac:dyDescent="0.3">
      <c r="J39" s="114" t="s">
        <v>201</v>
      </c>
      <c r="K39" s="114"/>
      <c r="L39" s="109">
        <v>5</v>
      </c>
      <c r="O39" s="113"/>
      <c r="Q39" s="114" t="s">
        <v>201</v>
      </c>
      <c r="R39" s="114"/>
      <c r="S39" s="109">
        <v>5</v>
      </c>
      <c r="V39" s="112"/>
      <c r="X39" s="114" t="s">
        <v>201</v>
      </c>
      <c r="Y39" s="114"/>
      <c r="Z39" s="109">
        <v>5</v>
      </c>
      <c r="AC39" s="113"/>
      <c r="AE39" s="114" t="s">
        <v>201</v>
      </c>
      <c r="AF39" s="114"/>
      <c r="AG39" s="109">
        <v>5</v>
      </c>
    </row>
    <row r="40" spans="10:33" x14ac:dyDescent="0.3">
      <c r="J40" s="121" t="s">
        <v>153</v>
      </c>
      <c r="K40" s="121"/>
      <c r="L40" s="110">
        <f>SUM(L25:L39)</f>
        <v>67</v>
      </c>
      <c r="O40" s="113"/>
      <c r="Q40" s="121" t="s">
        <v>153</v>
      </c>
      <c r="R40" s="121"/>
      <c r="S40" s="110">
        <f>SUM(S25:S39)</f>
        <v>37</v>
      </c>
      <c r="V40" s="112"/>
      <c r="X40" s="121" t="s">
        <v>153</v>
      </c>
      <c r="Y40" s="121"/>
      <c r="Z40" s="110">
        <f>SUM(Z25:Z39)</f>
        <v>67</v>
      </c>
      <c r="AC40" s="113"/>
      <c r="AE40" s="121" t="s">
        <v>153</v>
      </c>
      <c r="AF40" s="121"/>
      <c r="AG40" s="110">
        <f>SUM(AG25:AG39)</f>
        <v>47</v>
      </c>
    </row>
    <row r="41" spans="10:33" x14ac:dyDescent="0.3">
      <c r="J41" s="120" t="s">
        <v>202</v>
      </c>
      <c r="K41" s="120"/>
      <c r="L41" s="120"/>
      <c r="O41" s="113"/>
      <c r="Q41" s="120" t="s">
        <v>202</v>
      </c>
      <c r="R41" s="120"/>
      <c r="S41" s="120"/>
      <c r="V41" s="112"/>
      <c r="X41" s="120" t="s">
        <v>202</v>
      </c>
      <c r="Y41" s="120"/>
      <c r="Z41" s="120"/>
      <c r="AC41" s="113"/>
      <c r="AE41" s="120" t="s">
        <v>202</v>
      </c>
      <c r="AF41" s="120"/>
      <c r="AG41" s="120"/>
    </row>
    <row r="42" spans="10:33" x14ac:dyDescent="0.3">
      <c r="J42" s="114" t="s">
        <v>187</v>
      </c>
      <c r="K42" s="114"/>
      <c r="L42" s="109">
        <f>L25</f>
        <v>12</v>
      </c>
      <c r="O42" s="113"/>
      <c r="Q42" s="114" t="s">
        <v>187</v>
      </c>
      <c r="R42" s="114"/>
      <c r="S42" s="109">
        <f>S25</f>
        <v>12</v>
      </c>
      <c r="V42" s="112"/>
      <c r="X42" s="114" t="s">
        <v>187</v>
      </c>
      <c r="Y42" s="114"/>
      <c r="Z42" s="109">
        <f>Z25</f>
        <v>12</v>
      </c>
      <c r="AC42" s="113"/>
      <c r="AE42" s="114" t="s">
        <v>187</v>
      </c>
      <c r="AF42" s="114"/>
      <c r="AG42" s="109">
        <f>AG25</f>
        <v>12</v>
      </c>
    </row>
    <row r="43" spans="10:33" x14ac:dyDescent="0.3">
      <c r="J43" s="114" t="s">
        <v>203</v>
      </c>
      <c r="K43" s="114"/>
      <c r="L43" s="109">
        <f>L26</f>
        <v>5</v>
      </c>
      <c r="O43" s="113"/>
      <c r="Q43" s="114" t="s">
        <v>203</v>
      </c>
      <c r="R43" s="114"/>
      <c r="S43" s="109">
        <f>S26</f>
        <v>5</v>
      </c>
      <c r="V43" s="112"/>
      <c r="X43" s="114" t="s">
        <v>203</v>
      </c>
      <c r="Y43" s="114"/>
      <c r="Z43" s="109">
        <f>Z26</f>
        <v>5</v>
      </c>
      <c r="AC43" s="113"/>
      <c r="AE43" s="114" t="s">
        <v>203</v>
      </c>
      <c r="AF43" s="114"/>
      <c r="AG43" s="109">
        <f>AG26</f>
        <v>5</v>
      </c>
    </row>
    <row r="44" spans="10:33" x14ac:dyDescent="0.3">
      <c r="J44" s="114" t="s">
        <v>204</v>
      </c>
      <c r="K44" s="114"/>
      <c r="L44" s="109">
        <v>2</v>
      </c>
      <c r="O44" s="113"/>
      <c r="Q44" s="114" t="s">
        <v>204</v>
      </c>
      <c r="R44" s="114"/>
      <c r="S44" s="109">
        <v>2</v>
      </c>
      <c r="V44" s="112"/>
      <c r="X44" s="114" t="s">
        <v>204</v>
      </c>
      <c r="Y44" s="114"/>
      <c r="Z44" s="109">
        <v>2</v>
      </c>
      <c r="AC44" s="113"/>
      <c r="AE44" s="114" t="s">
        <v>204</v>
      </c>
      <c r="AF44" s="114"/>
      <c r="AG44" s="109">
        <v>2</v>
      </c>
    </row>
    <row r="45" spans="10:33" x14ac:dyDescent="0.3">
      <c r="J45" s="114" t="s">
        <v>201</v>
      </c>
      <c r="K45" s="114"/>
      <c r="L45" s="109">
        <v>4</v>
      </c>
      <c r="O45" s="113"/>
      <c r="Q45" s="114" t="s">
        <v>201</v>
      </c>
      <c r="R45" s="114"/>
      <c r="S45" s="109">
        <v>4</v>
      </c>
      <c r="V45" s="112"/>
      <c r="X45" s="114" t="s">
        <v>201</v>
      </c>
      <c r="Y45" s="114"/>
      <c r="Z45" s="109">
        <v>4</v>
      </c>
      <c r="AC45" s="113"/>
      <c r="AE45" s="114" t="s">
        <v>201</v>
      </c>
      <c r="AF45" s="114"/>
      <c r="AG45" s="109">
        <v>4</v>
      </c>
    </row>
    <row r="46" spans="10:33" x14ac:dyDescent="0.3">
      <c r="J46" s="121" t="s">
        <v>153</v>
      </c>
      <c r="K46" s="121"/>
      <c r="L46" s="110">
        <f>SUM(L42:L45)</f>
        <v>23</v>
      </c>
      <c r="O46" s="113"/>
      <c r="Q46" s="121" t="s">
        <v>153</v>
      </c>
      <c r="R46" s="121"/>
      <c r="S46" s="110">
        <f>SUM(S42:S45)</f>
        <v>23</v>
      </c>
      <c r="V46" s="112"/>
      <c r="X46" s="121" t="s">
        <v>153</v>
      </c>
      <c r="Y46" s="121"/>
      <c r="Z46" s="110">
        <f>SUM(Z42:Z45)</f>
        <v>23</v>
      </c>
      <c r="AC46" s="113"/>
      <c r="AE46" s="121" t="s">
        <v>153</v>
      </c>
      <c r="AF46" s="121"/>
      <c r="AG46" s="110">
        <f>SUM(AG42:AG45)</f>
        <v>23</v>
      </c>
    </row>
    <row r="47" spans="10:33" x14ac:dyDescent="0.3">
      <c r="J47" s="120" t="s">
        <v>205</v>
      </c>
      <c r="K47" s="120"/>
      <c r="L47" s="120"/>
      <c r="O47" s="113"/>
      <c r="Q47" s="120" t="s">
        <v>205</v>
      </c>
      <c r="R47" s="120"/>
      <c r="S47" s="120"/>
      <c r="V47" s="112"/>
      <c r="X47" s="120" t="s">
        <v>205</v>
      </c>
      <c r="Y47" s="120"/>
      <c r="Z47" s="120"/>
      <c r="AC47" s="113"/>
      <c r="AE47" s="120" t="s">
        <v>205</v>
      </c>
      <c r="AF47" s="120"/>
      <c r="AG47" s="120"/>
    </row>
    <row r="48" spans="10:33" x14ac:dyDescent="0.3">
      <c r="J48" s="114" t="s">
        <v>187</v>
      </c>
      <c r="K48" s="114"/>
      <c r="L48" s="109">
        <v>12</v>
      </c>
      <c r="O48" s="113"/>
      <c r="Q48" s="114" t="s">
        <v>187</v>
      </c>
      <c r="R48" s="114"/>
      <c r="S48" s="109">
        <v>12</v>
      </c>
      <c r="V48" s="112"/>
      <c r="X48" s="114" t="s">
        <v>187</v>
      </c>
      <c r="Y48" s="114"/>
      <c r="Z48" s="109">
        <v>12</v>
      </c>
      <c r="AC48" s="113"/>
      <c r="AE48" s="114" t="s">
        <v>187</v>
      </c>
      <c r="AF48" s="114"/>
      <c r="AG48" s="109">
        <v>12</v>
      </c>
    </row>
    <row r="49" spans="10:33" x14ac:dyDescent="0.3">
      <c r="J49" s="114" t="s">
        <v>203</v>
      </c>
      <c r="K49" s="114"/>
      <c r="L49" s="109">
        <f>L32</f>
        <v>5</v>
      </c>
      <c r="O49" s="113"/>
      <c r="Q49" s="114" t="s">
        <v>203</v>
      </c>
      <c r="R49" s="114"/>
      <c r="S49" s="109">
        <f>S32</f>
        <v>0</v>
      </c>
      <c r="V49" s="112"/>
      <c r="X49" s="114" t="s">
        <v>203</v>
      </c>
      <c r="Y49" s="114"/>
      <c r="Z49" s="109">
        <f>Z32</f>
        <v>5</v>
      </c>
      <c r="AC49" s="113"/>
      <c r="AE49" s="114" t="s">
        <v>203</v>
      </c>
      <c r="AF49" s="114"/>
      <c r="AG49" s="109">
        <f>AG32</f>
        <v>0</v>
      </c>
    </row>
    <row r="50" spans="10:33" x14ac:dyDescent="0.3">
      <c r="J50" s="114" t="s">
        <v>204</v>
      </c>
      <c r="K50" s="114"/>
      <c r="L50" s="109">
        <v>2</v>
      </c>
      <c r="O50" s="113"/>
      <c r="Q50" s="114" t="s">
        <v>204</v>
      </c>
      <c r="R50" s="114"/>
      <c r="S50" s="109">
        <v>2</v>
      </c>
      <c r="V50" s="112"/>
      <c r="X50" s="114" t="s">
        <v>204</v>
      </c>
      <c r="Y50" s="114"/>
      <c r="Z50" s="109">
        <v>2</v>
      </c>
      <c r="AC50" s="113"/>
      <c r="AE50" s="114" t="s">
        <v>204</v>
      </c>
      <c r="AF50" s="114"/>
      <c r="AG50" s="109">
        <v>2</v>
      </c>
    </row>
    <row r="51" spans="10:33" x14ac:dyDescent="0.3">
      <c r="J51" s="114" t="s">
        <v>201</v>
      </c>
      <c r="K51" s="114"/>
      <c r="L51" s="109">
        <v>4</v>
      </c>
      <c r="O51" s="113"/>
      <c r="Q51" s="114" t="s">
        <v>201</v>
      </c>
      <c r="R51" s="114"/>
      <c r="S51" s="109">
        <v>4</v>
      </c>
      <c r="V51" s="112"/>
      <c r="X51" s="114" t="s">
        <v>201</v>
      </c>
      <c r="Y51" s="114"/>
      <c r="Z51" s="109">
        <v>4</v>
      </c>
      <c r="AC51" s="113"/>
      <c r="AE51" s="114" t="s">
        <v>201</v>
      </c>
      <c r="AF51" s="114"/>
      <c r="AG51" s="109">
        <v>4</v>
      </c>
    </row>
    <row r="52" spans="10:33" x14ac:dyDescent="0.3">
      <c r="J52" s="118" t="s">
        <v>153</v>
      </c>
      <c r="K52" s="118"/>
      <c r="L52" s="111">
        <f>SUM(L48:L51)</f>
        <v>23</v>
      </c>
      <c r="O52" s="113"/>
      <c r="Q52" s="118" t="s">
        <v>153</v>
      </c>
      <c r="R52" s="118"/>
      <c r="S52" s="111">
        <f>SUM(S48:S51)</f>
        <v>18</v>
      </c>
      <c r="V52" s="112"/>
      <c r="X52" s="118" t="s">
        <v>153</v>
      </c>
      <c r="Y52" s="118"/>
      <c r="Z52" s="111">
        <f>SUM(Z48:Z51)</f>
        <v>23</v>
      </c>
      <c r="AC52" s="113"/>
      <c r="AE52" s="118" t="s">
        <v>153</v>
      </c>
      <c r="AF52" s="118"/>
      <c r="AG52" s="111">
        <f>SUM(AG48:AG51)</f>
        <v>18</v>
      </c>
    </row>
  </sheetData>
  <mergeCells count="184">
    <mergeCell ref="B2:K2"/>
    <mergeCell ref="I5:L6"/>
    <mergeCell ref="P5:S6"/>
    <mergeCell ref="W5:Z6"/>
    <mergeCell ref="I8:K8"/>
    <mergeCell ref="P8:R8"/>
    <mergeCell ref="W8:Y8"/>
    <mergeCell ref="AD8:AF8"/>
    <mergeCell ref="AD5:AG6"/>
    <mergeCell ref="I7:L7"/>
    <mergeCell ref="P7:S7"/>
    <mergeCell ref="W7:Z7"/>
    <mergeCell ref="AD7:AG7"/>
    <mergeCell ref="AD11:AF11"/>
    <mergeCell ref="I12:K12"/>
    <mergeCell ref="P12:R12"/>
    <mergeCell ref="W12:Y12"/>
    <mergeCell ref="AD12:AF12"/>
    <mergeCell ref="I11:K11"/>
    <mergeCell ref="P11:R11"/>
    <mergeCell ref="W11:Y11"/>
    <mergeCell ref="AD9:AF9"/>
    <mergeCell ref="I10:K10"/>
    <mergeCell ref="P10:R10"/>
    <mergeCell ref="W10:Y10"/>
    <mergeCell ref="AD10:AF10"/>
    <mergeCell ref="I9:K9"/>
    <mergeCell ref="P9:R9"/>
    <mergeCell ref="W9:Y9"/>
    <mergeCell ref="AD15:AF15"/>
    <mergeCell ref="I16:K16"/>
    <mergeCell ref="P16:R16"/>
    <mergeCell ref="W16:Y16"/>
    <mergeCell ref="AD16:AF16"/>
    <mergeCell ref="I15:K15"/>
    <mergeCell ref="P15:R15"/>
    <mergeCell ref="W15:Y15"/>
    <mergeCell ref="AD13:AF13"/>
    <mergeCell ref="I14:L14"/>
    <mergeCell ref="P14:S14"/>
    <mergeCell ref="W14:Z14"/>
    <mergeCell ref="AD14:AG14"/>
    <mergeCell ref="I13:K13"/>
    <mergeCell ref="P13:R13"/>
    <mergeCell ref="W13:Y13"/>
    <mergeCell ref="AD19:AF19"/>
    <mergeCell ref="I20:K20"/>
    <mergeCell ref="P20:R20"/>
    <mergeCell ref="W20:Y20"/>
    <mergeCell ref="AD20:AF20"/>
    <mergeCell ref="I19:K19"/>
    <mergeCell ref="P19:R19"/>
    <mergeCell ref="W19:Y19"/>
    <mergeCell ref="AD17:AF17"/>
    <mergeCell ref="I18:K18"/>
    <mergeCell ref="P18:R18"/>
    <mergeCell ref="W18:Y18"/>
    <mergeCell ref="AD18:AF18"/>
    <mergeCell ref="I17:K17"/>
    <mergeCell ref="P17:R17"/>
    <mergeCell ref="W17:Y17"/>
    <mergeCell ref="AE25:AF25"/>
    <mergeCell ref="J26:K26"/>
    <mergeCell ref="Q26:R26"/>
    <mergeCell ref="X26:Y26"/>
    <mergeCell ref="AE26:AF26"/>
    <mergeCell ref="J25:K25"/>
    <mergeCell ref="Q25:R25"/>
    <mergeCell ref="X25:Y25"/>
    <mergeCell ref="AD21:AF21"/>
    <mergeCell ref="J24:L24"/>
    <mergeCell ref="Q24:S24"/>
    <mergeCell ref="X24:Z24"/>
    <mergeCell ref="AE24:AG24"/>
    <mergeCell ref="I21:K21"/>
    <mergeCell ref="P21:R21"/>
    <mergeCell ref="W21:Y21"/>
    <mergeCell ref="AE28:AF28"/>
    <mergeCell ref="E29:F29"/>
    <mergeCell ref="J29:K29"/>
    <mergeCell ref="Q29:R29"/>
    <mergeCell ref="X29:Y29"/>
    <mergeCell ref="AE29:AF29"/>
    <mergeCell ref="AE27:AF27"/>
    <mergeCell ref="E28:F28"/>
    <mergeCell ref="J28:K28"/>
    <mergeCell ref="Q28:R28"/>
    <mergeCell ref="X28:Y28"/>
    <mergeCell ref="E27:F27"/>
    <mergeCell ref="J27:K27"/>
    <mergeCell ref="Q27:R27"/>
    <mergeCell ref="X27:Y27"/>
    <mergeCell ref="AE31:AF31"/>
    <mergeCell ref="J32:K32"/>
    <mergeCell ref="Q32:R32"/>
    <mergeCell ref="X32:Y32"/>
    <mergeCell ref="AE32:AF32"/>
    <mergeCell ref="J31:K31"/>
    <mergeCell ref="Q31:R31"/>
    <mergeCell ref="X31:Y31"/>
    <mergeCell ref="J30:K30"/>
    <mergeCell ref="Q30:R30"/>
    <mergeCell ref="X30:Y30"/>
    <mergeCell ref="AE30:AF30"/>
    <mergeCell ref="AE35:AF35"/>
    <mergeCell ref="J36:K36"/>
    <mergeCell ref="Q36:R36"/>
    <mergeCell ref="X36:Y36"/>
    <mergeCell ref="AE36:AF36"/>
    <mergeCell ref="J35:K35"/>
    <mergeCell ref="Q35:R35"/>
    <mergeCell ref="X35:Y35"/>
    <mergeCell ref="AE33:AF33"/>
    <mergeCell ref="J34:K34"/>
    <mergeCell ref="Q34:R34"/>
    <mergeCell ref="X34:Y34"/>
    <mergeCell ref="AE34:AF34"/>
    <mergeCell ref="J33:K33"/>
    <mergeCell ref="Q33:R33"/>
    <mergeCell ref="X33:Y33"/>
    <mergeCell ref="AE39:AF39"/>
    <mergeCell ref="J40:K40"/>
    <mergeCell ref="Q40:R40"/>
    <mergeCell ref="X40:Y40"/>
    <mergeCell ref="AE40:AF40"/>
    <mergeCell ref="J39:K39"/>
    <mergeCell ref="Q39:R39"/>
    <mergeCell ref="X39:Y39"/>
    <mergeCell ref="AE37:AF37"/>
    <mergeCell ref="J38:K38"/>
    <mergeCell ref="Q38:R38"/>
    <mergeCell ref="X38:Y38"/>
    <mergeCell ref="AE38:AF38"/>
    <mergeCell ref="J37:K37"/>
    <mergeCell ref="Q37:R37"/>
    <mergeCell ref="X37:Y37"/>
    <mergeCell ref="AE43:AF43"/>
    <mergeCell ref="J44:K44"/>
    <mergeCell ref="Q44:R44"/>
    <mergeCell ref="X44:Y44"/>
    <mergeCell ref="AE44:AF44"/>
    <mergeCell ref="J43:K43"/>
    <mergeCell ref="Q43:R43"/>
    <mergeCell ref="X43:Y43"/>
    <mergeCell ref="AE41:AG41"/>
    <mergeCell ref="J42:K42"/>
    <mergeCell ref="Q42:R42"/>
    <mergeCell ref="X42:Y42"/>
    <mergeCell ref="AE42:AF42"/>
    <mergeCell ref="J41:L41"/>
    <mergeCell ref="Q41:S41"/>
    <mergeCell ref="X41:Z41"/>
    <mergeCell ref="AE47:AG47"/>
    <mergeCell ref="J48:K48"/>
    <mergeCell ref="Q48:R48"/>
    <mergeCell ref="X48:Y48"/>
    <mergeCell ref="AE48:AF48"/>
    <mergeCell ref="J47:L47"/>
    <mergeCell ref="Q47:S47"/>
    <mergeCell ref="X47:Z47"/>
    <mergeCell ref="AE45:AF45"/>
    <mergeCell ref="J46:K46"/>
    <mergeCell ref="Q46:R46"/>
    <mergeCell ref="X46:Y46"/>
    <mergeCell ref="AE46:AF46"/>
    <mergeCell ref="J45:K45"/>
    <mergeCell ref="Q45:R45"/>
    <mergeCell ref="X45:Y45"/>
    <mergeCell ref="AE51:AF51"/>
    <mergeCell ref="J52:K52"/>
    <mergeCell ref="Q52:R52"/>
    <mergeCell ref="X52:Y52"/>
    <mergeCell ref="AE52:AF52"/>
    <mergeCell ref="J51:K51"/>
    <mergeCell ref="Q51:R51"/>
    <mergeCell ref="X51:Y51"/>
    <mergeCell ref="AE49:AF49"/>
    <mergeCell ref="J50:K50"/>
    <mergeCell ref="Q50:R50"/>
    <mergeCell ref="X50:Y50"/>
    <mergeCell ref="AE50:AF50"/>
    <mergeCell ref="J49:K49"/>
    <mergeCell ref="Q49:R49"/>
    <mergeCell ref="X49:Y49"/>
  </mergeCells>
  <pageMargins left="0.7" right="0.7" top="0.75" bottom="0.75" header="0.3" footer="0.3"/>
  <pageSetup paperSize="9" scale="22"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B7089-78BA-42B9-B8E9-17A9C1265168}">
  <dimension ref="B4:L45"/>
  <sheetViews>
    <sheetView showGridLines="0" zoomScaleNormal="100" workbookViewId="0">
      <selection activeCell="H18" sqref="H18"/>
    </sheetView>
  </sheetViews>
  <sheetFormatPr baseColWidth="10" defaultRowHeight="14.4" x14ac:dyDescent="0.3"/>
  <cols>
    <col min="2" max="2" width="16.109375" customWidth="1"/>
    <col min="3" max="3" width="23.5546875" customWidth="1"/>
    <col min="4" max="4" width="18.77734375" customWidth="1"/>
    <col min="5" max="5" width="19" customWidth="1"/>
    <col min="6" max="6" width="18.33203125" customWidth="1"/>
    <col min="7" max="7" width="17.21875" customWidth="1"/>
    <col min="8" max="8" width="17" customWidth="1"/>
    <col min="9" max="9" width="18.21875" customWidth="1"/>
    <col min="10" max="10" width="17.77734375" customWidth="1"/>
    <col min="11" max="11" width="18.44140625" customWidth="1"/>
    <col min="12" max="12" width="17.33203125" customWidth="1"/>
    <col min="13" max="13" width="18.21875" customWidth="1"/>
    <col min="14" max="14" width="18.6640625" customWidth="1"/>
    <col min="15" max="15" width="18.88671875" customWidth="1"/>
    <col min="16" max="16" width="19.44140625" customWidth="1"/>
    <col min="17" max="17" width="18.88671875" customWidth="1"/>
  </cols>
  <sheetData>
    <row r="4" spans="2:10" ht="20.399999999999999" customHeight="1" x14ac:dyDescent="0.3">
      <c r="C4" s="254" t="s">
        <v>137</v>
      </c>
      <c r="D4" s="255"/>
      <c r="E4" s="255"/>
      <c r="F4" s="255"/>
      <c r="G4" s="255"/>
      <c r="H4" s="257" t="s">
        <v>27</v>
      </c>
      <c r="I4" s="258"/>
      <c r="J4" s="258"/>
    </row>
    <row r="5" spans="2:10" ht="64.8" customHeight="1" x14ac:dyDescent="0.3">
      <c r="B5" s="80" t="s">
        <v>2</v>
      </c>
      <c r="C5" s="80" t="s">
        <v>131</v>
      </c>
      <c r="D5" s="80" t="s">
        <v>138</v>
      </c>
      <c r="E5" s="80" t="s">
        <v>132</v>
      </c>
      <c r="F5" s="80" t="s">
        <v>133</v>
      </c>
      <c r="G5" s="82" t="s">
        <v>130</v>
      </c>
      <c r="H5" s="86" t="s">
        <v>138</v>
      </c>
      <c r="I5" s="80" t="s">
        <v>132</v>
      </c>
      <c r="J5" s="80" t="s">
        <v>133</v>
      </c>
    </row>
    <row r="6" spans="2:10" ht="21" customHeight="1" x14ac:dyDescent="0.3">
      <c r="B6" s="59" t="s">
        <v>129</v>
      </c>
      <c r="C6" s="3"/>
      <c r="D6" s="52"/>
      <c r="E6" s="53"/>
      <c r="F6" s="53"/>
      <c r="G6" s="83"/>
      <c r="H6" s="85"/>
      <c r="I6" s="5"/>
      <c r="J6" s="5"/>
    </row>
    <row r="7" spans="2:10" ht="22.8" customHeight="1" x14ac:dyDescent="0.3">
      <c r="B7" s="59" t="s">
        <v>32</v>
      </c>
      <c r="C7" s="15"/>
      <c r="D7" s="14"/>
      <c r="E7" s="16"/>
      <c r="F7" s="16"/>
      <c r="G7" s="84"/>
      <c r="H7" s="85"/>
      <c r="I7" s="5"/>
      <c r="J7" s="5"/>
    </row>
    <row r="8" spans="2:10" ht="23.4" customHeight="1" x14ac:dyDescent="0.3">
      <c r="B8" s="59" t="s">
        <v>33</v>
      </c>
      <c r="C8" s="3"/>
      <c r="D8" s="52"/>
      <c r="E8" s="53"/>
      <c r="F8" s="53"/>
      <c r="G8" s="83"/>
      <c r="H8" s="85"/>
      <c r="I8" s="5"/>
      <c r="J8" s="5"/>
    </row>
    <row r="9" spans="2:10" ht="23.4" customHeight="1" x14ac:dyDescent="0.3">
      <c r="B9" s="59" t="s">
        <v>6</v>
      </c>
      <c r="C9" s="15"/>
      <c r="D9" s="14"/>
      <c r="E9" s="16"/>
      <c r="F9" s="16"/>
      <c r="G9" s="84"/>
      <c r="H9" s="85"/>
      <c r="I9" s="5"/>
      <c r="J9" s="5"/>
    </row>
    <row r="12" spans="2:10" ht="21.6" customHeight="1" x14ac:dyDescent="0.3">
      <c r="C12" s="254" t="s">
        <v>139</v>
      </c>
      <c r="D12" s="255"/>
      <c r="E12" s="255"/>
      <c r="F12" s="256"/>
    </row>
    <row r="13" spans="2:10" ht="57.6" x14ac:dyDescent="0.3">
      <c r="B13" s="80" t="s">
        <v>2</v>
      </c>
      <c r="C13" s="81" t="s">
        <v>66</v>
      </c>
      <c r="D13" s="81" t="s">
        <v>134</v>
      </c>
      <c r="E13" s="81" t="s">
        <v>135</v>
      </c>
      <c r="F13" s="81" t="s">
        <v>136</v>
      </c>
    </row>
    <row r="14" spans="2:10" ht="22.8" customHeight="1" x14ac:dyDescent="0.3">
      <c r="B14" s="59" t="s">
        <v>129</v>
      </c>
      <c r="C14" s="8"/>
      <c r="D14" s="8"/>
      <c r="E14" s="8"/>
      <c r="F14" s="14"/>
    </row>
    <row r="15" spans="2:10" ht="21" customHeight="1" x14ac:dyDescent="0.3">
      <c r="B15" s="59" t="s">
        <v>32</v>
      </c>
      <c r="C15" s="8"/>
      <c r="D15" s="8"/>
      <c r="E15" s="8"/>
      <c r="F15" s="14"/>
    </row>
    <row r="16" spans="2:10" ht="23.4" customHeight="1" x14ac:dyDescent="0.3">
      <c r="B16" s="59" t="s">
        <v>33</v>
      </c>
      <c r="C16" s="8"/>
      <c r="D16" s="8"/>
      <c r="E16" s="8"/>
      <c r="F16" s="14"/>
    </row>
    <row r="17" spans="2:12" ht="24" customHeight="1" x14ac:dyDescent="0.3">
      <c r="B17" s="59" t="s">
        <v>6</v>
      </c>
      <c r="C17" s="8"/>
      <c r="D17" s="8"/>
      <c r="E17" s="8"/>
      <c r="F17" s="8"/>
    </row>
    <row r="24" spans="2:12" x14ac:dyDescent="0.3">
      <c r="D24" s="130" t="s">
        <v>26</v>
      </c>
      <c r="E24" s="130"/>
      <c r="F24" s="130"/>
      <c r="G24" s="130"/>
      <c r="H24" s="130"/>
      <c r="I24" s="129" t="s">
        <v>27</v>
      </c>
      <c r="J24" s="129"/>
      <c r="K24" s="129"/>
      <c r="L24" s="129"/>
    </row>
    <row r="25" spans="2:12" ht="72" x14ac:dyDescent="0.3">
      <c r="B25" s="58" t="s">
        <v>2</v>
      </c>
      <c r="C25" s="59" t="s">
        <v>118</v>
      </c>
      <c r="D25" s="60" t="s">
        <v>30</v>
      </c>
      <c r="E25" s="60" t="s">
        <v>28</v>
      </c>
      <c r="F25" s="79" t="s">
        <v>112</v>
      </c>
      <c r="G25" s="79" t="s">
        <v>111</v>
      </c>
      <c r="H25" s="60" t="s">
        <v>113</v>
      </c>
      <c r="I25" s="77" t="s">
        <v>125</v>
      </c>
      <c r="J25" s="77" t="s">
        <v>126</v>
      </c>
      <c r="K25" s="77" t="s">
        <v>127</v>
      </c>
      <c r="L25" s="78" t="s">
        <v>128</v>
      </c>
    </row>
    <row r="26" spans="2:12" x14ac:dyDescent="0.3">
      <c r="B26" s="61" t="s">
        <v>6</v>
      </c>
      <c r="C26" s="29" t="s">
        <v>119</v>
      </c>
      <c r="D26" s="5"/>
      <c r="E26" s="5"/>
      <c r="F26" s="5"/>
      <c r="G26" s="5"/>
      <c r="H26" s="5"/>
      <c r="I26" s="5"/>
      <c r="J26" s="5"/>
      <c r="K26" s="5"/>
      <c r="L26" s="5"/>
    </row>
    <row r="27" spans="2:12" x14ac:dyDescent="0.3">
      <c r="B27" s="61" t="s">
        <v>31</v>
      </c>
      <c r="C27" s="29" t="s">
        <v>119</v>
      </c>
      <c r="D27" s="5"/>
      <c r="E27" s="5"/>
      <c r="F27" s="5"/>
      <c r="G27" s="5"/>
      <c r="H27" s="5"/>
      <c r="I27" s="5"/>
      <c r="J27" s="5"/>
      <c r="K27" s="5"/>
      <c r="L27" s="5"/>
    </row>
    <row r="28" spans="2:12" x14ac:dyDescent="0.3">
      <c r="B28" s="61" t="s">
        <v>61</v>
      </c>
      <c r="C28" s="29" t="s">
        <v>119</v>
      </c>
      <c r="D28" s="5"/>
      <c r="E28" s="5"/>
      <c r="F28" s="5"/>
      <c r="G28" s="5"/>
      <c r="H28" s="5"/>
      <c r="I28" s="5"/>
      <c r="J28" s="5"/>
      <c r="K28" s="5"/>
      <c r="L28" s="5"/>
    </row>
    <row r="29" spans="2:12" ht="15" thickBot="1" x14ac:dyDescent="0.35">
      <c r="B29" s="62" t="s">
        <v>78</v>
      </c>
      <c r="C29" s="63" t="s">
        <v>119</v>
      </c>
      <c r="D29" s="20"/>
      <c r="E29" s="20"/>
      <c r="F29" s="20"/>
      <c r="G29" s="20"/>
      <c r="H29" s="20"/>
      <c r="I29" s="20"/>
      <c r="J29" s="20"/>
      <c r="K29" s="20"/>
      <c r="L29" s="20"/>
    </row>
    <row r="30" spans="2:12" x14ac:dyDescent="0.3">
      <c r="B30" s="64" t="s">
        <v>6</v>
      </c>
      <c r="C30" s="65" t="s">
        <v>122</v>
      </c>
      <c r="D30" s="19"/>
      <c r="E30" s="19"/>
      <c r="F30" s="19"/>
      <c r="G30" s="19"/>
      <c r="H30" s="19"/>
      <c r="I30" s="19"/>
      <c r="J30" s="19"/>
      <c r="K30" s="19"/>
      <c r="L30" s="19"/>
    </row>
    <row r="31" spans="2:12" x14ac:dyDescent="0.3">
      <c r="B31" s="61" t="s">
        <v>31</v>
      </c>
      <c r="C31" s="29" t="s">
        <v>122</v>
      </c>
      <c r="D31" s="5"/>
      <c r="E31" s="5"/>
      <c r="F31" s="5"/>
      <c r="G31" s="5"/>
      <c r="H31" s="5"/>
      <c r="I31" s="5"/>
      <c r="J31" s="5"/>
      <c r="K31" s="5"/>
      <c r="L31" s="5"/>
    </row>
    <row r="32" spans="2:12" x14ac:dyDescent="0.3">
      <c r="B32" s="61" t="s">
        <v>61</v>
      </c>
      <c r="C32" s="29" t="s">
        <v>122</v>
      </c>
      <c r="D32" s="5"/>
      <c r="E32" s="5"/>
      <c r="F32" s="5"/>
      <c r="G32" s="5"/>
      <c r="H32" s="5"/>
      <c r="I32" s="5"/>
      <c r="J32" s="5"/>
      <c r="K32" s="5"/>
      <c r="L32" s="5"/>
    </row>
    <row r="33" spans="2:12" ht="15" thickBot="1" x14ac:dyDescent="0.35">
      <c r="B33" s="62" t="s">
        <v>78</v>
      </c>
      <c r="C33" s="63" t="s">
        <v>122</v>
      </c>
      <c r="D33" s="20"/>
      <c r="E33" s="20"/>
      <c r="F33" s="20"/>
      <c r="G33" s="20"/>
      <c r="H33" s="20"/>
      <c r="I33" s="20"/>
      <c r="J33" s="20"/>
      <c r="K33" s="20"/>
      <c r="L33" s="20"/>
    </row>
    <row r="34" spans="2:12" x14ac:dyDescent="0.3">
      <c r="B34" s="64" t="s">
        <v>6</v>
      </c>
      <c r="C34" s="65" t="s">
        <v>120</v>
      </c>
      <c r="D34" s="19"/>
      <c r="E34" s="19"/>
      <c r="F34" s="19"/>
      <c r="G34" s="19"/>
      <c r="H34" s="19"/>
      <c r="I34" s="19"/>
      <c r="J34" s="19"/>
      <c r="K34" s="19"/>
      <c r="L34" s="19"/>
    </row>
    <row r="35" spans="2:12" x14ac:dyDescent="0.3">
      <c r="B35" s="61" t="s">
        <v>31</v>
      </c>
      <c r="C35" s="29" t="s">
        <v>120</v>
      </c>
      <c r="D35" s="5"/>
      <c r="E35" s="5"/>
      <c r="F35" s="5"/>
      <c r="G35" s="5"/>
      <c r="H35" s="5"/>
      <c r="I35" s="5"/>
      <c r="J35" s="5"/>
      <c r="K35" s="5"/>
      <c r="L35" s="5"/>
    </row>
    <row r="36" spans="2:12" x14ac:dyDescent="0.3">
      <c r="B36" s="61" t="s">
        <v>61</v>
      </c>
      <c r="C36" s="29" t="s">
        <v>120</v>
      </c>
      <c r="D36" s="5"/>
      <c r="E36" s="5"/>
      <c r="F36" s="5"/>
      <c r="G36" s="5"/>
      <c r="H36" s="5"/>
      <c r="I36" s="5"/>
      <c r="J36" s="5"/>
      <c r="K36" s="5"/>
      <c r="L36" s="5"/>
    </row>
    <row r="37" spans="2:12" ht="15" thickBot="1" x14ac:dyDescent="0.35">
      <c r="B37" s="62" t="s">
        <v>78</v>
      </c>
      <c r="C37" s="63" t="s">
        <v>120</v>
      </c>
      <c r="D37" s="20"/>
      <c r="E37" s="20"/>
      <c r="F37" s="20"/>
      <c r="G37" s="20"/>
      <c r="H37" s="20"/>
      <c r="I37" s="20"/>
      <c r="J37" s="20"/>
      <c r="K37" s="20"/>
      <c r="L37" s="20"/>
    </row>
    <row r="38" spans="2:12" x14ac:dyDescent="0.3">
      <c r="B38" s="64" t="s">
        <v>6</v>
      </c>
      <c r="C38" s="65" t="s">
        <v>123</v>
      </c>
      <c r="D38" s="19"/>
      <c r="E38" s="19"/>
      <c r="F38" s="19"/>
      <c r="G38" s="19"/>
      <c r="H38" s="19"/>
      <c r="I38" s="19"/>
      <c r="J38" s="19"/>
      <c r="K38" s="19"/>
      <c r="L38" s="19"/>
    </row>
    <row r="39" spans="2:12" x14ac:dyDescent="0.3">
      <c r="B39" s="61" t="s">
        <v>31</v>
      </c>
      <c r="C39" s="29" t="s">
        <v>123</v>
      </c>
      <c r="D39" s="5"/>
      <c r="E39" s="5"/>
      <c r="F39" s="5"/>
      <c r="G39" s="5"/>
      <c r="H39" s="5"/>
      <c r="I39" s="5"/>
      <c r="J39" s="5"/>
      <c r="K39" s="5"/>
      <c r="L39" s="5"/>
    </row>
    <row r="40" spans="2:12" x14ac:dyDescent="0.3">
      <c r="B40" s="61" t="s">
        <v>61</v>
      </c>
      <c r="C40" s="29" t="s">
        <v>123</v>
      </c>
      <c r="D40" s="5"/>
      <c r="E40" s="5"/>
      <c r="F40" s="5"/>
      <c r="G40" s="5"/>
      <c r="H40" s="5"/>
      <c r="I40" s="5"/>
      <c r="J40" s="5"/>
      <c r="K40" s="5"/>
      <c r="L40" s="5"/>
    </row>
    <row r="41" spans="2:12" ht="15" thickBot="1" x14ac:dyDescent="0.35">
      <c r="B41" s="62" t="s">
        <v>78</v>
      </c>
      <c r="C41" s="63" t="s">
        <v>123</v>
      </c>
      <c r="D41" s="20"/>
      <c r="E41" s="20"/>
      <c r="F41" s="20"/>
      <c r="G41" s="20"/>
      <c r="H41" s="20"/>
      <c r="I41" s="20"/>
      <c r="J41" s="20"/>
      <c r="K41" s="20"/>
      <c r="L41" s="20"/>
    </row>
    <row r="42" spans="2:12" x14ac:dyDescent="0.3">
      <c r="B42" s="66" t="s">
        <v>6</v>
      </c>
      <c r="C42" s="67" t="s">
        <v>121</v>
      </c>
      <c r="D42" s="68"/>
      <c r="E42" s="68"/>
      <c r="F42" s="68"/>
      <c r="G42" s="68"/>
      <c r="H42" s="68"/>
      <c r="I42" s="71"/>
      <c r="J42" s="71"/>
      <c r="K42" s="71"/>
      <c r="L42" s="71"/>
    </row>
    <row r="43" spans="2:12" x14ac:dyDescent="0.3">
      <c r="B43" s="69" t="s">
        <v>31</v>
      </c>
      <c r="C43" s="28" t="s">
        <v>121</v>
      </c>
      <c r="D43" s="70"/>
      <c r="E43" s="70"/>
      <c r="F43" s="70"/>
      <c r="G43" s="70"/>
      <c r="H43" s="70"/>
      <c r="I43" s="72"/>
      <c r="J43" s="72"/>
      <c r="K43" s="72"/>
      <c r="L43" s="72"/>
    </row>
    <row r="44" spans="2:12" x14ac:dyDescent="0.3">
      <c r="B44" s="69" t="s">
        <v>61</v>
      </c>
      <c r="C44" s="28" t="s">
        <v>121</v>
      </c>
      <c r="D44" s="70"/>
      <c r="E44" s="70"/>
      <c r="F44" s="70"/>
      <c r="G44" s="70"/>
      <c r="H44" s="70"/>
      <c r="I44" s="72"/>
      <c r="J44" s="72"/>
      <c r="K44" s="72"/>
      <c r="L44" s="72"/>
    </row>
    <row r="45" spans="2:12" x14ac:dyDescent="0.3">
      <c r="B45" s="69" t="s">
        <v>78</v>
      </c>
      <c r="C45" s="28" t="s">
        <v>121</v>
      </c>
      <c r="D45" s="70"/>
      <c r="E45" s="70"/>
      <c r="F45" s="70"/>
      <c r="G45" s="70"/>
      <c r="H45" s="70"/>
      <c r="I45" s="72"/>
      <c r="J45" s="72"/>
      <c r="K45" s="72"/>
      <c r="L45" s="72"/>
    </row>
  </sheetData>
  <mergeCells count="5">
    <mergeCell ref="C12:F12"/>
    <mergeCell ref="D24:H24"/>
    <mergeCell ref="I24:L24"/>
    <mergeCell ref="C4:G4"/>
    <mergeCell ref="H4:J4"/>
  </mergeCells>
  <pageMargins left="0.7" right="0.7" top="0.75" bottom="0.75" header="0.3" footer="0.3"/>
  <pageSetup paperSize="9" scale="30" orientation="portrait" horizontalDpi="360" verticalDpi="36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848BA-A28B-41F2-8758-F5FBB64FC550}">
  <dimension ref="B2:AH52"/>
  <sheetViews>
    <sheetView tabSelected="1" topLeftCell="E1" zoomScale="90" zoomScaleNormal="90" workbookViewId="0">
      <selection activeCell="AB16" sqref="AB16"/>
    </sheetView>
  </sheetViews>
  <sheetFormatPr baseColWidth="10" defaultRowHeight="14.4" x14ac:dyDescent="0.3"/>
  <sheetData>
    <row r="2" spans="2:34" ht="21" x14ac:dyDescent="0.4">
      <c r="B2" s="122" t="s">
        <v>206</v>
      </c>
      <c r="C2" s="122"/>
      <c r="D2" s="122"/>
      <c r="E2" s="122"/>
      <c r="F2" s="122"/>
      <c r="G2" s="122"/>
      <c r="H2" s="122"/>
      <c r="I2" s="122"/>
      <c r="J2" s="122"/>
      <c r="K2" s="122"/>
    </row>
    <row r="5" spans="2:34" x14ac:dyDescent="0.3">
      <c r="I5" s="125" t="s">
        <v>220</v>
      </c>
      <c r="J5" s="126"/>
      <c r="K5" s="126"/>
      <c r="L5" s="126"/>
      <c r="O5" s="113"/>
      <c r="P5" s="125" t="s">
        <v>221</v>
      </c>
      <c r="Q5" s="126"/>
      <c r="R5" s="126"/>
      <c r="S5" s="126"/>
      <c r="V5" s="112"/>
      <c r="W5" s="125" t="s">
        <v>222</v>
      </c>
      <c r="X5" s="126"/>
      <c r="Y5" s="126"/>
      <c r="Z5" s="126"/>
      <c r="AC5" s="113"/>
      <c r="AD5" s="125" t="s">
        <v>223</v>
      </c>
      <c r="AE5" s="126"/>
      <c r="AF5" s="126"/>
      <c r="AG5" s="126"/>
    </row>
    <row r="6" spans="2:34" ht="14.4" customHeight="1" x14ac:dyDescent="0.3">
      <c r="I6" s="126"/>
      <c r="J6" s="126"/>
      <c r="K6" s="126"/>
      <c r="L6" s="126"/>
      <c r="O6" s="113"/>
      <c r="P6" s="126"/>
      <c r="Q6" s="126"/>
      <c r="R6" s="126"/>
      <c r="S6" s="126"/>
      <c r="V6" s="112"/>
      <c r="W6" s="126"/>
      <c r="X6" s="126"/>
      <c r="Y6" s="126"/>
      <c r="Z6" s="126"/>
      <c r="AC6" s="113"/>
      <c r="AD6" s="126"/>
      <c r="AE6" s="126"/>
      <c r="AF6" s="126"/>
      <c r="AG6" s="126"/>
    </row>
    <row r="7" spans="2:34" x14ac:dyDescent="0.3">
      <c r="I7" s="117" t="s">
        <v>152</v>
      </c>
      <c r="J7" s="117"/>
      <c r="K7" s="117"/>
      <c r="L7" s="117"/>
      <c r="O7" s="113"/>
      <c r="P7" s="117" t="s">
        <v>152</v>
      </c>
      <c r="Q7" s="117"/>
      <c r="R7" s="117"/>
      <c r="S7" s="117"/>
      <c r="V7" s="112"/>
      <c r="W7" s="117" t="s">
        <v>152</v>
      </c>
      <c r="X7" s="117"/>
      <c r="Y7" s="117"/>
      <c r="Z7" s="117"/>
      <c r="AC7" s="113"/>
      <c r="AD7" s="117" t="s">
        <v>152</v>
      </c>
      <c r="AE7" s="117"/>
      <c r="AF7" s="117"/>
      <c r="AG7" s="117"/>
    </row>
    <row r="8" spans="2:34" x14ac:dyDescent="0.3">
      <c r="I8" s="115" t="s">
        <v>153</v>
      </c>
      <c r="J8" s="115"/>
      <c r="K8" s="115"/>
      <c r="L8" s="88">
        <f>L40</f>
        <v>47</v>
      </c>
      <c r="O8" s="113"/>
      <c r="P8" s="115" t="s">
        <v>153</v>
      </c>
      <c r="Q8" s="115"/>
      <c r="R8" s="115"/>
      <c r="S8" s="88">
        <f>S40</f>
        <v>22</v>
      </c>
      <c r="V8" s="112"/>
      <c r="W8" s="115" t="s">
        <v>153</v>
      </c>
      <c r="X8" s="115"/>
      <c r="Y8" s="115"/>
      <c r="Z8" s="88">
        <f>Z40</f>
        <v>67</v>
      </c>
      <c r="AC8" s="113"/>
      <c r="AD8" s="115" t="s">
        <v>153</v>
      </c>
      <c r="AE8" s="115"/>
      <c r="AF8" s="115"/>
      <c r="AG8" s="88">
        <f>AG40</f>
        <v>47</v>
      </c>
    </row>
    <row r="9" spans="2:34" x14ac:dyDescent="0.3">
      <c r="I9" s="115" t="s">
        <v>154</v>
      </c>
      <c r="J9" s="115"/>
      <c r="K9" s="115"/>
      <c r="L9" s="88">
        <v>1</v>
      </c>
      <c r="M9" s="104" t="s">
        <v>211</v>
      </c>
      <c r="O9" s="113"/>
      <c r="P9" s="115" t="s">
        <v>154</v>
      </c>
      <c r="Q9" s="115"/>
      <c r="R9" s="115"/>
      <c r="S9" s="88">
        <v>1</v>
      </c>
      <c r="T9" s="104" t="s">
        <v>211</v>
      </c>
      <c r="V9" s="112"/>
      <c r="W9" s="115" t="s">
        <v>154</v>
      </c>
      <c r="X9" s="115"/>
      <c r="Y9" s="115"/>
      <c r="Z9" s="88">
        <v>1</v>
      </c>
      <c r="AA9" s="104" t="s">
        <v>211</v>
      </c>
      <c r="AC9" s="113"/>
      <c r="AD9" s="115" t="s">
        <v>154</v>
      </c>
      <c r="AE9" s="115"/>
      <c r="AF9" s="115"/>
      <c r="AG9" s="88">
        <v>1</v>
      </c>
      <c r="AH9" s="104" t="s">
        <v>211</v>
      </c>
    </row>
    <row r="10" spans="2:34" x14ac:dyDescent="0.3">
      <c r="I10" s="115" t="s">
        <v>155</v>
      </c>
      <c r="J10" s="115"/>
      <c r="K10" s="115"/>
      <c r="L10" s="88">
        <f>L9*24*30</f>
        <v>720</v>
      </c>
      <c r="O10" s="113"/>
      <c r="P10" s="115" t="s">
        <v>155</v>
      </c>
      <c r="Q10" s="115"/>
      <c r="R10" s="115"/>
      <c r="S10" s="88">
        <f>S9*24*30</f>
        <v>720</v>
      </c>
      <c r="V10" s="112"/>
      <c r="W10" s="115" t="s">
        <v>155</v>
      </c>
      <c r="X10" s="115"/>
      <c r="Y10" s="115"/>
      <c r="Z10" s="88">
        <f>Z9*24*30</f>
        <v>720</v>
      </c>
      <c r="AC10" s="113"/>
      <c r="AD10" s="115" t="s">
        <v>155</v>
      </c>
      <c r="AE10" s="115"/>
      <c r="AF10" s="115"/>
      <c r="AG10" s="88">
        <f>AG9*24*30</f>
        <v>720</v>
      </c>
    </row>
    <row r="11" spans="2:34" x14ac:dyDescent="0.3">
      <c r="I11" s="115" t="s">
        <v>156</v>
      </c>
      <c r="J11" s="115"/>
      <c r="K11" s="115"/>
      <c r="L11" s="88">
        <v>17</v>
      </c>
      <c r="O11" s="113"/>
      <c r="P11" s="115" t="s">
        <v>156</v>
      </c>
      <c r="Q11" s="115"/>
      <c r="R11" s="115"/>
      <c r="S11" s="88">
        <v>17</v>
      </c>
      <c r="V11" s="112"/>
      <c r="W11" s="115" t="s">
        <v>156</v>
      </c>
      <c r="X11" s="115"/>
      <c r="Y11" s="115"/>
      <c r="Z11" s="88">
        <v>17</v>
      </c>
      <c r="AC11" s="113"/>
      <c r="AD11" s="115" t="s">
        <v>156</v>
      </c>
      <c r="AE11" s="115"/>
      <c r="AF11" s="115"/>
      <c r="AG11" s="88">
        <v>17</v>
      </c>
    </row>
    <row r="12" spans="2:34" x14ac:dyDescent="0.3">
      <c r="I12" s="115" t="s">
        <v>157</v>
      </c>
      <c r="J12" s="115"/>
      <c r="K12" s="115"/>
      <c r="L12" s="88">
        <v>48</v>
      </c>
      <c r="O12" s="113"/>
      <c r="P12" s="115" t="s">
        <v>157</v>
      </c>
      <c r="Q12" s="115"/>
      <c r="R12" s="115"/>
      <c r="S12" s="88">
        <v>48</v>
      </c>
      <c r="V12" s="112"/>
      <c r="W12" s="115" t="s">
        <v>157</v>
      </c>
      <c r="X12" s="115"/>
      <c r="Y12" s="115"/>
      <c r="Z12" s="88">
        <v>48</v>
      </c>
      <c r="AC12" s="113"/>
      <c r="AD12" s="115" t="s">
        <v>157</v>
      </c>
      <c r="AE12" s="115"/>
      <c r="AF12" s="115"/>
      <c r="AG12" s="88">
        <v>48</v>
      </c>
    </row>
    <row r="13" spans="2:34" x14ac:dyDescent="0.3">
      <c r="I13" s="115" t="s">
        <v>158</v>
      </c>
      <c r="J13" s="115"/>
      <c r="K13" s="115"/>
      <c r="L13" s="88">
        <v>512</v>
      </c>
      <c r="O13" s="113"/>
      <c r="P13" s="115" t="s">
        <v>158</v>
      </c>
      <c r="Q13" s="115"/>
      <c r="R13" s="115"/>
      <c r="S13" s="88">
        <v>512</v>
      </c>
      <c r="V13" s="112"/>
      <c r="W13" s="115" t="s">
        <v>158</v>
      </c>
      <c r="X13" s="115"/>
      <c r="Y13" s="115"/>
      <c r="Z13" s="88">
        <v>512</v>
      </c>
      <c r="AC13" s="113"/>
      <c r="AD13" s="115" t="s">
        <v>158</v>
      </c>
      <c r="AE13" s="115"/>
      <c r="AF13" s="115"/>
      <c r="AG13" s="88">
        <v>512</v>
      </c>
    </row>
    <row r="14" spans="2:34" x14ac:dyDescent="0.3">
      <c r="I14" s="117" t="s">
        <v>159</v>
      </c>
      <c r="J14" s="117"/>
      <c r="K14" s="117"/>
      <c r="L14" s="117"/>
      <c r="O14" s="113"/>
      <c r="P14" s="117" t="s">
        <v>159</v>
      </c>
      <c r="Q14" s="117"/>
      <c r="R14" s="117"/>
      <c r="S14" s="117"/>
      <c r="V14" s="112"/>
      <c r="W14" s="117" t="s">
        <v>159</v>
      </c>
      <c r="X14" s="117"/>
      <c r="Y14" s="117"/>
      <c r="Z14" s="117"/>
      <c r="AC14" s="113"/>
      <c r="AD14" s="117" t="s">
        <v>159</v>
      </c>
      <c r="AE14" s="117"/>
      <c r="AF14" s="117"/>
      <c r="AG14" s="117"/>
    </row>
    <row r="15" spans="2:34" x14ac:dyDescent="0.3">
      <c r="I15" s="115" t="s">
        <v>160</v>
      </c>
      <c r="J15" s="115"/>
      <c r="K15" s="115"/>
      <c r="L15" s="107">
        <f>L8*L10/1024</f>
        <v>33.046875</v>
      </c>
      <c r="O15" s="113"/>
      <c r="P15" s="115" t="s">
        <v>160</v>
      </c>
      <c r="Q15" s="115"/>
      <c r="R15" s="115"/>
      <c r="S15" s="107">
        <f>S8*S10/1024</f>
        <v>15.46875</v>
      </c>
      <c r="V15" s="112"/>
      <c r="W15" s="115" t="s">
        <v>160</v>
      </c>
      <c r="X15" s="115"/>
      <c r="Y15" s="115"/>
      <c r="Z15" s="107">
        <f>Z8*Z10/1024</f>
        <v>47.109375</v>
      </c>
      <c r="AC15" s="113"/>
      <c r="AD15" s="115" t="s">
        <v>160</v>
      </c>
      <c r="AE15" s="115"/>
      <c r="AF15" s="115"/>
      <c r="AG15" s="107">
        <f>AG8*AG10/1024</f>
        <v>33.046875</v>
      </c>
    </row>
    <row r="16" spans="2:34" x14ac:dyDescent="0.3">
      <c r="I16" s="115" t="s">
        <v>161</v>
      </c>
      <c r="J16" s="115"/>
      <c r="K16" s="115"/>
      <c r="L16" s="107">
        <f>L11*L46*30/1024</f>
        <v>11.455078125</v>
      </c>
      <c r="O16" s="113"/>
      <c r="P16" s="115" t="s">
        <v>161</v>
      </c>
      <c r="Q16" s="115"/>
      <c r="R16" s="115"/>
      <c r="S16" s="107">
        <f>S11*S46*30/1024</f>
        <v>11.455078125</v>
      </c>
      <c r="V16" s="112"/>
      <c r="W16" s="115" t="s">
        <v>161</v>
      </c>
      <c r="X16" s="115"/>
      <c r="Y16" s="115"/>
      <c r="Z16" s="107">
        <f>Z11*Z46*30/1024</f>
        <v>11.455078125</v>
      </c>
      <c r="AC16" s="113"/>
      <c r="AD16" s="115" t="s">
        <v>161</v>
      </c>
      <c r="AE16" s="115"/>
      <c r="AF16" s="115"/>
      <c r="AG16" s="107">
        <f>AG11*AG46*30/1024</f>
        <v>11.455078125</v>
      </c>
    </row>
    <row r="17" spans="5:33" x14ac:dyDescent="0.3">
      <c r="I17" s="115" t="s">
        <v>162</v>
      </c>
      <c r="J17" s="115"/>
      <c r="K17" s="115"/>
      <c r="L17" s="107">
        <f>L12*L52*30/1024</f>
        <v>25.3125</v>
      </c>
      <c r="O17" s="113"/>
      <c r="P17" s="115" t="s">
        <v>162</v>
      </c>
      <c r="Q17" s="115"/>
      <c r="R17" s="115"/>
      <c r="S17" s="107">
        <f>S12*S52*30/1024</f>
        <v>25.3125</v>
      </c>
      <c r="V17" s="112"/>
      <c r="W17" s="115" t="s">
        <v>162</v>
      </c>
      <c r="X17" s="115"/>
      <c r="Y17" s="115"/>
      <c r="Z17" s="107">
        <f>Z12*Z52*30/1024</f>
        <v>32.34375</v>
      </c>
      <c r="AC17" s="113"/>
      <c r="AD17" s="115" t="s">
        <v>162</v>
      </c>
      <c r="AE17" s="115"/>
      <c r="AF17" s="115"/>
      <c r="AG17" s="107">
        <f>AG12*AG52*30/1024</f>
        <v>25.3125</v>
      </c>
    </row>
    <row r="18" spans="5:33" x14ac:dyDescent="0.3">
      <c r="I18" s="115" t="s">
        <v>163</v>
      </c>
      <c r="J18" s="115"/>
      <c r="K18" s="115"/>
      <c r="L18" s="107">
        <f>L13/12</f>
        <v>42.666666666666664</v>
      </c>
      <c r="O18" s="113"/>
      <c r="P18" s="115" t="s">
        <v>163</v>
      </c>
      <c r="Q18" s="115"/>
      <c r="R18" s="115"/>
      <c r="S18" s="107">
        <f>S13/12</f>
        <v>42.666666666666664</v>
      </c>
      <c r="V18" s="112"/>
      <c r="W18" s="115" t="s">
        <v>163</v>
      </c>
      <c r="X18" s="115"/>
      <c r="Y18" s="115"/>
      <c r="Z18" s="107">
        <f>Z13/12</f>
        <v>42.666666666666664</v>
      </c>
      <c r="AC18" s="113"/>
      <c r="AD18" s="115" t="s">
        <v>163</v>
      </c>
      <c r="AE18" s="115"/>
      <c r="AF18" s="115"/>
      <c r="AG18" s="107">
        <f>AG13/12</f>
        <v>42.666666666666664</v>
      </c>
    </row>
    <row r="19" spans="5:33" x14ac:dyDescent="0.3">
      <c r="I19" s="115" t="s">
        <v>164</v>
      </c>
      <c r="J19" s="115"/>
      <c r="K19" s="115"/>
      <c r="L19" s="108">
        <f>SUM(L15:L18)*0.2</f>
        <v>22.496223958333331</v>
      </c>
      <c r="O19" s="113"/>
      <c r="P19" s="115" t="s">
        <v>164</v>
      </c>
      <c r="Q19" s="115"/>
      <c r="R19" s="115"/>
      <c r="S19" s="108">
        <f>SUM(S15:S18)*0.2</f>
        <v>18.980598958333331</v>
      </c>
      <c r="V19" s="112"/>
      <c r="W19" s="115" t="s">
        <v>164</v>
      </c>
      <c r="X19" s="115"/>
      <c r="Y19" s="115"/>
      <c r="Z19" s="108">
        <f>SUM(Z15:Z18)*0.2</f>
        <v>26.714973958333331</v>
      </c>
      <c r="AC19" s="113"/>
      <c r="AD19" s="115" t="s">
        <v>164</v>
      </c>
      <c r="AE19" s="115"/>
      <c r="AF19" s="115"/>
      <c r="AG19" s="108">
        <f>SUM(AG15:AG18)*0.2</f>
        <v>22.496223958333331</v>
      </c>
    </row>
    <row r="20" spans="5:33" x14ac:dyDescent="0.3">
      <c r="I20" s="116" t="s">
        <v>165</v>
      </c>
      <c r="J20" s="116"/>
      <c r="K20" s="116"/>
      <c r="L20" s="108">
        <f>SUM(L15:L19)</f>
        <v>134.97734374999999</v>
      </c>
      <c r="O20" s="113"/>
      <c r="P20" s="116" t="s">
        <v>165</v>
      </c>
      <c r="Q20" s="116"/>
      <c r="R20" s="116"/>
      <c r="S20" s="108">
        <f>SUM(S15:S19)</f>
        <v>113.88359374999999</v>
      </c>
      <c r="V20" s="112"/>
      <c r="W20" s="116" t="s">
        <v>165</v>
      </c>
      <c r="X20" s="116"/>
      <c r="Y20" s="116"/>
      <c r="Z20" s="108">
        <f>SUM(Z15:Z19)</f>
        <v>160.28984374999999</v>
      </c>
      <c r="AC20" s="113"/>
      <c r="AD20" s="116" t="s">
        <v>165</v>
      </c>
      <c r="AE20" s="116"/>
      <c r="AF20" s="116"/>
      <c r="AG20" s="108">
        <f>SUM(AG15:AG19)</f>
        <v>134.97734374999999</v>
      </c>
    </row>
    <row r="21" spans="5:33" x14ac:dyDescent="0.3">
      <c r="I21" s="116" t="s">
        <v>166</v>
      </c>
      <c r="J21" s="116"/>
      <c r="K21" s="116"/>
      <c r="L21" s="108">
        <f>L20*$G$29</f>
        <v>38.491377995838114</v>
      </c>
      <c r="O21" s="113"/>
      <c r="P21" s="116" t="s">
        <v>166</v>
      </c>
      <c r="Q21" s="116"/>
      <c r="R21" s="116"/>
      <c r="S21" s="108">
        <f>S20*$G$29</f>
        <v>32.476090673963327</v>
      </c>
      <c r="V21" s="112"/>
      <c r="W21" s="116" t="s">
        <v>166</v>
      </c>
      <c r="X21" s="116"/>
      <c r="Y21" s="116"/>
      <c r="Z21" s="108">
        <f>Z20*$G$29</f>
        <v>45.709722782087859</v>
      </c>
      <c r="AC21" s="113"/>
      <c r="AD21" s="116" t="s">
        <v>166</v>
      </c>
      <c r="AE21" s="116"/>
      <c r="AF21" s="116"/>
      <c r="AG21" s="108">
        <f>AG20*$G$29</f>
        <v>38.491377995838114</v>
      </c>
    </row>
    <row r="22" spans="5:33" x14ac:dyDescent="0.3">
      <c r="O22" s="113"/>
      <c r="V22" s="112"/>
      <c r="AC22" s="113"/>
    </row>
    <row r="23" spans="5:33" x14ac:dyDescent="0.3">
      <c r="O23" s="113"/>
      <c r="V23" s="112"/>
      <c r="AC23" s="113"/>
    </row>
    <row r="24" spans="5:33" x14ac:dyDescent="0.3">
      <c r="J24" s="119" t="s">
        <v>186</v>
      </c>
      <c r="K24" s="119"/>
      <c r="L24" s="119"/>
      <c r="O24" s="113"/>
      <c r="Q24" s="119" t="s">
        <v>186</v>
      </c>
      <c r="R24" s="119"/>
      <c r="S24" s="119"/>
      <c r="V24" s="112"/>
      <c r="X24" s="119" t="s">
        <v>186</v>
      </c>
      <c r="Y24" s="119"/>
      <c r="Z24" s="119"/>
      <c r="AC24" s="113"/>
      <c r="AE24" s="119" t="s">
        <v>186</v>
      </c>
      <c r="AF24" s="119"/>
      <c r="AG24" s="119"/>
    </row>
    <row r="25" spans="5:33" x14ac:dyDescent="0.3">
      <c r="J25" s="114" t="s">
        <v>187</v>
      </c>
      <c r="K25" s="114"/>
      <c r="L25" s="109">
        <v>12</v>
      </c>
      <c r="O25" s="113"/>
      <c r="Q25" s="114" t="s">
        <v>187</v>
      </c>
      <c r="R25" s="114"/>
      <c r="S25" s="109">
        <v>12</v>
      </c>
      <c r="V25" s="112"/>
      <c r="X25" s="114" t="s">
        <v>187</v>
      </c>
      <c r="Y25" s="114"/>
      <c r="Z25" s="109">
        <v>12</v>
      </c>
      <c r="AC25" s="113"/>
      <c r="AE25" s="114" t="s">
        <v>187</v>
      </c>
      <c r="AF25" s="114"/>
      <c r="AG25" s="109">
        <v>12</v>
      </c>
    </row>
    <row r="26" spans="5:33" x14ac:dyDescent="0.3">
      <c r="J26" s="114" t="s">
        <v>188</v>
      </c>
      <c r="K26" s="114"/>
      <c r="L26" s="109">
        <v>5</v>
      </c>
      <c r="O26" s="113"/>
      <c r="Q26" s="114" t="s">
        <v>188</v>
      </c>
      <c r="R26" s="114"/>
      <c r="S26" s="109">
        <v>5</v>
      </c>
      <c r="V26" s="112"/>
      <c r="X26" s="114" t="s">
        <v>188</v>
      </c>
      <c r="Y26" s="114"/>
      <c r="Z26" s="109">
        <v>5</v>
      </c>
      <c r="AC26" s="113"/>
      <c r="AE26" s="114" t="s">
        <v>188</v>
      </c>
      <c r="AF26" s="114"/>
      <c r="AG26" s="109">
        <v>5</v>
      </c>
    </row>
    <row r="27" spans="5:33" x14ac:dyDescent="0.3">
      <c r="E27" s="123" t="s">
        <v>208</v>
      </c>
      <c r="F27" s="123"/>
      <c r="G27" s="105">
        <v>325754</v>
      </c>
      <c r="J27" s="114" t="s">
        <v>189</v>
      </c>
      <c r="K27" s="114"/>
      <c r="L27" s="109">
        <v>5</v>
      </c>
      <c r="O27" s="113"/>
      <c r="Q27" s="114" t="s">
        <v>189</v>
      </c>
      <c r="R27" s="114"/>
      <c r="S27" s="109">
        <v>0</v>
      </c>
      <c r="V27" s="112"/>
      <c r="X27" s="114" t="s">
        <v>189</v>
      </c>
      <c r="Y27" s="114"/>
      <c r="Z27" s="109">
        <v>5</v>
      </c>
      <c r="AC27" s="113"/>
      <c r="AE27" s="114" t="s">
        <v>189</v>
      </c>
      <c r="AF27" s="114"/>
      <c r="AG27" s="109">
        <v>5</v>
      </c>
    </row>
    <row r="28" spans="5:33" x14ac:dyDescent="0.3">
      <c r="E28" s="123" t="s">
        <v>209</v>
      </c>
      <c r="F28" s="123"/>
      <c r="G28" s="105">
        <v>92895</v>
      </c>
      <c r="J28" s="114" t="s">
        <v>190</v>
      </c>
      <c r="K28" s="114"/>
      <c r="L28" s="109">
        <v>5</v>
      </c>
      <c r="O28" s="113"/>
      <c r="Q28" s="114" t="s">
        <v>190</v>
      </c>
      <c r="R28" s="114"/>
      <c r="S28" s="109">
        <v>0</v>
      </c>
      <c r="V28" s="112"/>
      <c r="X28" s="114" t="s">
        <v>190</v>
      </c>
      <c r="Y28" s="114"/>
      <c r="Z28" s="109">
        <v>5</v>
      </c>
      <c r="AC28" s="113"/>
      <c r="AE28" s="114" t="s">
        <v>190</v>
      </c>
      <c r="AF28" s="114"/>
      <c r="AG28" s="109">
        <v>5</v>
      </c>
    </row>
    <row r="29" spans="5:33" x14ac:dyDescent="0.3">
      <c r="E29" s="124" t="s">
        <v>210</v>
      </c>
      <c r="F29" s="124"/>
      <c r="G29" s="106">
        <f>G28/G27</f>
        <v>0.28516917674073072</v>
      </c>
      <c r="J29" s="114" t="s">
        <v>191</v>
      </c>
      <c r="K29" s="114"/>
      <c r="L29" s="109">
        <v>5</v>
      </c>
      <c r="O29" s="113"/>
      <c r="Q29" s="114" t="s">
        <v>191</v>
      </c>
      <c r="R29" s="114"/>
      <c r="S29" s="109">
        <v>0</v>
      </c>
      <c r="V29" s="112"/>
      <c r="X29" s="114" t="s">
        <v>191</v>
      </c>
      <c r="Y29" s="114"/>
      <c r="Z29" s="109">
        <v>5</v>
      </c>
      <c r="AC29" s="113"/>
      <c r="AE29" s="114" t="s">
        <v>191</v>
      </c>
      <c r="AF29" s="114"/>
      <c r="AG29" s="109">
        <v>5</v>
      </c>
    </row>
    <row r="30" spans="5:33" x14ac:dyDescent="0.3">
      <c r="J30" s="114" t="s">
        <v>192</v>
      </c>
      <c r="K30" s="114"/>
      <c r="L30" s="109">
        <v>0</v>
      </c>
      <c r="O30" s="113"/>
      <c r="Q30" s="114" t="s">
        <v>192</v>
      </c>
      <c r="R30" s="114"/>
      <c r="S30" s="109">
        <v>0</v>
      </c>
      <c r="V30" s="112"/>
      <c r="X30" s="114" t="s">
        <v>192</v>
      </c>
      <c r="Y30" s="114"/>
      <c r="Z30" s="109">
        <v>5</v>
      </c>
      <c r="AC30" s="113"/>
      <c r="AE30" s="114" t="s">
        <v>192</v>
      </c>
      <c r="AF30" s="114"/>
      <c r="AG30" s="109">
        <v>5</v>
      </c>
    </row>
    <row r="31" spans="5:33" x14ac:dyDescent="0.3">
      <c r="J31" s="114" t="s">
        <v>193</v>
      </c>
      <c r="K31" s="114"/>
      <c r="L31" s="109">
        <v>0</v>
      </c>
      <c r="O31" s="113"/>
      <c r="Q31" s="114" t="s">
        <v>193</v>
      </c>
      <c r="R31" s="114"/>
      <c r="S31" s="109">
        <v>0</v>
      </c>
      <c r="V31" s="112"/>
      <c r="X31" s="114" t="s">
        <v>193</v>
      </c>
      <c r="Y31" s="114"/>
      <c r="Z31" s="109">
        <v>5</v>
      </c>
      <c r="AC31" s="113"/>
      <c r="AE31" s="114" t="s">
        <v>193</v>
      </c>
      <c r="AF31" s="114"/>
      <c r="AG31" s="109">
        <v>0</v>
      </c>
    </row>
    <row r="32" spans="5:33" x14ac:dyDescent="0.3">
      <c r="J32" s="114" t="s">
        <v>194</v>
      </c>
      <c r="K32" s="114"/>
      <c r="L32" s="109">
        <v>0</v>
      </c>
      <c r="O32" s="113"/>
      <c r="Q32" s="114" t="s">
        <v>194</v>
      </c>
      <c r="R32" s="114"/>
      <c r="S32" s="109">
        <v>0</v>
      </c>
      <c r="V32" s="112"/>
      <c r="X32" s="114" t="s">
        <v>194</v>
      </c>
      <c r="Y32" s="114"/>
      <c r="Z32" s="109">
        <v>5</v>
      </c>
      <c r="AC32" s="113"/>
      <c r="AE32" s="114" t="s">
        <v>194</v>
      </c>
      <c r="AF32" s="114"/>
      <c r="AG32" s="109">
        <v>0</v>
      </c>
    </row>
    <row r="33" spans="10:33" x14ac:dyDescent="0.3">
      <c r="J33" s="114" t="s">
        <v>195</v>
      </c>
      <c r="K33" s="114"/>
      <c r="L33" s="109">
        <v>0</v>
      </c>
      <c r="O33" s="113"/>
      <c r="Q33" s="114" t="s">
        <v>195</v>
      </c>
      <c r="R33" s="114"/>
      <c r="S33" s="109">
        <v>0</v>
      </c>
      <c r="V33" s="112"/>
      <c r="X33" s="114" t="s">
        <v>195</v>
      </c>
      <c r="Y33" s="114"/>
      <c r="Z33" s="109">
        <v>5</v>
      </c>
      <c r="AC33" s="113"/>
      <c r="AE33" s="114" t="s">
        <v>195</v>
      </c>
      <c r="AF33" s="114"/>
      <c r="AG33" s="109">
        <v>5</v>
      </c>
    </row>
    <row r="34" spans="10:33" x14ac:dyDescent="0.3">
      <c r="J34" s="114" t="s">
        <v>196</v>
      </c>
      <c r="K34" s="114"/>
      <c r="L34" s="109">
        <v>0</v>
      </c>
      <c r="O34" s="113"/>
      <c r="Q34" s="114" t="s">
        <v>196</v>
      </c>
      <c r="R34" s="114"/>
      <c r="S34" s="109">
        <v>0</v>
      </c>
      <c r="V34" s="112"/>
      <c r="X34" s="114" t="s">
        <v>196</v>
      </c>
      <c r="Y34" s="114"/>
      <c r="Z34" s="109">
        <v>5</v>
      </c>
      <c r="AC34" s="113"/>
      <c r="AE34" s="114" t="s">
        <v>196</v>
      </c>
      <c r="AF34" s="114"/>
      <c r="AG34" s="109">
        <v>0</v>
      </c>
    </row>
    <row r="35" spans="10:33" x14ac:dyDescent="0.3">
      <c r="J35" s="114" t="s">
        <v>197</v>
      </c>
      <c r="K35" s="114"/>
      <c r="L35" s="109">
        <v>0</v>
      </c>
      <c r="O35" s="113"/>
      <c r="Q35" s="114" t="s">
        <v>197</v>
      </c>
      <c r="R35" s="114"/>
      <c r="S35" s="109">
        <v>0</v>
      </c>
      <c r="V35" s="112"/>
      <c r="X35" s="114" t="s">
        <v>197</v>
      </c>
      <c r="Y35" s="114"/>
      <c r="Z35" s="109">
        <v>5</v>
      </c>
      <c r="AC35" s="113"/>
      <c r="AE35" s="114" t="s">
        <v>197</v>
      </c>
      <c r="AF35" s="114"/>
      <c r="AG35" s="109">
        <v>0</v>
      </c>
    </row>
    <row r="36" spans="10:33" x14ac:dyDescent="0.3">
      <c r="J36" s="114" t="s">
        <v>198</v>
      </c>
      <c r="K36" s="114"/>
      <c r="L36" s="109">
        <v>5</v>
      </c>
      <c r="O36" s="113"/>
      <c r="Q36" s="114" t="s">
        <v>198</v>
      </c>
      <c r="R36" s="114"/>
      <c r="S36" s="109">
        <v>0</v>
      </c>
      <c r="V36" s="112"/>
      <c r="X36" s="114" t="s">
        <v>198</v>
      </c>
      <c r="Y36" s="114"/>
      <c r="Z36" s="109">
        <v>0</v>
      </c>
      <c r="AC36" s="113"/>
      <c r="AE36" s="114" t="s">
        <v>198</v>
      </c>
      <c r="AF36" s="114"/>
      <c r="AG36" s="109">
        <v>0</v>
      </c>
    </row>
    <row r="37" spans="10:33" x14ac:dyDescent="0.3">
      <c r="J37" s="114" t="s">
        <v>199</v>
      </c>
      <c r="K37" s="114"/>
      <c r="L37" s="109">
        <v>5</v>
      </c>
      <c r="O37" s="113"/>
      <c r="Q37" s="114" t="s">
        <v>199</v>
      </c>
      <c r="R37" s="114"/>
      <c r="S37" s="109">
        <v>0</v>
      </c>
      <c r="V37" s="112"/>
      <c r="X37" s="114" t="s">
        <v>199</v>
      </c>
      <c r="Y37" s="114"/>
      <c r="Z37" s="109">
        <v>0</v>
      </c>
      <c r="AC37" s="113"/>
      <c r="AE37" s="114" t="s">
        <v>199</v>
      </c>
      <c r="AF37" s="114"/>
      <c r="AG37" s="109">
        <v>0</v>
      </c>
    </row>
    <row r="38" spans="10:33" x14ac:dyDescent="0.3">
      <c r="J38" s="114" t="s">
        <v>200</v>
      </c>
      <c r="K38" s="114"/>
      <c r="L38" s="109">
        <v>0</v>
      </c>
      <c r="O38" s="113"/>
      <c r="Q38" s="114" t="s">
        <v>200</v>
      </c>
      <c r="R38" s="114"/>
      <c r="S38" s="109">
        <v>0</v>
      </c>
      <c r="V38" s="112"/>
      <c r="X38" s="114" t="s">
        <v>200</v>
      </c>
      <c r="Y38" s="114"/>
      <c r="Z38" s="109">
        <v>0</v>
      </c>
      <c r="AC38" s="113"/>
      <c r="AE38" s="114" t="s">
        <v>200</v>
      </c>
      <c r="AF38" s="114"/>
      <c r="AG38" s="109">
        <v>0</v>
      </c>
    </row>
    <row r="39" spans="10:33" x14ac:dyDescent="0.3">
      <c r="J39" s="114" t="s">
        <v>201</v>
      </c>
      <c r="K39" s="114"/>
      <c r="L39" s="109">
        <v>5</v>
      </c>
      <c r="O39" s="113"/>
      <c r="Q39" s="114" t="s">
        <v>201</v>
      </c>
      <c r="R39" s="114"/>
      <c r="S39" s="109">
        <v>5</v>
      </c>
      <c r="V39" s="112"/>
      <c r="X39" s="114" t="s">
        <v>201</v>
      </c>
      <c r="Y39" s="114"/>
      <c r="Z39" s="109">
        <v>5</v>
      </c>
      <c r="AC39" s="113"/>
      <c r="AE39" s="114" t="s">
        <v>201</v>
      </c>
      <c r="AF39" s="114"/>
      <c r="AG39" s="109">
        <v>5</v>
      </c>
    </row>
    <row r="40" spans="10:33" x14ac:dyDescent="0.3">
      <c r="J40" s="121" t="s">
        <v>153</v>
      </c>
      <c r="K40" s="121"/>
      <c r="L40" s="110">
        <f>SUM(L25:L39)</f>
        <v>47</v>
      </c>
      <c r="O40" s="113"/>
      <c r="Q40" s="121" t="s">
        <v>153</v>
      </c>
      <c r="R40" s="121"/>
      <c r="S40" s="110">
        <f>SUM(S25:S39)</f>
        <v>22</v>
      </c>
      <c r="V40" s="112"/>
      <c r="X40" s="121" t="s">
        <v>153</v>
      </c>
      <c r="Y40" s="121"/>
      <c r="Z40" s="110">
        <f>SUM(Z25:Z39)</f>
        <v>67</v>
      </c>
      <c r="AC40" s="113"/>
      <c r="AE40" s="121" t="s">
        <v>153</v>
      </c>
      <c r="AF40" s="121"/>
      <c r="AG40" s="110">
        <f>SUM(AG25:AG39)</f>
        <v>47</v>
      </c>
    </row>
    <row r="41" spans="10:33" x14ac:dyDescent="0.3">
      <c r="J41" s="120" t="s">
        <v>202</v>
      </c>
      <c r="K41" s="120"/>
      <c r="L41" s="120"/>
      <c r="O41" s="113"/>
      <c r="Q41" s="120" t="s">
        <v>202</v>
      </c>
      <c r="R41" s="120"/>
      <c r="S41" s="120"/>
      <c r="V41" s="112"/>
      <c r="X41" s="120" t="s">
        <v>202</v>
      </c>
      <c r="Y41" s="120"/>
      <c r="Z41" s="120"/>
      <c r="AC41" s="113"/>
      <c r="AE41" s="120" t="s">
        <v>202</v>
      </c>
      <c r="AF41" s="120"/>
      <c r="AG41" s="120"/>
    </row>
    <row r="42" spans="10:33" x14ac:dyDescent="0.3">
      <c r="J42" s="114" t="s">
        <v>187</v>
      </c>
      <c r="K42" s="114"/>
      <c r="L42" s="109">
        <f>L25</f>
        <v>12</v>
      </c>
      <c r="O42" s="113"/>
      <c r="Q42" s="114" t="s">
        <v>187</v>
      </c>
      <c r="R42" s="114"/>
      <c r="S42" s="109">
        <f>S25</f>
        <v>12</v>
      </c>
      <c r="V42" s="112"/>
      <c r="X42" s="114" t="s">
        <v>187</v>
      </c>
      <c r="Y42" s="114"/>
      <c r="Z42" s="109">
        <f>Z25</f>
        <v>12</v>
      </c>
      <c r="AC42" s="113"/>
      <c r="AE42" s="114" t="s">
        <v>187</v>
      </c>
      <c r="AF42" s="114"/>
      <c r="AG42" s="109">
        <f>AG25</f>
        <v>12</v>
      </c>
    </row>
    <row r="43" spans="10:33" x14ac:dyDescent="0.3">
      <c r="J43" s="114" t="s">
        <v>203</v>
      </c>
      <c r="K43" s="114"/>
      <c r="L43" s="109">
        <f>L26</f>
        <v>5</v>
      </c>
      <c r="O43" s="113"/>
      <c r="Q43" s="114" t="s">
        <v>203</v>
      </c>
      <c r="R43" s="114"/>
      <c r="S43" s="109">
        <f>S26</f>
        <v>5</v>
      </c>
      <c r="V43" s="112"/>
      <c r="X43" s="114" t="s">
        <v>203</v>
      </c>
      <c r="Y43" s="114"/>
      <c r="Z43" s="109">
        <f>Z26</f>
        <v>5</v>
      </c>
      <c r="AC43" s="113"/>
      <c r="AE43" s="114" t="s">
        <v>203</v>
      </c>
      <c r="AF43" s="114"/>
      <c r="AG43" s="109">
        <f>AG26</f>
        <v>5</v>
      </c>
    </row>
    <row r="44" spans="10:33" x14ac:dyDescent="0.3">
      <c r="J44" s="114" t="s">
        <v>204</v>
      </c>
      <c r="K44" s="114"/>
      <c r="L44" s="109">
        <v>2</v>
      </c>
      <c r="O44" s="113"/>
      <c r="Q44" s="114" t="s">
        <v>204</v>
      </c>
      <c r="R44" s="114"/>
      <c r="S44" s="109">
        <v>2</v>
      </c>
      <c r="V44" s="112"/>
      <c r="X44" s="114" t="s">
        <v>204</v>
      </c>
      <c r="Y44" s="114"/>
      <c r="Z44" s="109">
        <v>2</v>
      </c>
      <c r="AC44" s="113"/>
      <c r="AE44" s="114" t="s">
        <v>204</v>
      </c>
      <c r="AF44" s="114"/>
      <c r="AG44" s="109">
        <v>2</v>
      </c>
    </row>
    <row r="45" spans="10:33" x14ac:dyDescent="0.3">
      <c r="J45" s="114" t="s">
        <v>201</v>
      </c>
      <c r="K45" s="114"/>
      <c r="L45" s="109">
        <v>4</v>
      </c>
      <c r="O45" s="113"/>
      <c r="Q45" s="114" t="s">
        <v>201</v>
      </c>
      <c r="R45" s="114"/>
      <c r="S45" s="109">
        <v>4</v>
      </c>
      <c r="V45" s="112"/>
      <c r="X45" s="114" t="s">
        <v>201</v>
      </c>
      <c r="Y45" s="114"/>
      <c r="Z45" s="109">
        <v>4</v>
      </c>
      <c r="AC45" s="113"/>
      <c r="AE45" s="114" t="s">
        <v>201</v>
      </c>
      <c r="AF45" s="114"/>
      <c r="AG45" s="109">
        <v>4</v>
      </c>
    </row>
    <row r="46" spans="10:33" x14ac:dyDescent="0.3">
      <c r="J46" s="121" t="s">
        <v>153</v>
      </c>
      <c r="K46" s="121"/>
      <c r="L46" s="110">
        <f>SUM(L42:L45)</f>
        <v>23</v>
      </c>
      <c r="O46" s="113"/>
      <c r="Q46" s="121" t="s">
        <v>153</v>
      </c>
      <c r="R46" s="121"/>
      <c r="S46" s="110">
        <f>SUM(S42:S45)</f>
        <v>23</v>
      </c>
      <c r="V46" s="112"/>
      <c r="X46" s="121" t="s">
        <v>153</v>
      </c>
      <c r="Y46" s="121"/>
      <c r="Z46" s="110">
        <f>SUM(Z42:Z45)</f>
        <v>23</v>
      </c>
      <c r="AC46" s="113"/>
      <c r="AE46" s="121" t="s">
        <v>153</v>
      </c>
      <c r="AF46" s="121"/>
      <c r="AG46" s="110">
        <f>SUM(AG42:AG45)</f>
        <v>23</v>
      </c>
    </row>
    <row r="47" spans="10:33" x14ac:dyDescent="0.3">
      <c r="J47" s="120" t="s">
        <v>205</v>
      </c>
      <c r="K47" s="120"/>
      <c r="L47" s="120"/>
      <c r="O47" s="113"/>
      <c r="Q47" s="120" t="s">
        <v>205</v>
      </c>
      <c r="R47" s="120"/>
      <c r="S47" s="120"/>
      <c r="V47" s="112"/>
      <c r="X47" s="120" t="s">
        <v>205</v>
      </c>
      <c r="Y47" s="120"/>
      <c r="Z47" s="120"/>
      <c r="AC47" s="113"/>
      <c r="AE47" s="120" t="s">
        <v>205</v>
      </c>
      <c r="AF47" s="120"/>
      <c r="AG47" s="120"/>
    </row>
    <row r="48" spans="10:33" x14ac:dyDescent="0.3">
      <c r="J48" s="114" t="s">
        <v>187</v>
      </c>
      <c r="K48" s="114"/>
      <c r="L48" s="109">
        <v>12</v>
      </c>
      <c r="O48" s="113"/>
      <c r="Q48" s="114" t="s">
        <v>187</v>
      </c>
      <c r="R48" s="114"/>
      <c r="S48" s="109">
        <v>12</v>
      </c>
      <c r="V48" s="112"/>
      <c r="X48" s="114" t="s">
        <v>187</v>
      </c>
      <c r="Y48" s="114"/>
      <c r="Z48" s="109">
        <v>12</v>
      </c>
      <c r="AC48" s="113"/>
      <c r="AE48" s="114" t="s">
        <v>187</v>
      </c>
      <c r="AF48" s="114"/>
      <c r="AG48" s="109">
        <v>12</v>
      </c>
    </row>
    <row r="49" spans="10:33" x14ac:dyDescent="0.3">
      <c r="J49" s="114" t="s">
        <v>203</v>
      </c>
      <c r="K49" s="114"/>
      <c r="L49" s="109">
        <f>L32</f>
        <v>0</v>
      </c>
      <c r="O49" s="113"/>
      <c r="Q49" s="114" t="s">
        <v>203</v>
      </c>
      <c r="R49" s="114"/>
      <c r="S49" s="109">
        <f>S32</f>
        <v>0</v>
      </c>
      <c r="V49" s="112"/>
      <c r="X49" s="114" t="s">
        <v>203</v>
      </c>
      <c r="Y49" s="114"/>
      <c r="Z49" s="109">
        <f>Z32</f>
        <v>5</v>
      </c>
      <c r="AC49" s="113"/>
      <c r="AE49" s="114" t="s">
        <v>203</v>
      </c>
      <c r="AF49" s="114"/>
      <c r="AG49" s="109">
        <f>AG32</f>
        <v>0</v>
      </c>
    </row>
    <row r="50" spans="10:33" x14ac:dyDescent="0.3">
      <c r="J50" s="114" t="s">
        <v>204</v>
      </c>
      <c r="K50" s="114"/>
      <c r="L50" s="109">
        <v>2</v>
      </c>
      <c r="O50" s="113"/>
      <c r="Q50" s="114" t="s">
        <v>204</v>
      </c>
      <c r="R50" s="114"/>
      <c r="S50" s="109">
        <v>2</v>
      </c>
      <c r="V50" s="112"/>
      <c r="X50" s="114" t="s">
        <v>204</v>
      </c>
      <c r="Y50" s="114"/>
      <c r="Z50" s="109">
        <v>2</v>
      </c>
      <c r="AC50" s="113"/>
      <c r="AE50" s="114" t="s">
        <v>204</v>
      </c>
      <c r="AF50" s="114"/>
      <c r="AG50" s="109">
        <v>2</v>
      </c>
    </row>
    <row r="51" spans="10:33" x14ac:dyDescent="0.3">
      <c r="J51" s="114" t="s">
        <v>201</v>
      </c>
      <c r="K51" s="114"/>
      <c r="L51" s="109">
        <v>4</v>
      </c>
      <c r="O51" s="113"/>
      <c r="Q51" s="114" t="s">
        <v>201</v>
      </c>
      <c r="R51" s="114"/>
      <c r="S51" s="109">
        <v>4</v>
      </c>
      <c r="V51" s="112"/>
      <c r="X51" s="114" t="s">
        <v>201</v>
      </c>
      <c r="Y51" s="114"/>
      <c r="Z51" s="109">
        <v>4</v>
      </c>
      <c r="AC51" s="113"/>
      <c r="AE51" s="114" t="s">
        <v>201</v>
      </c>
      <c r="AF51" s="114"/>
      <c r="AG51" s="109">
        <v>4</v>
      </c>
    </row>
    <row r="52" spans="10:33" x14ac:dyDescent="0.3">
      <c r="J52" s="118" t="s">
        <v>153</v>
      </c>
      <c r="K52" s="118"/>
      <c r="L52" s="111">
        <f>SUM(L48:L51)</f>
        <v>18</v>
      </c>
      <c r="O52" s="113"/>
      <c r="Q52" s="118" t="s">
        <v>153</v>
      </c>
      <c r="R52" s="118"/>
      <c r="S52" s="111">
        <f>SUM(S48:S51)</f>
        <v>18</v>
      </c>
      <c r="V52" s="112"/>
      <c r="X52" s="118" t="s">
        <v>153</v>
      </c>
      <c r="Y52" s="118"/>
      <c r="Z52" s="111">
        <f>SUM(Z48:Z51)</f>
        <v>23</v>
      </c>
      <c r="AC52" s="113"/>
      <c r="AE52" s="118" t="s">
        <v>153</v>
      </c>
      <c r="AF52" s="118"/>
      <c r="AG52" s="111">
        <f>SUM(AG48:AG51)</f>
        <v>18</v>
      </c>
    </row>
  </sheetData>
  <mergeCells count="184">
    <mergeCell ref="B2:K2"/>
    <mergeCell ref="I5:L6"/>
    <mergeCell ref="P5:S6"/>
    <mergeCell ref="W5:Z6"/>
    <mergeCell ref="AD5:AG6"/>
    <mergeCell ref="I7:L7"/>
    <mergeCell ref="P7:S7"/>
    <mergeCell ref="W7:Z7"/>
    <mergeCell ref="AD7:AG7"/>
    <mergeCell ref="I10:K10"/>
    <mergeCell ref="P10:R10"/>
    <mergeCell ref="W10:Y10"/>
    <mergeCell ref="AD10:AF10"/>
    <mergeCell ref="I11:K11"/>
    <mergeCell ref="P11:R11"/>
    <mergeCell ref="W11:Y11"/>
    <mergeCell ref="AD11:AF11"/>
    <mergeCell ref="I8:K8"/>
    <mergeCell ref="P8:R8"/>
    <mergeCell ref="W8:Y8"/>
    <mergeCell ref="AD8:AF8"/>
    <mergeCell ref="I9:K9"/>
    <mergeCell ref="P9:R9"/>
    <mergeCell ref="W9:Y9"/>
    <mergeCell ref="AD9:AF9"/>
    <mergeCell ref="I14:L14"/>
    <mergeCell ref="P14:S14"/>
    <mergeCell ref="W14:Z14"/>
    <mergeCell ref="AD14:AG14"/>
    <mergeCell ref="I15:K15"/>
    <mergeCell ref="P15:R15"/>
    <mergeCell ref="W15:Y15"/>
    <mergeCell ref="AD15:AF15"/>
    <mergeCell ref="I12:K12"/>
    <mergeCell ref="P12:R12"/>
    <mergeCell ref="W12:Y12"/>
    <mergeCell ref="AD12:AF12"/>
    <mergeCell ref="I13:K13"/>
    <mergeCell ref="P13:R13"/>
    <mergeCell ref="W13:Y13"/>
    <mergeCell ref="AD13:AF13"/>
    <mergeCell ref="I18:K18"/>
    <mergeCell ref="P18:R18"/>
    <mergeCell ref="W18:Y18"/>
    <mergeCell ref="AD18:AF18"/>
    <mergeCell ref="I19:K19"/>
    <mergeCell ref="P19:R19"/>
    <mergeCell ref="W19:Y19"/>
    <mergeCell ref="AD19:AF19"/>
    <mergeCell ref="I16:K16"/>
    <mergeCell ref="P16:R16"/>
    <mergeCell ref="W16:Y16"/>
    <mergeCell ref="AD16:AF16"/>
    <mergeCell ref="I17:K17"/>
    <mergeCell ref="P17:R17"/>
    <mergeCell ref="W17:Y17"/>
    <mergeCell ref="AD17:AF17"/>
    <mergeCell ref="J24:L24"/>
    <mergeCell ref="Q24:S24"/>
    <mergeCell ref="X24:Z24"/>
    <mergeCell ref="AE24:AG24"/>
    <mergeCell ref="J25:K25"/>
    <mergeCell ref="Q25:R25"/>
    <mergeCell ref="X25:Y25"/>
    <mergeCell ref="AE25:AF25"/>
    <mergeCell ref="I20:K20"/>
    <mergeCell ref="P20:R20"/>
    <mergeCell ref="W20:Y20"/>
    <mergeCell ref="AD20:AF20"/>
    <mergeCell ref="I21:K21"/>
    <mergeCell ref="P21:R21"/>
    <mergeCell ref="W21:Y21"/>
    <mergeCell ref="AD21:AF21"/>
    <mergeCell ref="J26:K26"/>
    <mergeCell ref="Q26:R26"/>
    <mergeCell ref="X26:Y26"/>
    <mergeCell ref="AE26:AF26"/>
    <mergeCell ref="E27:F27"/>
    <mergeCell ref="J27:K27"/>
    <mergeCell ref="Q27:R27"/>
    <mergeCell ref="X27:Y27"/>
    <mergeCell ref="AE27:AF27"/>
    <mergeCell ref="E28:F28"/>
    <mergeCell ref="J28:K28"/>
    <mergeCell ref="Q28:R28"/>
    <mergeCell ref="X28:Y28"/>
    <mergeCell ref="AE28:AF28"/>
    <mergeCell ref="E29:F29"/>
    <mergeCell ref="J29:K29"/>
    <mergeCell ref="Q29:R29"/>
    <mergeCell ref="X29:Y29"/>
    <mergeCell ref="AE29:AF29"/>
    <mergeCell ref="J32:K32"/>
    <mergeCell ref="Q32:R32"/>
    <mergeCell ref="X32:Y32"/>
    <mergeCell ref="AE32:AF32"/>
    <mergeCell ref="J33:K33"/>
    <mergeCell ref="Q33:R33"/>
    <mergeCell ref="X33:Y33"/>
    <mergeCell ref="AE33:AF33"/>
    <mergeCell ref="J30:K30"/>
    <mergeCell ref="Q30:R30"/>
    <mergeCell ref="X30:Y30"/>
    <mergeCell ref="AE30:AF30"/>
    <mergeCell ref="J31:K31"/>
    <mergeCell ref="Q31:R31"/>
    <mergeCell ref="X31:Y31"/>
    <mergeCell ref="AE31:AF31"/>
    <mergeCell ref="J36:K36"/>
    <mergeCell ref="Q36:R36"/>
    <mergeCell ref="X36:Y36"/>
    <mergeCell ref="AE36:AF36"/>
    <mergeCell ref="J37:K37"/>
    <mergeCell ref="Q37:R37"/>
    <mergeCell ref="X37:Y37"/>
    <mergeCell ref="AE37:AF37"/>
    <mergeCell ref="J34:K34"/>
    <mergeCell ref="Q34:R34"/>
    <mergeCell ref="X34:Y34"/>
    <mergeCell ref="AE34:AF34"/>
    <mergeCell ref="J35:K35"/>
    <mergeCell ref="Q35:R35"/>
    <mergeCell ref="X35:Y35"/>
    <mergeCell ref="AE35:AF35"/>
    <mergeCell ref="J40:K40"/>
    <mergeCell ref="Q40:R40"/>
    <mergeCell ref="X40:Y40"/>
    <mergeCell ref="AE40:AF40"/>
    <mergeCell ref="J41:L41"/>
    <mergeCell ref="Q41:S41"/>
    <mergeCell ref="X41:Z41"/>
    <mergeCell ref="AE41:AG41"/>
    <mergeCell ref="J38:K38"/>
    <mergeCell ref="Q38:R38"/>
    <mergeCell ref="X38:Y38"/>
    <mergeCell ref="AE38:AF38"/>
    <mergeCell ref="J39:K39"/>
    <mergeCell ref="Q39:R39"/>
    <mergeCell ref="X39:Y39"/>
    <mergeCell ref="AE39:AF39"/>
    <mergeCell ref="J44:K44"/>
    <mergeCell ref="Q44:R44"/>
    <mergeCell ref="X44:Y44"/>
    <mergeCell ref="AE44:AF44"/>
    <mergeCell ref="J45:K45"/>
    <mergeCell ref="Q45:R45"/>
    <mergeCell ref="X45:Y45"/>
    <mergeCell ref="AE45:AF45"/>
    <mergeCell ref="J42:K42"/>
    <mergeCell ref="Q42:R42"/>
    <mergeCell ref="X42:Y42"/>
    <mergeCell ref="AE42:AF42"/>
    <mergeCell ref="J43:K43"/>
    <mergeCell ref="Q43:R43"/>
    <mergeCell ref="X43:Y43"/>
    <mergeCell ref="AE43:AF43"/>
    <mergeCell ref="J48:K48"/>
    <mergeCell ref="Q48:R48"/>
    <mergeCell ref="X48:Y48"/>
    <mergeCell ref="AE48:AF48"/>
    <mergeCell ref="J49:K49"/>
    <mergeCell ref="Q49:R49"/>
    <mergeCell ref="X49:Y49"/>
    <mergeCell ref="AE49:AF49"/>
    <mergeCell ref="J46:K46"/>
    <mergeCell ref="Q46:R46"/>
    <mergeCell ref="X46:Y46"/>
    <mergeCell ref="AE46:AF46"/>
    <mergeCell ref="J47:L47"/>
    <mergeCell ref="Q47:S47"/>
    <mergeCell ref="X47:Z47"/>
    <mergeCell ref="AE47:AG47"/>
    <mergeCell ref="J52:K52"/>
    <mergeCell ref="Q52:R52"/>
    <mergeCell ref="X52:Y52"/>
    <mergeCell ref="AE52:AF52"/>
    <mergeCell ref="J50:K50"/>
    <mergeCell ref="Q50:R50"/>
    <mergeCell ref="X50:Y50"/>
    <mergeCell ref="AE50:AF50"/>
    <mergeCell ref="J51:K51"/>
    <mergeCell ref="Q51:R51"/>
    <mergeCell ref="X51:Y51"/>
    <mergeCell ref="AE51:AF51"/>
  </mergeCells>
  <pageMargins left="0.7" right="0.7" top="0.75" bottom="0.75" header="0.3" footer="0.3"/>
  <pageSetup paperSize="9" scale="22" orientation="portrait" horizontalDpi="360" verticalDpi="36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CAPEX</vt:lpstr>
      <vt:lpstr>OPEX</vt:lpstr>
      <vt:lpstr>Opciones CAPEX</vt:lpstr>
      <vt:lpstr>Opciones OPEX</vt:lpstr>
      <vt:lpstr>Comunicación DCU-SGO</vt:lpstr>
      <vt:lpstr>Comunicación DCU-SGO 2034</vt:lpstr>
      <vt:lpstr>Estructura de costos</vt:lpstr>
      <vt:lpstr>Comunicación DCU-SGO SMI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Nicolás Sanhueza</dc:creator>
  <cp:lastModifiedBy>Nicolás Sanhueza</cp:lastModifiedBy>
  <dcterms:created xsi:type="dcterms:W3CDTF">2015-06-05T18:19:34Z</dcterms:created>
  <dcterms:modified xsi:type="dcterms:W3CDTF">2026-02-18T16:48:30Z</dcterms:modified>
</cp:coreProperties>
</file>