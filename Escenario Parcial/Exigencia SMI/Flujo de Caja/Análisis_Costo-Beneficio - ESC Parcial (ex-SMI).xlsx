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8e212a0ac5b1962/Trabajo de Título/Análisis Costo-Beneficio/Escenario Parcial/Exigencia SMI/Flujo de Caja/"/>
    </mc:Choice>
  </mc:AlternateContent>
  <xr:revisionPtr revIDLastSave="4826" documentId="11_AD4D2F04E46CFB4ACB3E206EFD56D1F2693EDF1B" xr6:coauthVersionLast="47" xr6:coauthVersionMax="47" xr10:uidLastSave="{C34C372D-D289-4C63-93B1-02A1A0D6DB8E}"/>
  <bookViews>
    <workbookView xWindow="-108" yWindow="-108" windowWidth="23256" windowHeight="12456" firstSheet="10" activeTab="12" xr2:uid="{00000000-000D-0000-FFFF-FFFF00000000}"/>
  </bookViews>
  <sheets>
    <sheet name="Supuestos y Consideraciones" sheetId="6" state="hidden" r:id="rId1"/>
    <sheet name="CB_SMI_Mixto" sheetId="45" r:id="rId2"/>
    <sheet name="Flujo SMI_Mixto" sheetId="24" r:id="rId3"/>
    <sheet name="CB_SMI_Mixto_ALTA" sheetId="46" r:id="rId4"/>
    <sheet name="Flujo SMI_Mixto_ALTA" sheetId="40" r:id="rId5"/>
    <sheet name="CB_SMI_Mixto_MEDIA" sheetId="49" r:id="rId6"/>
    <sheet name="Flujo SMI_Mixto_MEDIA" sheetId="41" r:id="rId7"/>
    <sheet name="CB_SMI_Mixto_BAJA" sheetId="47" r:id="rId8"/>
    <sheet name="Flujo SMI_Mixto_BAJA" sheetId="42" r:id="rId9"/>
    <sheet name="CB_SMI_Mixto_MUY_BAJA" sheetId="50" r:id="rId10"/>
    <sheet name="Flujo SMI_Mixto_MUY_BAJA" sheetId="43" r:id="rId11"/>
    <sheet name="CB_SMI_Mixto_EXT_BAJA" sheetId="48" r:id="rId12"/>
    <sheet name="Flujo SMI_Mixto_EXT_BAJA" sheetId="44" r:id="rId13"/>
  </sheets>
  <definedNames>
    <definedName name="DatosExternos_3" localSheetId="1" hidden="1">CB_SMI_Mixto!$A$1:$Q$26</definedName>
    <definedName name="DatosExternos_3" localSheetId="3" hidden="1">CB_SMI_Mixto_ALTA!$A$1:$Q$26</definedName>
    <definedName name="DatosExternos_4" localSheetId="7" hidden="1">CB_SMI_Mixto_BAJA!$A$1:$Q$26</definedName>
    <definedName name="DatosExternos_5" localSheetId="11" hidden="1">CB_SMI_Mixto_EXT_BAJA!$A$1:$Q$26</definedName>
    <definedName name="DatosExternos_6" localSheetId="5" hidden="1">CB_SMI_Mixto_MEDIA!$A$1:$Q$26</definedName>
    <definedName name="DatosExternos_7" localSheetId="9" hidden="1">CB_SMI_Mixto_MUY_BAJA!$A$1:$Q$26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6" i="44" l="1"/>
  <c r="Z56" i="44" s="1"/>
  <c r="W55" i="44"/>
  <c r="Z55" i="44" s="1"/>
  <c r="W54" i="44"/>
  <c r="Z54" i="44" s="1"/>
  <c r="Y53" i="44"/>
  <c r="W53" i="44"/>
  <c r="X53" i="44" s="1"/>
  <c r="W52" i="44"/>
  <c r="Z52" i="44" s="1"/>
  <c r="W51" i="44"/>
  <c r="Z51" i="44" s="1"/>
  <c r="W50" i="44"/>
  <c r="X50" i="44" s="1"/>
  <c r="W49" i="44"/>
  <c r="Z49" i="44" s="1"/>
  <c r="W48" i="44"/>
  <c r="Z48" i="44" s="1"/>
  <c r="W47" i="44"/>
  <c r="Z47" i="44" s="1"/>
  <c r="W45" i="44"/>
  <c r="X45" i="44" s="1"/>
  <c r="W43" i="44"/>
  <c r="X43" i="44" s="1"/>
  <c r="Z42" i="44"/>
  <c r="W42" i="44"/>
  <c r="Y42" i="44" s="1"/>
  <c r="W41" i="44"/>
  <c r="Z41" i="44" s="1"/>
  <c r="W40" i="44"/>
  <c r="Z40" i="44" s="1"/>
  <c r="W39" i="44"/>
  <c r="X39" i="44" s="1"/>
  <c r="Z38" i="44"/>
  <c r="W38" i="44"/>
  <c r="Y38" i="44" s="1"/>
  <c r="W36" i="44"/>
  <c r="Z36" i="44" s="1"/>
  <c r="W35" i="44"/>
  <c r="Z35" i="44" s="1"/>
  <c r="W34" i="44"/>
  <c r="Z34" i="44" s="1"/>
  <c r="Z33" i="44"/>
  <c r="W33" i="44"/>
  <c r="Y33" i="44" s="1"/>
  <c r="W32" i="44"/>
  <c r="Z32" i="44" s="1"/>
  <c r="W31" i="44"/>
  <c r="Z31" i="44" s="1"/>
  <c r="W30" i="44"/>
  <c r="X30" i="44" s="1"/>
  <c r="W56" i="43"/>
  <c r="Z56" i="43" s="1"/>
  <c r="W55" i="43"/>
  <c r="Z55" i="43" s="1"/>
  <c r="W54" i="43"/>
  <c r="Y54" i="43" s="1"/>
  <c r="Y53" i="43"/>
  <c r="W53" i="43"/>
  <c r="Z53" i="43" s="1"/>
  <c r="W52" i="43"/>
  <c r="Z52" i="43" s="1"/>
  <c r="W51" i="43"/>
  <c r="Z51" i="43" s="1"/>
  <c r="W50" i="43"/>
  <c r="Z50" i="43" s="1"/>
  <c r="W49" i="43"/>
  <c r="Z49" i="43" s="1"/>
  <c r="W48" i="43"/>
  <c r="Z48" i="43" s="1"/>
  <c r="W47" i="43"/>
  <c r="Z47" i="43" s="1"/>
  <c r="W45" i="43"/>
  <c r="Y45" i="43" s="1"/>
  <c r="W43" i="43"/>
  <c r="Y43" i="43" s="1"/>
  <c r="Z42" i="43"/>
  <c r="W42" i="43"/>
  <c r="Y42" i="43" s="1"/>
  <c r="W41" i="43"/>
  <c r="Z41" i="43" s="1"/>
  <c r="W40" i="43"/>
  <c r="Y40" i="43" s="1"/>
  <c r="W39" i="43"/>
  <c r="Y39" i="43" s="1"/>
  <c r="Z38" i="43"/>
  <c r="W38" i="43"/>
  <c r="Y38" i="43" s="1"/>
  <c r="W36" i="43"/>
  <c r="Z36" i="43" s="1"/>
  <c r="W35" i="43"/>
  <c r="Z35" i="43" s="1"/>
  <c r="W34" i="43"/>
  <c r="Z34" i="43" s="1"/>
  <c r="Z33" i="43"/>
  <c r="W33" i="43"/>
  <c r="Y33" i="43" s="1"/>
  <c r="W32" i="43"/>
  <c r="Z32" i="43" s="1"/>
  <c r="W31" i="43"/>
  <c r="Z31" i="43" s="1"/>
  <c r="W30" i="43"/>
  <c r="X30" i="43" s="1"/>
  <c r="W56" i="42"/>
  <c r="Z56" i="42" s="1"/>
  <c r="W55" i="42"/>
  <c r="Z55" i="42" s="1"/>
  <c r="W54" i="42"/>
  <c r="Y54" i="42" s="1"/>
  <c r="W53" i="42"/>
  <c r="Z53" i="42" s="1"/>
  <c r="W52" i="42"/>
  <c r="Z52" i="42" s="1"/>
  <c r="W51" i="42"/>
  <c r="Z51" i="42" s="1"/>
  <c r="W50" i="42"/>
  <c r="Z50" i="42" s="1"/>
  <c r="W49" i="42"/>
  <c r="Z49" i="42" s="1"/>
  <c r="W48" i="42"/>
  <c r="Z48" i="42" s="1"/>
  <c r="W47" i="42"/>
  <c r="Z47" i="42" s="1"/>
  <c r="W45" i="42"/>
  <c r="X45" i="42" s="1"/>
  <c r="W43" i="42"/>
  <c r="X43" i="42" s="1"/>
  <c r="Z42" i="42"/>
  <c r="W42" i="42"/>
  <c r="Y42" i="42" s="1"/>
  <c r="W41" i="42"/>
  <c r="Z41" i="42" s="1"/>
  <c r="W40" i="42"/>
  <c r="Y40" i="42" s="1"/>
  <c r="W39" i="42"/>
  <c r="X39" i="42" s="1"/>
  <c r="Z38" i="42"/>
  <c r="W38" i="42"/>
  <c r="Y38" i="42" s="1"/>
  <c r="W36" i="42"/>
  <c r="Z36" i="42" s="1"/>
  <c r="W35" i="42"/>
  <c r="Z35" i="42" s="1"/>
  <c r="W34" i="42"/>
  <c r="Z34" i="42" s="1"/>
  <c r="Z33" i="42"/>
  <c r="W33" i="42"/>
  <c r="Y33" i="42" s="1"/>
  <c r="W32" i="42"/>
  <c r="Z32" i="42" s="1"/>
  <c r="W31" i="42"/>
  <c r="X31" i="42" s="1"/>
  <c r="W30" i="42"/>
  <c r="X30" i="42" s="1"/>
  <c r="W56" i="41"/>
  <c r="Z56" i="41" s="1"/>
  <c r="W55" i="41"/>
  <c r="X55" i="41" s="1"/>
  <c r="W54" i="41"/>
  <c r="Z54" i="41" s="1"/>
  <c r="W53" i="41"/>
  <c r="Y53" i="41" s="1"/>
  <c r="W52" i="41"/>
  <c r="Z52" i="41" s="1"/>
  <c r="W51" i="41"/>
  <c r="X51" i="41" s="1"/>
  <c r="W50" i="41"/>
  <c r="Y50" i="41" s="1"/>
  <c r="W49" i="41"/>
  <c r="Z49" i="41" s="1"/>
  <c r="W48" i="41"/>
  <c r="Z48" i="41" s="1"/>
  <c r="W47" i="41"/>
  <c r="X47" i="41" s="1"/>
  <c r="W45" i="41"/>
  <c r="Y45" i="41" s="1"/>
  <c r="W43" i="41"/>
  <c r="Z43" i="41" s="1"/>
  <c r="W42" i="41"/>
  <c r="Y42" i="41" s="1"/>
  <c r="W41" i="41"/>
  <c r="Z41" i="41" s="1"/>
  <c r="W40" i="41"/>
  <c r="X40" i="41" s="1"/>
  <c r="W39" i="41"/>
  <c r="Z39" i="41" s="1"/>
  <c r="W38" i="41"/>
  <c r="Y38" i="41" s="1"/>
  <c r="W36" i="41"/>
  <c r="Z36" i="41" s="1"/>
  <c r="W35" i="41"/>
  <c r="Z35" i="41" s="1"/>
  <c r="W34" i="41"/>
  <c r="Z34" i="41" s="1"/>
  <c r="Z33" i="41"/>
  <c r="W33" i="41"/>
  <c r="Y33" i="41" s="1"/>
  <c r="W32" i="41"/>
  <c r="Z32" i="41" s="1"/>
  <c r="Y31" i="41"/>
  <c r="W31" i="41"/>
  <c r="X31" i="41" s="1"/>
  <c r="W30" i="41"/>
  <c r="X30" i="41" s="1"/>
  <c r="Z56" i="40"/>
  <c r="Y56" i="40"/>
  <c r="W56" i="40"/>
  <c r="X56" i="40" s="1"/>
  <c r="W55" i="40"/>
  <c r="Z55" i="40" s="1"/>
  <c r="W54" i="40"/>
  <c r="Z54" i="40" s="1"/>
  <c r="W53" i="40"/>
  <c r="Z53" i="40" s="1"/>
  <c r="Z52" i="40"/>
  <c r="Y52" i="40"/>
  <c r="X52" i="40"/>
  <c r="W52" i="40"/>
  <c r="W51" i="40"/>
  <c r="Z51" i="40" s="1"/>
  <c r="W50" i="40"/>
  <c r="X50" i="40" s="1"/>
  <c r="W49" i="40"/>
  <c r="X49" i="40" s="1"/>
  <c r="Z48" i="40"/>
  <c r="Y48" i="40"/>
  <c r="X48" i="40"/>
  <c r="W48" i="40"/>
  <c r="W47" i="40"/>
  <c r="Z47" i="40" s="1"/>
  <c r="W45" i="40"/>
  <c r="X45" i="40" s="1"/>
  <c r="W43" i="40"/>
  <c r="X43" i="40" s="1"/>
  <c r="Z42" i="40"/>
  <c r="Y42" i="40"/>
  <c r="W42" i="40"/>
  <c r="X42" i="40" s="1"/>
  <c r="W41" i="40"/>
  <c r="Z41" i="40" s="1"/>
  <c r="W40" i="40"/>
  <c r="Y40" i="40" s="1"/>
  <c r="W39" i="40"/>
  <c r="X39" i="40" s="1"/>
  <c r="Z38" i="40"/>
  <c r="W38" i="40"/>
  <c r="Y38" i="40" s="1"/>
  <c r="W36" i="40"/>
  <c r="Z36" i="40" s="1"/>
  <c r="W35" i="40"/>
  <c r="Z35" i="40" s="1"/>
  <c r="W34" i="40"/>
  <c r="Z34" i="40" s="1"/>
  <c r="Z33" i="40"/>
  <c r="Y33" i="40"/>
  <c r="W33" i="40"/>
  <c r="X33" i="40" s="1"/>
  <c r="W32" i="40"/>
  <c r="Z32" i="40" s="1"/>
  <c r="W31" i="40"/>
  <c r="X31" i="40" s="1"/>
  <c r="W30" i="40"/>
  <c r="Z30" i="40" s="1"/>
  <c r="J68" i="24"/>
  <c r="H77" i="24"/>
  <c r="J76" i="24"/>
  <c r="W56" i="24"/>
  <c r="Z56" i="24" s="1"/>
  <c r="W55" i="24"/>
  <c r="Z55" i="24" s="1"/>
  <c r="W54" i="24"/>
  <c r="Z54" i="24" s="1"/>
  <c r="W53" i="24"/>
  <c r="Y53" i="24" s="1"/>
  <c r="W52" i="24"/>
  <c r="Z52" i="24" s="1"/>
  <c r="W51" i="24"/>
  <c r="Z51" i="24" s="1"/>
  <c r="W50" i="24"/>
  <c r="Z50" i="24" s="1"/>
  <c r="W49" i="24"/>
  <c r="Y49" i="24" s="1"/>
  <c r="W48" i="24"/>
  <c r="Z48" i="24" s="1"/>
  <c r="W47" i="24"/>
  <c r="Z47" i="24" s="1"/>
  <c r="W45" i="24"/>
  <c r="Y45" i="24" s="1"/>
  <c r="W43" i="24"/>
  <c r="Y43" i="24" s="1"/>
  <c r="W42" i="24"/>
  <c r="Y42" i="24" s="1"/>
  <c r="W41" i="24"/>
  <c r="Y41" i="24" s="1"/>
  <c r="W40" i="24"/>
  <c r="Y40" i="24" s="1"/>
  <c r="W39" i="24"/>
  <c r="Z39" i="24" s="1"/>
  <c r="W38" i="24"/>
  <c r="Y38" i="24" s="1"/>
  <c r="W36" i="24"/>
  <c r="Z36" i="24" s="1"/>
  <c r="W35" i="24"/>
  <c r="Z35" i="24" s="1"/>
  <c r="W34" i="24"/>
  <c r="Y34" i="24" s="1"/>
  <c r="Z33" i="24"/>
  <c r="W33" i="24"/>
  <c r="Y33" i="24" s="1"/>
  <c r="W32" i="24"/>
  <c r="Z32" i="24" s="1"/>
  <c r="W31" i="24"/>
  <c r="Z31" i="24" s="1"/>
  <c r="X30" i="24"/>
  <c r="W30" i="24"/>
  <c r="Z30" i="24" s="1"/>
  <c r="Y49" i="44" l="1"/>
  <c r="Y39" i="44"/>
  <c r="X54" i="44"/>
  <c r="Z39" i="44"/>
  <c r="X34" i="44"/>
  <c r="Y30" i="44"/>
  <c r="Z53" i="44"/>
  <c r="Z30" i="44"/>
  <c r="Z43" i="44"/>
  <c r="X35" i="44"/>
  <c r="Y54" i="44"/>
  <c r="Y40" i="44"/>
  <c r="Z50" i="44"/>
  <c r="X47" i="44"/>
  <c r="X51" i="44"/>
  <c r="X55" i="44"/>
  <c r="X32" i="44"/>
  <c r="X36" i="44"/>
  <c r="X41" i="44"/>
  <c r="Y47" i="44"/>
  <c r="Y51" i="44"/>
  <c r="Y55" i="44"/>
  <c r="Y32" i="44"/>
  <c r="Y36" i="44"/>
  <c r="Y41" i="44"/>
  <c r="X49" i="44"/>
  <c r="X31" i="44"/>
  <c r="Y35" i="44"/>
  <c r="Y43" i="44"/>
  <c r="X40" i="44"/>
  <c r="Y31" i="44"/>
  <c r="Y45" i="44"/>
  <c r="X48" i="44"/>
  <c r="X52" i="44"/>
  <c r="X56" i="44"/>
  <c r="Y34" i="44"/>
  <c r="Y50" i="44"/>
  <c r="X33" i="44"/>
  <c r="X38" i="44"/>
  <c r="X42" i="44"/>
  <c r="Y48" i="44"/>
  <c r="Y52" i="44"/>
  <c r="Y56" i="44"/>
  <c r="X53" i="43"/>
  <c r="Z40" i="43"/>
  <c r="X43" i="43"/>
  <c r="Y30" i="43"/>
  <c r="X54" i="43"/>
  <c r="X31" i="43"/>
  <c r="Y50" i="43"/>
  <c r="Y31" i="43"/>
  <c r="Z54" i="43"/>
  <c r="X47" i="43"/>
  <c r="X51" i="43"/>
  <c r="X55" i="43"/>
  <c r="X32" i="43"/>
  <c r="X36" i="43"/>
  <c r="X41" i="43"/>
  <c r="Y47" i="43"/>
  <c r="Y51" i="43"/>
  <c r="Y55" i="43"/>
  <c r="Y32" i="43"/>
  <c r="Y36" i="43"/>
  <c r="Y41" i="43"/>
  <c r="Y49" i="43"/>
  <c r="Z30" i="43"/>
  <c r="X45" i="43"/>
  <c r="X49" i="43"/>
  <c r="Y34" i="43"/>
  <c r="Z39" i="43"/>
  <c r="Z43" i="43"/>
  <c r="X50" i="43"/>
  <c r="X40" i="43"/>
  <c r="X56" i="43"/>
  <c r="X34" i="43"/>
  <c r="X52" i="43"/>
  <c r="X33" i="43"/>
  <c r="X38" i="43"/>
  <c r="X42" i="43"/>
  <c r="Y48" i="43"/>
  <c r="Y52" i="43"/>
  <c r="Y56" i="43"/>
  <c r="X39" i="43"/>
  <c r="X35" i="43"/>
  <c r="Y35" i="43"/>
  <c r="X48" i="43"/>
  <c r="X53" i="42"/>
  <c r="Z54" i="42"/>
  <c r="Y53" i="42"/>
  <c r="X55" i="42"/>
  <c r="Y30" i="42"/>
  <c r="X49" i="42"/>
  <c r="Y49" i="42"/>
  <c r="Z30" i="42"/>
  <c r="Z39" i="42"/>
  <c r="X54" i="42"/>
  <c r="X35" i="42"/>
  <c r="Y50" i="42"/>
  <c r="Y31" i="42"/>
  <c r="Y35" i="42"/>
  <c r="Y45" i="42"/>
  <c r="Z31" i="42"/>
  <c r="Z40" i="42"/>
  <c r="X47" i="42"/>
  <c r="X51" i="42"/>
  <c r="X32" i="42"/>
  <c r="X36" i="42"/>
  <c r="X41" i="42"/>
  <c r="Y47" i="42"/>
  <c r="Y51" i="42"/>
  <c r="Y55" i="42"/>
  <c r="Y32" i="42"/>
  <c r="Y36" i="42"/>
  <c r="Y41" i="42"/>
  <c r="Y39" i="42"/>
  <c r="Z43" i="42"/>
  <c r="X50" i="42"/>
  <c r="Y43" i="42"/>
  <c r="X40" i="42"/>
  <c r="X48" i="42"/>
  <c r="X52" i="42"/>
  <c r="X56" i="42"/>
  <c r="X34" i="42"/>
  <c r="Y34" i="42"/>
  <c r="X38" i="42"/>
  <c r="Y56" i="42"/>
  <c r="X33" i="42"/>
  <c r="X42" i="42"/>
  <c r="Y48" i="42"/>
  <c r="Y52" i="42"/>
  <c r="X43" i="41"/>
  <c r="Z38" i="41"/>
  <c r="X53" i="41"/>
  <c r="X39" i="41"/>
  <c r="Y30" i="41"/>
  <c r="Y43" i="41"/>
  <c r="Z30" i="41"/>
  <c r="X50" i="41"/>
  <c r="X35" i="41"/>
  <c r="X32" i="41"/>
  <c r="X36" i="41"/>
  <c r="X41" i="41"/>
  <c r="Y47" i="41"/>
  <c r="Y51" i="41"/>
  <c r="Y55" i="41"/>
  <c r="X34" i="41"/>
  <c r="Y34" i="41"/>
  <c r="Y36" i="41"/>
  <c r="Z47" i="41"/>
  <c r="Z51" i="41"/>
  <c r="Z55" i="41"/>
  <c r="Y49" i="41"/>
  <c r="Y39" i="41"/>
  <c r="X54" i="41"/>
  <c r="X45" i="41"/>
  <c r="Y40" i="41"/>
  <c r="Z40" i="41"/>
  <c r="Z42" i="41"/>
  <c r="X49" i="41"/>
  <c r="Z53" i="41"/>
  <c r="Y54" i="41"/>
  <c r="Z50" i="41"/>
  <c r="X56" i="41"/>
  <c r="Y35" i="41"/>
  <c r="Z31" i="41"/>
  <c r="Y32" i="41"/>
  <c r="X33" i="41"/>
  <c r="X42" i="41"/>
  <c r="Y48" i="41"/>
  <c r="Y52" i="41"/>
  <c r="Y56" i="41"/>
  <c r="Y41" i="41"/>
  <c r="X48" i="41"/>
  <c r="X52" i="41"/>
  <c r="X38" i="41"/>
  <c r="X53" i="40"/>
  <c r="X34" i="40"/>
  <c r="Y53" i="40"/>
  <c r="Y34" i="40"/>
  <c r="Z49" i="40"/>
  <c r="Z43" i="40"/>
  <c r="X54" i="40"/>
  <c r="X35" i="40"/>
  <c r="Y54" i="40"/>
  <c r="Y35" i="40"/>
  <c r="Y45" i="40"/>
  <c r="Z31" i="40"/>
  <c r="Z40" i="40"/>
  <c r="X47" i="40"/>
  <c r="X51" i="40"/>
  <c r="X55" i="40"/>
  <c r="X32" i="40"/>
  <c r="X36" i="40"/>
  <c r="X41" i="40"/>
  <c r="Y47" i="40"/>
  <c r="Y51" i="40"/>
  <c r="Y55" i="40"/>
  <c r="Y32" i="40"/>
  <c r="Y36" i="40"/>
  <c r="Y41" i="40"/>
  <c r="X30" i="40"/>
  <c r="Y49" i="40"/>
  <c r="Y30" i="40"/>
  <c r="Y43" i="40"/>
  <c r="Y31" i="40"/>
  <c r="Y39" i="40"/>
  <c r="Z39" i="40"/>
  <c r="X40" i="40"/>
  <c r="Y50" i="40"/>
  <c r="Z50" i="40"/>
  <c r="X38" i="40"/>
  <c r="X50" i="24"/>
  <c r="Z38" i="24"/>
  <c r="X53" i="24"/>
  <c r="Y30" i="24"/>
  <c r="Z53" i="24"/>
  <c r="X54" i="24"/>
  <c r="X31" i="24"/>
  <c r="X35" i="24"/>
  <c r="X40" i="24"/>
  <c r="X45" i="24"/>
  <c r="Y50" i="24"/>
  <c r="Y54" i="24"/>
  <c r="Y31" i="24"/>
  <c r="Y35" i="24"/>
  <c r="Z42" i="24"/>
  <c r="X47" i="24"/>
  <c r="X51" i="24"/>
  <c r="X55" i="24"/>
  <c r="Y55" i="24"/>
  <c r="X34" i="24"/>
  <c r="Y39" i="24"/>
  <c r="X32" i="24"/>
  <c r="X36" i="24"/>
  <c r="X41" i="24"/>
  <c r="Y47" i="24"/>
  <c r="Y51" i="24"/>
  <c r="Y32" i="24"/>
  <c r="Y36" i="24"/>
  <c r="Z41" i="24"/>
  <c r="X39" i="24"/>
  <c r="Z49" i="24"/>
  <c r="Z34" i="24"/>
  <c r="Z43" i="24"/>
  <c r="X48" i="24"/>
  <c r="X52" i="24"/>
  <c r="X56" i="24"/>
  <c r="X43" i="24"/>
  <c r="Z40" i="24"/>
  <c r="X33" i="24"/>
  <c r="X38" i="24"/>
  <c r="X42" i="24"/>
  <c r="Y48" i="24"/>
  <c r="Y52" i="24"/>
  <c r="Y56" i="24"/>
  <c r="X49" i="24"/>
  <c r="H68" i="44" l="1"/>
  <c r="D79" i="44"/>
  <c r="D67" i="44"/>
  <c r="D79" i="43"/>
  <c r="D67" i="43"/>
  <c r="D79" i="42"/>
  <c r="D67" i="42"/>
  <c r="D79" i="41"/>
  <c r="D67" i="41"/>
  <c r="D79" i="40"/>
  <c r="D67" i="40"/>
  <c r="D79" i="24"/>
  <c r="D67" i="24"/>
  <c r="F33" i="24"/>
  <c r="G33" i="24"/>
  <c r="H33" i="24"/>
  <c r="I33" i="24"/>
  <c r="J33" i="24"/>
  <c r="K33" i="24"/>
  <c r="L33" i="24"/>
  <c r="M33" i="24"/>
  <c r="N33" i="24"/>
  <c r="O33" i="24"/>
  <c r="P33" i="24"/>
  <c r="Q33" i="24"/>
  <c r="R33" i="24"/>
  <c r="S33" i="24"/>
  <c r="T33" i="24"/>
  <c r="U33" i="24"/>
  <c r="F34" i="24"/>
  <c r="G34" i="24"/>
  <c r="H34" i="24"/>
  <c r="I34" i="24"/>
  <c r="J34" i="24"/>
  <c r="K34" i="24"/>
  <c r="L34" i="24"/>
  <c r="M34" i="24"/>
  <c r="N34" i="24"/>
  <c r="O34" i="24"/>
  <c r="P34" i="24"/>
  <c r="Q34" i="24"/>
  <c r="R34" i="24"/>
  <c r="S34" i="24"/>
  <c r="T34" i="24"/>
  <c r="U34" i="24"/>
  <c r="F35" i="24"/>
  <c r="G35" i="24"/>
  <c r="H35" i="24"/>
  <c r="I35" i="24"/>
  <c r="J35" i="24"/>
  <c r="K35" i="24"/>
  <c r="L35" i="24"/>
  <c r="M35" i="24"/>
  <c r="N35" i="24"/>
  <c r="O35" i="24"/>
  <c r="P35" i="24"/>
  <c r="Q35" i="24"/>
  <c r="R35" i="24"/>
  <c r="S35" i="24"/>
  <c r="T35" i="24"/>
  <c r="U35" i="24"/>
  <c r="F36" i="24"/>
  <c r="F45" i="24" s="1"/>
  <c r="F43" i="24"/>
  <c r="F56" i="2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U34" i="44"/>
  <c r="T34" i="44"/>
  <c r="S34" i="44"/>
  <c r="R34" i="44"/>
  <c r="Q34" i="44"/>
  <c r="P34" i="44"/>
  <c r="O34" i="44"/>
  <c r="N34" i="44"/>
  <c r="M34" i="44"/>
  <c r="L34" i="44"/>
  <c r="K34" i="44"/>
  <c r="J34" i="44"/>
  <c r="I34" i="44"/>
  <c r="H34" i="44"/>
  <c r="G34" i="44"/>
  <c r="F34" i="44"/>
  <c r="U33" i="44"/>
  <c r="T33" i="44"/>
  <c r="S33" i="44"/>
  <c r="R33" i="44"/>
  <c r="Q33" i="44"/>
  <c r="P33" i="44"/>
  <c r="O33" i="44"/>
  <c r="N33" i="44"/>
  <c r="M33" i="44"/>
  <c r="L33" i="44"/>
  <c r="K33" i="44"/>
  <c r="J33" i="44"/>
  <c r="I33" i="44"/>
  <c r="H33" i="44"/>
  <c r="G33" i="44"/>
  <c r="F33" i="44"/>
  <c r="U19" i="44"/>
  <c r="T19" i="44"/>
  <c r="S19" i="44"/>
  <c r="R19" i="44"/>
  <c r="Q19" i="44"/>
  <c r="P19" i="44"/>
  <c r="O19" i="44"/>
  <c r="N19" i="44"/>
  <c r="M19" i="44"/>
  <c r="L19" i="44"/>
  <c r="K19" i="44"/>
  <c r="J19" i="44"/>
  <c r="I19" i="44"/>
  <c r="H19" i="44"/>
  <c r="G19" i="44"/>
  <c r="F19" i="44"/>
  <c r="U18" i="44"/>
  <c r="T18" i="44"/>
  <c r="S18" i="44"/>
  <c r="R18" i="44"/>
  <c r="Q18" i="44"/>
  <c r="P18" i="44"/>
  <c r="O18" i="44"/>
  <c r="N18" i="44"/>
  <c r="M18" i="44"/>
  <c r="L18" i="44"/>
  <c r="K18" i="44"/>
  <c r="J18" i="44"/>
  <c r="I18" i="44"/>
  <c r="H18" i="44"/>
  <c r="G18" i="44"/>
  <c r="F18" i="44"/>
  <c r="U17" i="44"/>
  <c r="T17" i="44"/>
  <c r="S17" i="44"/>
  <c r="R17" i="44"/>
  <c r="Q17" i="44"/>
  <c r="P17" i="44"/>
  <c r="O17" i="44"/>
  <c r="N17" i="44"/>
  <c r="M17" i="44"/>
  <c r="L17" i="44"/>
  <c r="K17" i="44"/>
  <c r="J17" i="44"/>
  <c r="I17" i="44"/>
  <c r="H17" i="44"/>
  <c r="G17" i="44"/>
  <c r="F17" i="44"/>
  <c r="U15" i="44"/>
  <c r="T15" i="44"/>
  <c r="S15" i="44"/>
  <c r="R15" i="44"/>
  <c r="Q15" i="44"/>
  <c r="P15" i="44"/>
  <c r="O15" i="44"/>
  <c r="N15" i="44"/>
  <c r="M15" i="44"/>
  <c r="L15" i="44"/>
  <c r="K15" i="44"/>
  <c r="J15" i="44"/>
  <c r="I15" i="44"/>
  <c r="H15" i="44"/>
  <c r="G15" i="44"/>
  <c r="F15" i="44"/>
  <c r="U35" i="43"/>
  <c r="T35" i="43"/>
  <c r="S35" i="43"/>
  <c r="R35" i="43"/>
  <c r="Q35" i="43"/>
  <c r="P35" i="43"/>
  <c r="O35" i="43"/>
  <c r="N35" i="43"/>
  <c r="M35" i="43"/>
  <c r="L35" i="43"/>
  <c r="K35" i="43"/>
  <c r="J35" i="43"/>
  <c r="I35" i="43"/>
  <c r="H35" i="43"/>
  <c r="G35" i="43"/>
  <c r="F35" i="43"/>
  <c r="U34" i="43"/>
  <c r="T34" i="43"/>
  <c r="S34" i="43"/>
  <c r="R34" i="43"/>
  <c r="Q34" i="43"/>
  <c r="P34" i="43"/>
  <c r="O34" i="43"/>
  <c r="N34" i="43"/>
  <c r="M34" i="43"/>
  <c r="L34" i="43"/>
  <c r="K34" i="43"/>
  <c r="J34" i="43"/>
  <c r="I34" i="43"/>
  <c r="H34" i="43"/>
  <c r="G34" i="43"/>
  <c r="F34" i="43"/>
  <c r="U33" i="43"/>
  <c r="T33" i="43"/>
  <c r="S33" i="43"/>
  <c r="R33" i="43"/>
  <c r="Q33" i="43"/>
  <c r="P33" i="43"/>
  <c r="O33" i="43"/>
  <c r="N33" i="43"/>
  <c r="M33" i="43"/>
  <c r="L33" i="43"/>
  <c r="K33" i="43"/>
  <c r="J33" i="43"/>
  <c r="I33" i="43"/>
  <c r="H33" i="43"/>
  <c r="G33" i="43"/>
  <c r="F33" i="43"/>
  <c r="U19" i="43"/>
  <c r="T19" i="43"/>
  <c r="S19" i="43"/>
  <c r="R19" i="43"/>
  <c r="Q19" i="43"/>
  <c r="P19" i="43"/>
  <c r="O19" i="43"/>
  <c r="N19" i="43"/>
  <c r="M19" i="43"/>
  <c r="L19" i="43"/>
  <c r="K19" i="43"/>
  <c r="J19" i="43"/>
  <c r="I19" i="43"/>
  <c r="H19" i="43"/>
  <c r="G19" i="43"/>
  <c r="F19" i="43"/>
  <c r="U18" i="43"/>
  <c r="T18" i="43"/>
  <c r="S18" i="43"/>
  <c r="R18" i="43"/>
  <c r="Q18" i="43"/>
  <c r="P18" i="43"/>
  <c r="O18" i="43"/>
  <c r="N18" i="43"/>
  <c r="M18" i="43"/>
  <c r="L18" i="43"/>
  <c r="K18" i="43"/>
  <c r="J18" i="43"/>
  <c r="I18" i="43"/>
  <c r="H18" i="43"/>
  <c r="G18" i="43"/>
  <c r="F18" i="43"/>
  <c r="U17" i="43"/>
  <c r="T17" i="43"/>
  <c r="S17" i="43"/>
  <c r="R17" i="43"/>
  <c r="Q17" i="43"/>
  <c r="P17" i="43"/>
  <c r="O17" i="43"/>
  <c r="N17" i="43"/>
  <c r="M17" i="43"/>
  <c r="L17" i="43"/>
  <c r="K17" i="43"/>
  <c r="J17" i="43"/>
  <c r="I17" i="43"/>
  <c r="H17" i="43"/>
  <c r="G17" i="43"/>
  <c r="F17" i="43"/>
  <c r="U15" i="43"/>
  <c r="T15" i="43"/>
  <c r="S15" i="43"/>
  <c r="R15" i="43"/>
  <c r="Q15" i="43"/>
  <c r="P15" i="43"/>
  <c r="O15" i="43"/>
  <c r="N15" i="43"/>
  <c r="M15" i="43"/>
  <c r="L15" i="43"/>
  <c r="K15" i="43"/>
  <c r="J15" i="43"/>
  <c r="I15" i="43"/>
  <c r="H15" i="43"/>
  <c r="G15" i="43"/>
  <c r="F15" i="43"/>
  <c r="U35" i="42"/>
  <c r="T35" i="42"/>
  <c r="S35" i="42"/>
  <c r="R35" i="42"/>
  <c r="Q35" i="42"/>
  <c r="P35" i="42"/>
  <c r="O35" i="42"/>
  <c r="N35" i="42"/>
  <c r="M35" i="42"/>
  <c r="L35" i="42"/>
  <c r="K35" i="42"/>
  <c r="J35" i="42"/>
  <c r="I35" i="42"/>
  <c r="H35" i="42"/>
  <c r="G35" i="42"/>
  <c r="F35" i="42"/>
  <c r="U34" i="42"/>
  <c r="T34" i="42"/>
  <c r="S34" i="42"/>
  <c r="R34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U33" i="42"/>
  <c r="T33" i="42"/>
  <c r="S33" i="42"/>
  <c r="R33" i="42"/>
  <c r="Q33" i="42"/>
  <c r="P33" i="42"/>
  <c r="O33" i="42"/>
  <c r="N33" i="42"/>
  <c r="M33" i="42"/>
  <c r="L33" i="42"/>
  <c r="K33" i="42"/>
  <c r="J33" i="42"/>
  <c r="I33" i="42"/>
  <c r="H33" i="42"/>
  <c r="G33" i="42"/>
  <c r="F33" i="42"/>
  <c r="U19" i="42"/>
  <c r="T19" i="42"/>
  <c r="S19" i="42"/>
  <c r="R19" i="42"/>
  <c r="Q19" i="42"/>
  <c r="P19" i="42"/>
  <c r="O19" i="42"/>
  <c r="N19" i="42"/>
  <c r="M19" i="42"/>
  <c r="L19" i="42"/>
  <c r="K19" i="42"/>
  <c r="J19" i="42"/>
  <c r="I19" i="42"/>
  <c r="H19" i="42"/>
  <c r="G19" i="42"/>
  <c r="F19" i="42"/>
  <c r="U18" i="42"/>
  <c r="T18" i="42"/>
  <c r="S18" i="42"/>
  <c r="R18" i="42"/>
  <c r="Q18" i="42"/>
  <c r="P18" i="42"/>
  <c r="O18" i="42"/>
  <c r="N18" i="42"/>
  <c r="M18" i="42"/>
  <c r="L18" i="42"/>
  <c r="K18" i="42"/>
  <c r="J18" i="42"/>
  <c r="I18" i="42"/>
  <c r="H18" i="42"/>
  <c r="G18" i="42"/>
  <c r="F18" i="42"/>
  <c r="U17" i="42"/>
  <c r="T17" i="42"/>
  <c r="S17" i="42"/>
  <c r="R17" i="42"/>
  <c r="Q17" i="42"/>
  <c r="P17" i="42"/>
  <c r="O17" i="42"/>
  <c r="N17" i="42"/>
  <c r="M17" i="42"/>
  <c r="L17" i="42"/>
  <c r="K17" i="42"/>
  <c r="J17" i="42"/>
  <c r="I17" i="42"/>
  <c r="H17" i="42"/>
  <c r="G17" i="42"/>
  <c r="F17" i="42"/>
  <c r="U15" i="42"/>
  <c r="T15" i="42"/>
  <c r="S15" i="42"/>
  <c r="R15" i="42"/>
  <c r="Q15" i="42"/>
  <c r="P15" i="42"/>
  <c r="O15" i="42"/>
  <c r="N15" i="42"/>
  <c r="M15" i="42"/>
  <c r="L15" i="42"/>
  <c r="K15" i="42"/>
  <c r="J15" i="42"/>
  <c r="I15" i="42"/>
  <c r="H15" i="42"/>
  <c r="G15" i="42"/>
  <c r="F15" i="42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G33" i="41"/>
  <c r="F33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U34" i="40"/>
  <c r="T34" i="40"/>
  <c r="S34" i="40"/>
  <c r="R34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U33" i="40"/>
  <c r="T33" i="40"/>
  <c r="S33" i="40"/>
  <c r="R33" i="40"/>
  <c r="Q33" i="40"/>
  <c r="P33" i="40"/>
  <c r="O33" i="40"/>
  <c r="N33" i="40"/>
  <c r="M33" i="40"/>
  <c r="L33" i="40"/>
  <c r="K33" i="40"/>
  <c r="J33" i="40"/>
  <c r="I33" i="40"/>
  <c r="H33" i="40"/>
  <c r="G33" i="40"/>
  <c r="F33" i="40"/>
  <c r="U19" i="40"/>
  <c r="T19" i="40"/>
  <c r="S19" i="40"/>
  <c r="R19" i="40"/>
  <c r="Q19" i="40"/>
  <c r="P19" i="40"/>
  <c r="O19" i="40"/>
  <c r="N19" i="40"/>
  <c r="M19" i="40"/>
  <c r="L19" i="40"/>
  <c r="K19" i="40"/>
  <c r="J19" i="40"/>
  <c r="I19" i="40"/>
  <c r="H19" i="40"/>
  <c r="G19" i="40"/>
  <c r="F19" i="40"/>
  <c r="U18" i="40"/>
  <c r="T18" i="40"/>
  <c r="S18" i="40"/>
  <c r="R18" i="40"/>
  <c r="Q18" i="40"/>
  <c r="P18" i="40"/>
  <c r="O18" i="40"/>
  <c r="N18" i="40"/>
  <c r="M18" i="40"/>
  <c r="L18" i="40"/>
  <c r="K18" i="40"/>
  <c r="J18" i="40"/>
  <c r="I18" i="40"/>
  <c r="H18" i="40"/>
  <c r="G18" i="40"/>
  <c r="F18" i="40"/>
  <c r="U17" i="40"/>
  <c r="T17" i="40"/>
  <c r="S17" i="40"/>
  <c r="R17" i="40"/>
  <c r="Q17" i="40"/>
  <c r="P17" i="40"/>
  <c r="O17" i="40"/>
  <c r="N17" i="40"/>
  <c r="M17" i="40"/>
  <c r="L17" i="40"/>
  <c r="K17" i="40"/>
  <c r="J17" i="40"/>
  <c r="I17" i="40"/>
  <c r="H17" i="40"/>
  <c r="G17" i="40"/>
  <c r="F17" i="40"/>
  <c r="U15" i="40"/>
  <c r="T15" i="40"/>
  <c r="S15" i="40"/>
  <c r="R15" i="40"/>
  <c r="Q15" i="40"/>
  <c r="P15" i="40"/>
  <c r="O15" i="40"/>
  <c r="N15" i="40"/>
  <c r="M15" i="40"/>
  <c r="L15" i="40"/>
  <c r="K15" i="40"/>
  <c r="J15" i="40"/>
  <c r="I15" i="40"/>
  <c r="H15" i="40"/>
  <c r="G15" i="40"/>
  <c r="F15" i="40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F58" i="24" l="1"/>
  <c r="F36" i="44"/>
  <c r="F45" i="44" s="1"/>
  <c r="F58" i="44" s="1"/>
  <c r="U23" i="44"/>
  <c r="U32" i="44" s="1"/>
  <c r="J9" i="44"/>
  <c r="G23" i="44" s="1"/>
  <c r="G32" i="44" s="1"/>
  <c r="U22" i="44"/>
  <c r="U31" i="44" s="1"/>
  <c r="J8" i="44"/>
  <c r="U21" i="44"/>
  <c r="U30" i="44" s="1"/>
  <c r="F24" i="44"/>
  <c r="F56" i="44"/>
  <c r="F43" i="44"/>
  <c r="U25" i="44"/>
  <c r="T25" i="44"/>
  <c r="S25" i="44"/>
  <c r="R25" i="44"/>
  <c r="Q25" i="44"/>
  <c r="Q23" i="44"/>
  <c r="Q32" i="44" s="1"/>
  <c r="R22" i="44"/>
  <c r="R31" i="44" s="1"/>
  <c r="T21" i="44"/>
  <c r="T30" i="44" s="1"/>
  <c r="Q21" i="44"/>
  <c r="Q30" i="44" s="1"/>
  <c r="T23" i="44"/>
  <c r="T32" i="44" s="1"/>
  <c r="S23" i="44"/>
  <c r="S32" i="44" s="1"/>
  <c r="R23" i="44"/>
  <c r="R32" i="44" s="1"/>
  <c r="T22" i="44"/>
  <c r="T31" i="44" s="1"/>
  <c r="S22" i="44"/>
  <c r="S31" i="44" s="1"/>
  <c r="Q22" i="44"/>
  <c r="Q31" i="44" s="1"/>
  <c r="S21" i="44"/>
  <c r="S30" i="44" s="1"/>
  <c r="R21" i="44"/>
  <c r="R30" i="44" s="1"/>
  <c r="L9" i="44"/>
  <c r="L8" i="44"/>
  <c r="L7" i="44"/>
  <c r="F36" i="43"/>
  <c r="F45" i="43" s="1"/>
  <c r="F58" i="43" s="1"/>
  <c r="U23" i="43"/>
  <c r="U32" i="43" s="1"/>
  <c r="S23" i="43"/>
  <c r="S32" i="43" s="1"/>
  <c r="R23" i="43"/>
  <c r="R32" i="43" s="1"/>
  <c r="Q23" i="43"/>
  <c r="Q32" i="43" s="1"/>
  <c r="U22" i="43"/>
  <c r="U31" i="43" s="1"/>
  <c r="Q22" i="43"/>
  <c r="Q31" i="43" s="1"/>
  <c r="J8" i="43"/>
  <c r="U21" i="43"/>
  <c r="U30" i="43" s="1"/>
  <c r="T21" i="43"/>
  <c r="T30" i="43" s="1"/>
  <c r="Q21" i="43"/>
  <c r="Q30" i="43" s="1"/>
  <c r="F24" i="43"/>
  <c r="F56" i="43"/>
  <c r="F43" i="43"/>
  <c r="U25" i="43"/>
  <c r="T25" i="43"/>
  <c r="S25" i="43"/>
  <c r="R25" i="43"/>
  <c r="Q25" i="43"/>
  <c r="T23" i="43"/>
  <c r="T32" i="43" s="1"/>
  <c r="T22" i="43"/>
  <c r="T31" i="43" s="1"/>
  <c r="S22" i="43"/>
  <c r="S31" i="43" s="1"/>
  <c r="R22" i="43"/>
  <c r="R31" i="43" s="1"/>
  <c r="S21" i="43"/>
  <c r="S30" i="43" s="1"/>
  <c r="R21" i="43"/>
  <c r="R30" i="43" s="1"/>
  <c r="J7" i="43"/>
  <c r="L9" i="43"/>
  <c r="J9" i="43"/>
  <c r="I23" i="43" s="1"/>
  <c r="I32" i="43" s="1"/>
  <c r="L8" i="43"/>
  <c r="L7" i="43"/>
  <c r="U23" i="42"/>
  <c r="U32" i="42" s="1"/>
  <c r="S23" i="42"/>
  <c r="S32" i="42" s="1"/>
  <c r="R23" i="42"/>
  <c r="R32" i="42" s="1"/>
  <c r="Q23" i="42"/>
  <c r="Q32" i="42" s="1"/>
  <c r="U22" i="42"/>
  <c r="U31" i="42" s="1"/>
  <c r="S22" i="42"/>
  <c r="S31" i="42" s="1"/>
  <c r="R22" i="42"/>
  <c r="R31" i="42" s="1"/>
  <c r="Q22" i="42"/>
  <c r="Q31" i="42" s="1"/>
  <c r="U21" i="42"/>
  <c r="U30" i="42" s="1"/>
  <c r="T21" i="42"/>
  <c r="T30" i="42" s="1"/>
  <c r="R21" i="42"/>
  <c r="R30" i="42" s="1"/>
  <c r="F24" i="42"/>
  <c r="F56" i="42"/>
  <c r="F43" i="42"/>
  <c r="F36" i="42"/>
  <c r="F45" i="42" s="1"/>
  <c r="F58" i="42" s="1"/>
  <c r="U25" i="42"/>
  <c r="T25" i="42"/>
  <c r="S25" i="42"/>
  <c r="R25" i="42"/>
  <c r="Q25" i="42"/>
  <c r="T23" i="42"/>
  <c r="T32" i="42" s="1"/>
  <c r="T22" i="42"/>
  <c r="T31" i="42" s="1"/>
  <c r="S21" i="42"/>
  <c r="S30" i="42" s="1"/>
  <c r="Q21" i="42"/>
  <c r="Q30" i="42" s="1"/>
  <c r="J7" i="42"/>
  <c r="L9" i="42"/>
  <c r="L8" i="42"/>
  <c r="L7" i="42"/>
  <c r="U23" i="41"/>
  <c r="U32" i="41" s="1"/>
  <c r="T23" i="41"/>
  <c r="T32" i="41" s="1"/>
  <c r="S23" i="41"/>
  <c r="S32" i="41" s="1"/>
  <c r="R23" i="41"/>
  <c r="R32" i="41" s="1"/>
  <c r="Q23" i="41"/>
  <c r="Q32" i="41" s="1"/>
  <c r="J9" i="41"/>
  <c r="I23" i="41" s="1"/>
  <c r="I32" i="41" s="1"/>
  <c r="U22" i="41"/>
  <c r="U31" i="41" s="1"/>
  <c r="T22" i="41"/>
  <c r="T31" i="41" s="1"/>
  <c r="S22" i="41"/>
  <c r="S31" i="41" s="1"/>
  <c r="R22" i="41"/>
  <c r="R31" i="41" s="1"/>
  <c r="Q22" i="41"/>
  <c r="Q31" i="41" s="1"/>
  <c r="J8" i="41"/>
  <c r="U21" i="41"/>
  <c r="U30" i="41" s="1"/>
  <c r="T21" i="41"/>
  <c r="T30" i="41" s="1"/>
  <c r="R21" i="41"/>
  <c r="R30" i="41" s="1"/>
  <c r="Q21" i="41"/>
  <c r="Q30" i="41" s="1"/>
  <c r="F24" i="41"/>
  <c r="F56" i="41"/>
  <c r="F43" i="41"/>
  <c r="F36" i="41"/>
  <c r="F45" i="41" s="1"/>
  <c r="F58" i="41" s="1"/>
  <c r="U25" i="41"/>
  <c r="T25" i="41"/>
  <c r="S25" i="41"/>
  <c r="R25" i="41"/>
  <c r="Q25" i="41"/>
  <c r="S21" i="41"/>
  <c r="S30" i="41" s="1"/>
  <c r="L9" i="41"/>
  <c r="L8" i="41"/>
  <c r="L7" i="41"/>
  <c r="U23" i="40"/>
  <c r="U32" i="40" s="1"/>
  <c r="R23" i="40"/>
  <c r="R32" i="40" s="1"/>
  <c r="Q23" i="40"/>
  <c r="Q32" i="40" s="1"/>
  <c r="U22" i="40"/>
  <c r="U31" i="40" s="1"/>
  <c r="R22" i="40"/>
  <c r="R31" i="40" s="1"/>
  <c r="Q22" i="40"/>
  <c r="Q31" i="40" s="1"/>
  <c r="U21" i="40"/>
  <c r="U30" i="40" s="1"/>
  <c r="R21" i="40"/>
  <c r="R30" i="40" s="1"/>
  <c r="Q21" i="40"/>
  <c r="Q30" i="40" s="1"/>
  <c r="F56" i="40"/>
  <c r="F43" i="40"/>
  <c r="F36" i="40"/>
  <c r="F45" i="40" s="1"/>
  <c r="F58" i="40" s="1"/>
  <c r="U25" i="40"/>
  <c r="T25" i="40"/>
  <c r="S25" i="40"/>
  <c r="R25" i="40"/>
  <c r="Q25" i="40"/>
  <c r="T21" i="40"/>
  <c r="T30" i="40" s="1"/>
  <c r="T23" i="40"/>
  <c r="T32" i="40" s="1"/>
  <c r="S23" i="40"/>
  <c r="S32" i="40" s="1"/>
  <c r="T22" i="40"/>
  <c r="T31" i="40" s="1"/>
  <c r="S22" i="40"/>
  <c r="S31" i="40" s="1"/>
  <c r="S21" i="40"/>
  <c r="S30" i="40" s="1"/>
  <c r="L9" i="40"/>
  <c r="L8" i="40"/>
  <c r="L7" i="40"/>
  <c r="J8" i="24"/>
  <c r="F61" i="44" l="1"/>
  <c r="G60" i="44" s="1"/>
  <c r="F63" i="44"/>
  <c r="F64" i="44" s="1"/>
  <c r="F63" i="43"/>
  <c r="F64" i="43" s="1"/>
  <c r="F61" i="43"/>
  <c r="G60" i="43" s="1"/>
  <c r="F63" i="42"/>
  <c r="F64" i="42" s="1"/>
  <c r="F61" i="42"/>
  <c r="G60" i="42" s="1"/>
  <c r="F63" i="41"/>
  <c r="F64" i="41" s="1"/>
  <c r="F61" i="41"/>
  <c r="G60" i="41" s="1"/>
  <c r="F63" i="40"/>
  <c r="F64" i="40" s="1"/>
  <c r="F61" i="40"/>
  <c r="G60" i="40" s="1"/>
  <c r="F63" i="24"/>
  <c r="F64" i="24" s="1"/>
  <c r="F61" i="24"/>
  <c r="G60" i="24" s="1"/>
  <c r="R52" i="44"/>
  <c r="R53" i="44"/>
  <c r="R54" i="44"/>
  <c r="R55" i="44"/>
  <c r="R51" i="44"/>
  <c r="R38" i="44"/>
  <c r="R39" i="44"/>
  <c r="R47" i="44"/>
  <c r="R50" i="44"/>
  <c r="R40" i="44"/>
  <c r="R41" i="44"/>
  <c r="R48" i="44"/>
  <c r="R42" i="44"/>
  <c r="R49" i="44"/>
  <c r="U55" i="44"/>
  <c r="U38" i="44"/>
  <c r="U50" i="44"/>
  <c r="U39" i="44"/>
  <c r="U40" i="44"/>
  <c r="U41" i="44"/>
  <c r="U42" i="44"/>
  <c r="U54" i="44"/>
  <c r="U47" i="44"/>
  <c r="U51" i="44"/>
  <c r="U48" i="44"/>
  <c r="U49" i="44"/>
  <c r="U52" i="44"/>
  <c r="U53" i="44"/>
  <c r="T54" i="44"/>
  <c r="T52" i="44"/>
  <c r="T53" i="44"/>
  <c r="T55" i="44"/>
  <c r="T38" i="44"/>
  <c r="T39" i="44"/>
  <c r="T49" i="44"/>
  <c r="T40" i="44"/>
  <c r="T41" i="44"/>
  <c r="T42" i="44"/>
  <c r="T47" i="44"/>
  <c r="T48" i="44"/>
  <c r="T50" i="44"/>
  <c r="T51" i="44"/>
  <c r="S53" i="44"/>
  <c r="S48" i="44"/>
  <c r="S54" i="44"/>
  <c r="S55" i="44"/>
  <c r="S38" i="44"/>
  <c r="S49" i="44"/>
  <c r="S39" i="44"/>
  <c r="S51" i="44"/>
  <c r="S40" i="44"/>
  <c r="S41" i="44"/>
  <c r="S42" i="44"/>
  <c r="S47" i="44"/>
  <c r="S50" i="44"/>
  <c r="S52" i="44"/>
  <c r="Q51" i="44"/>
  <c r="Q52" i="44"/>
  <c r="Q53" i="44"/>
  <c r="Q54" i="44"/>
  <c r="Q55" i="44"/>
  <c r="Q38" i="44"/>
  <c r="Q39" i="44"/>
  <c r="Q40" i="44"/>
  <c r="Q49" i="44"/>
  <c r="Q41" i="44"/>
  <c r="Q42" i="44"/>
  <c r="Q47" i="44"/>
  <c r="Q50" i="44"/>
  <c r="Q48" i="44"/>
  <c r="T54" i="43"/>
  <c r="T51" i="43"/>
  <c r="T52" i="43"/>
  <c r="T55" i="43"/>
  <c r="T53" i="43"/>
  <c r="T38" i="43"/>
  <c r="T48" i="43"/>
  <c r="T39" i="43"/>
  <c r="T40" i="43"/>
  <c r="T41" i="43"/>
  <c r="T42" i="43"/>
  <c r="T47" i="43"/>
  <c r="T49" i="43"/>
  <c r="T50" i="43"/>
  <c r="R52" i="43"/>
  <c r="R53" i="43"/>
  <c r="R51" i="43"/>
  <c r="R54" i="43"/>
  <c r="R42" i="43"/>
  <c r="R55" i="43"/>
  <c r="R49" i="43"/>
  <c r="R38" i="43"/>
  <c r="R39" i="43"/>
  <c r="R47" i="43"/>
  <c r="R40" i="43"/>
  <c r="R41" i="43"/>
  <c r="R48" i="43"/>
  <c r="R50" i="43"/>
  <c r="Q51" i="43"/>
  <c r="Q52" i="43"/>
  <c r="Q48" i="43"/>
  <c r="Q53" i="43"/>
  <c r="Q54" i="43"/>
  <c r="Q41" i="43"/>
  <c r="Q55" i="43"/>
  <c r="Q49" i="43"/>
  <c r="Q38" i="43"/>
  <c r="Q39" i="43"/>
  <c r="Q40" i="43"/>
  <c r="Q50" i="43"/>
  <c r="Q42" i="43"/>
  <c r="Q47" i="43"/>
  <c r="S53" i="43"/>
  <c r="S54" i="43"/>
  <c r="S55" i="43"/>
  <c r="S38" i="43"/>
  <c r="S39" i="43"/>
  <c r="S40" i="43"/>
  <c r="S47" i="43"/>
  <c r="S41" i="43"/>
  <c r="S51" i="43"/>
  <c r="S52" i="43"/>
  <c r="S42" i="43"/>
  <c r="S50" i="43"/>
  <c r="S48" i="43"/>
  <c r="S49" i="43"/>
  <c r="U55" i="43"/>
  <c r="U49" i="43"/>
  <c r="U38" i="43"/>
  <c r="U39" i="43"/>
  <c r="U40" i="43"/>
  <c r="U41" i="43"/>
  <c r="U53" i="43"/>
  <c r="U42" i="43"/>
  <c r="U54" i="43"/>
  <c r="U47" i="43"/>
  <c r="U52" i="43"/>
  <c r="U48" i="43"/>
  <c r="U50" i="43"/>
  <c r="U51" i="43"/>
  <c r="U55" i="42"/>
  <c r="U38" i="42"/>
  <c r="U39" i="42"/>
  <c r="U40" i="42"/>
  <c r="U51" i="42"/>
  <c r="U41" i="42"/>
  <c r="U47" i="42"/>
  <c r="U53" i="42"/>
  <c r="U54" i="42"/>
  <c r="U42" i="42"/>
  <c r="U48" i="42"/>
  <c r="U52" i="42"/>
  <c r="U49" i="42"/>
  <c r="U50" i="42"/>
  <c r="Q51" i="42"/>
  <c r="Q52" i="42"/>
  <c r="Q47" i="42"/>
  <c r="Q53" i="42"/>
  <c r="Q54" i="42"/>
  <c r="Q48" i="42"/>
  <c r="Q55" i="42"/>
  <c r="Q42" i="42"/>
  <c r="Q40" i="42"/>
  <c r="Q38" i="42"/>
  <c r="Q39" i="42"/>
  <c r="Q49" i="42"/>
  <c r="Q41" i="42"/>
  <c r="Q50" i="42"/>
  <c r="R52" i="42"/>
  <c r="R50" i="42"/>
  <c r="R53" i="42"/>
  <c r="R47" i="42"/>
  <c r="R49" i="42"/>
  <c r="R54" i="42"/>
  <c r="R55" i="42"/>
  <c r="R38" i="42"/>
  <c r="R41" i="42"/>
  <c r="R39" i="42"/>
  <c r="R40" i="42"/>
  <c r="R51" i="42"/>
  <c r="R42" i="42"/>
  <c r="R48" i="42"/>
  <c r="S53" i="42"/>
  <c r="S49" i="42"/>
  <c r="S54" i="42"/>
  <c r="S55" i="42"/>
  <c r="S50" i="42"/>
  <c r="S42" i="42"/>
  <c r="S38" i="42"/>
  <c r="S41" i="42"/>
  <c r="S39" i="42"/>
  <c r="S40" i="42"/>
  <c r="S48" i="42"/>
  <c r="S52" i="42"/>
  <c r="S47" i="42"/>
  <c r="S51" i="42"/>
  <c r="T54" i="42"/>
  <c r="T55" i="42"/>
  <c r="T49" i="42"/>
  <c r="T38" i="42"/>
  <c r="T50" i="42"/>
  <c r="T39" i="42"/>
  <c r="T52" i="42"/>
  <c r="T53" i="42"/>
  <c r="T40" i="42"/>
  <c r="T41" i="42"/>
  <c r="T42" i="42"/>
  <c r="T47" i="42"/>
  <c r="T48" i="42"/>
  <c r="T51" i="42"/>
  <c r="Q51" i="41"/>
  <c r="Q52" i="41"/>
  <c r="Q53" i="41"/>
  <c r="Q47" i="41"/>
  <c r="Q54" i="41"/>
  <c r="Q55" i="41"/>
  <c r="Q40" i="41"/>
  <c r="Q41" i="41"/>
  <c r="Q38" i="41"/>
  <c r="Q39" i="41"/>
  <c r="Q42" i="41"/>
  <c r="Q50" i="41"/>
  <c r="Q48" i="41"/>
  <c r="Q49" i="41"/>
  <c r="R52" i="41"/>
  <c r="R51" i="41"/>
  <c r="R53" i="41"/>
  <c r="R48" i="41"/>
  <c r="R54" i="41"/>
  <c r="R55" i="41"/>
  <c r="R42" i="41"/>
  <c r="R47" i="41"/>
  <c r="R38" i="41"/>
  <c r="R39" i="41"/>
  <c r="R40" i="41"/>
  <c r="R41" i="41"/>
  <c r="R50" i="41"/>
  <c r="R49" i="41"/>
  <c r="S53" i="41"/>
  <c r="S54" i="41"/>
  <c r="S52" i="41"/>
  <c r="S55" i="41"/>
  <c r="S47" i="41"/>
  <c r="S49" i="41"/>
  <c r="S51" i="41"/>
  <c r="S38" i="41"/>
  <c r="S39" i="41"/>
  <c r="S40" i="41"/>
  <c r="S42" i="41"/>
  <c r="S41" i="41"/>
  <c r="S48" i="41"/>
  <c r="S50" i="41"/>
  <c r="T54" i="41"/>
  <c r="T55" i="41"/>
  <c r="T38" i="41"/>
  <c r="T39" i="41"/>
  <c r="T47" i="41"/>
  <c r="T40" i="41"/>
  <c r="T52" i="41"/>
  <c r="T41" i="41"/>
  <c r="T49" i="41"/>
  <c r="T53" i="41"/>
  <c r="T42" i="41"/>
  <c r="T48" i="41"/>
  <c r="T50" i="41"/>
  <c r="T51" i="41"/>
  <c r="U55" i="41"/>
  <c r="U49" i="41"/>
  <c r="U39" i="41"/>
  <c r="U53" i="41"/>
  <c r="U38" i="41"/>
  <c r="U40" i="41"/>
  <c r="U54" i="41"/>
  <c r="U41" i="41"/>
  <c r="U48" i="41"/>
  <c r="U42" i="41"/>
  <c r="U51" i="41"/>
  <c r="U47" i="41"/>
  <c r="U50" i="41"/>
  <c r="U52" i="41"/>
  <c r="T54" i="40"/>
  <c r="T55" i="40"/>
  <c r="T40" i="40"/>
  <c r="T50" i="40"/>
  <c r="T38" i="40"/>
  <c r="T39" i="40"/>
  <c r="T48" i="40"/>
  <c r="T41" i="40"/>
  <c r="T42" i="40"/>
  <c r="T47" i="40"/>
  <c r="T52" i="40"/>
  <c r="T49" i="40"/>
  <c r="T51" i="40"/>
  <c r="T53" i="40"/>
  <c r="Q51" i="40"/>
  <c r="Q53" i="40"/>
  <c r="Q54" i="40"/>
  <c r="Q52" i="40"/>
  <c r="Q48" i="40"/>
  <c r="Q50" i="40"/>
  <c r="Q55" i="40"/>
  <c r="Q47" i="40"/>
  <c r="Q40" i="40"/>
  <c r="Q41" i="40"/>
  <c r="Q38" i="40"/>
  <c r="Q39" i="40"/>
  <c r="Q42" i="40"/>
  <c r="Q49" i="40"/>
  <c r="U55" i="40"/>
  <c r="U38" i="40"/>
  <c r="U52" i="40"/>
  <c r="U41" i="40"/>
  <c r="U49" i="40"/>
  <c r="U51" i="40"/>
  <c r="U39" i="40"/>
  <c r="U40" i="40"/>
  <c r="U48" i="40"/>
  <c r="U53" i="40"/>
  <c r="U42" i="40"/>
  <c r="U47" i="40"/>
  <c r="U50" i="40"/>
  <c r="U54" i="40"/>
  <c r="R52" i="40"/>
  <c r="R53" i="40"/>
  <c r="R54" i="40"/>
  <c r="R55" i="40"/>
  <c r="R41" i="40"/>
  <c r="R42" i="40"/>
  <c r="R38" i="40"/>
  <c r="R50" i="40"/>
  <c r="R49" i="40"/>
  <c r="R39" i="40"/>
  <c r="R51" i="40"/>
  <c r="R40" i="40"/>
  <c r="R48" i="40"/>
  <c r="R47" i="40"/>
  <c r="S53" i="40"/>
  <c r="S39" i="40"/>
  <c r="S52" i="40"/>
  <c r="S54" i="40"/>
  <c r="S51" i="40"/>
  <c r="S55" i="40"/>
  <c r="S47" i="40"/>
  <c r="S49" i="40"/>
  <c r="S50" i="40"/>
  <c r="S38" i="40"/>
  <c r="S40" i="40"/>
  <c r="S41" i="40"/>
  <c r="S42" i="40"/>
  <c r="S48" i="40"/>
  <c r="J7" i="44"/>
  <c r="I21" i="44" s="1"/>
  <c r="I30" i="44" s="1"/>
  <c r="J8" i="40"/>
  <c r="I22" i="40" s="1"/>
  <c r="I31" i="40" s="1"/>
  <c r="J8" i="42"/>
  <c r="G22" i="42" s="1"/>
  <c r="G31" i="42" s="1"/>
  <c r="J9" i="42"/>
  <c r="I23" i="42" s="1"/>
  <c r="I32" i="42" s="1"/>
  <c r="J7" i="40"/>
  <c r="G21" i="40" s="1"/>
  <c r="G30" i="40" s="1"/>
  <c r="J9" i="40"/>
  <c r="J23" i="40" s="1"/>
  <c r="J32" i="40" s="1"/>
  <c r="F24" i="40"/>
  <c r="F24" i="24"/>
  <c r="J7" i="24"/>
  <c r="G21" i="24" s="1"/>
  <c r="G30" i="24" s="1"/>
  <c r="R36" i="44"/>
  <c r="S36" i="44"/>
  <c r="P21" i="44"/>
  <c r="P30" i="44" s="1"/>
  <c r="O21" i="44"/>
  <c r="O30" i="44" s="1"/>
  <c r="N21" i="44"/>
  <c r="N30" i="44" s="1"/>
  <c r="M21" i="44"/>
  <c r="M30" i="44" s="1"/>
  <c r="L21" i="44"/>
  <c r="L30" i="44" s="1"/>
  <c r="K21" i="44"/>
  <c r="K30" i="44" s="1"/>
  <c r="J21" i="44"/>
  <c r="J30" i="44" s="1"/>
  <c r="T36" i="44"/>
  <c r="G22" i="44"/>
  <c r="G31" i="44" s="1"/>
  <c r="I22" i="44"/>
  <c r="I31" i="44" s="1"/>
  <c r="P22" i="44"/>
  <c r="P31" i="44" s="1"/>
  <c r="O22" i="44"/>
  <c r="O31" i="44" s="1"/>
  <c r="N22" i="44"/>
  <c r="N31" i="44" s="1"/>
  <c r="L22" i="44"/>
  <c r="L31" i="44" s="1"/>
  <c r="M22" i="44"/>
  <c r="M31" i="44" s="1"/>
  <c r="K22" i="44"/>
  <c r="K31" i="44" s="1"/>
  <c r="J22" i="44"/>
  <c r="J31" i="44" s="1"/>
  <c r="H22" i="44"/>
  <c r="H31" i="44" s="1"/>
  <c r="U36" i="44"/>
  <c r="Q36" i="44"/>
  <c r="I23" i="44"/>
  <c r="I32" i="44" s="1"/>
  <c r="K23" i="44"/>
  <c r="K32" i="44" s="1"/>
  <c r="L23" i="44"/>
  <c r="L32" i="44" s="1"/>
  <c r="M23" i="44"/>
  <c r="M32" i="44" s="1"/>
  <c r="J23" i="44"/>
  <c r="J32" i="44" s="1"/>
  <c r="N23" i="44"/>
  <c r="N32" i="44" s="1"/>
  <c r="H23" i="44"/>
  <c r="H32" i="44" s="1"/>
  <c r="O23" i="44"/>
  <c r="O32" i="44" s="1"/>
  <c r="P23" i="44"/>
  <c r="P32" i="44" s="1"/>
  <c r="S36" i="43"/>
  <c r="T36" i="43"/>
  <c r="P22" i="43"/>
  <c r="P31" i="43" s="1"/>
  <c r="O22" i="43"/>
  <c r="O31" i="43" s="1"/>
  <c r="H22" i="43"/>
  <c r="H31" i="43" s="1"/>
  <c r="N22" i="43"/>
  <c r="N31" i="43" s="1"/>
  <c r="M22" i="43"/>
  <c r="M31" i="43" s="1"/>
  <c r="L22" i="43"/>
  <c r="L31" i="43" s="1"/>
  <c r="K22" i="43"/>
  <c r="K31" i="43" s="1"/>
  <c r="I22" i="43"/>
  <c r="I31" i="43" s="1"/>
  <c r="J22" i="43"/>
  <c r="J31" i="43" s="1"/>
  <c r="G22" i="43"/>
  <c r="G31" i="43" s="1"/>
  <c r="R36" i="43"/>
  <c r="P21" i="43"/>
  <c r="P30" i="43" s="1"/>
  <c r="O21" i="43"/>
  <c r="O30" i="43" s="1"/>
  <c r="N21" i="43"/>
  <c r="N30" i="43" s="1"/>
  <c r="M21" i="43"/>
  <c r="M30" i="43" s="1"/>
  <c r="L21" i="43"/>
  <c r="L30" i="43" s="1"/>
  <c r="K21" i="43"/>
  <c r="K30" i="43" s="1"/>
  <c r="H21" i="43"/>
  <c r="H30" i="43" s="1"/>
  <c r="J21" i="43"/>
  <c r="J30" i="43" s="1"/>
  <c r="I21" i="43"/>
  <c r="I30" i="43" s="1"/>
  <c r="G21" i="43"/>
  <c r="G30" i="43" s="1"/>
  <c r="Q36" i="43"/>
  <c r="U36" i="43"/>
  <c r="G23" i="43"/>
  <c r="G32" i="43" s="1"/>
  <c r="H23" i="43"/>
  <c r="H32" i="43" s="1"/>
  <c r="J23" i="43"/>
  <c r="J32" i="43" s="1"/>
  <c r="K23" i="43"/>
  <c r="K32" i="43" s="1"/>
  <c r="L23" i="43"/>
  <c r="L32" i="43" s="1"/>
  <c r="M23" i="43"/>
  <c r="M32" i="43" s="1"/>
  <c r="N23" i="43"/>
  <c r="N32" i="43" s="1"/>
  <c r="O23" i="43"/>
  <c r="O32" i="43" s="1"/>
  <c r="P23" i="43"/>
  <c r="P32" i="43" s="1"/>
  <c r="U36" i="42"/>
  <c r="Q36" i="42"/>
  <c r="S36" i="42"/>
  <c r="H21" i="42"/>
  <c r="H30" i="42" s="1"/>
  <c r="P21" i="42"/>
  <c r="P30" i="42" s="1"/>
  <c r="O21" i="42"/>
  <c r="O30" i="42" s="1"/>
  <c r="J21" i="42"/>
  <c r="J30" i="42" s="1"/>
  <c r="N21" i="42"/>
  <c r="N30" i="42" s="1"/>
  <c r="M21" i="42"/>
  <c r="M30" i="42" s="1"/>
  <c r="L21" i="42"/>
  <c r="L30" i="42" s="1"/>
  <c r="K21" i="42"/>
  <c r="K30" i="42" s="1"/>
  <c r="I21" i="42"/>
  <c r="I30" i="42" s="1"/>
  <c r="G21" i="42"/>
  <c r="G30" i="42" s="1"/>
  <c r="R36" i="42"/>
  <c r="P22" i="42"/>
  <c r="P31" i="42" s="1"/>
  <c r="J22" i="42"/>
  <c r="J31" i="42" s="1"/>
  <c r="O22" i="42"/>
  <c r="O31" i="42" s="1"/>
  <c r="N22" i="42"/>
  <c r="N31" i="42" s="1"/>
  <c r="K22" i="42"/>
  <c r="K31" i="42" s="1"/>
  <c r="M22" i="42"/>
  <c r="M31" i="42" s="1"/>
  <c r="L22" i="42"/>
  <c r="L31" i="42" s="1"/>
  <c r="T36" i="42"/>
  <c r="L23" i="42"/>
  <c r="L32" i="42" s="1"/>
  <c r="P23" i="42"/>
  <c r="P32" i="42" s="1"/>
  <c r="O23" i="42"/>
  <c r="O32" i="42" s="1"/>
  <c r="K23" i="42"/>
  <c r="K32" i="42" s="1"/>
  <c r="N23" i="42"/>
  <c r="N32" i="42" s="1"/>
  <c r="M23" i="42"/>
  <c r="M32" i="42" s="1"/>
  <c r="J23" i="42"/>
  <c r="J32" i="42" s="1"/>
  <c r="J7" i="41"/>
  <c r="O21" i="41" s="1"/>
  <c r="O30" i="41" s="1"/>
  <c r="S36" i="41"/>
  <c r="R36" i="41"/>
  <c r="Q36" i="41"/>
  <c r="P22" i="41"/>
  <c r="P31" i="41" s="1"/>
  <c r="G22" i="41"/>
  <c r="G31" i="41" s="1"/>
  <c r="O22" i="41"/>
  <c r="O31" i="41" s="1"/>
  <c r="N22" i="41"/>
  <c r="N31" i="41" s="1"/>
  <c r="M22" i="41"/>
  <c r="M31" i="41" s="1"/>
  <c r="L22" i="41"/>
  <c r="L31" i="41" s="1"/>
  <c r="K22" i="41"/>
  <c r="K31" i="41" s="1"/>
  <c r="J22" i="41"/>
  <c r="J31" i="41" s="1"/>
  <c r="H22" i="41"/>
  <c r="H31" i="41" s="1"/>
  <c r="I22" i="41"/>
  <c r="I31" i="41" s="1"/>
  <c r="U36" i="41"/>
  <c r="P21" i="41"/>
  <c r="P30" i="41" s="1"/>
  <c r="K21" i="41"/>
  <c r="K30" i="41" s="1"/>
  <c r="J21" i="41"/>
  <c r="J30" i="41" s="1"/>
  <c r="T36" i="41"/>
  <c r="J23" i="41"/>
  <c r="J32" i="41" s="1"/>
  <c r="H23" i="41"/>
  <c r="H32" i="41" s="1"/>
  <c r="L23" i="41"/>
  <c r="L32" i="41" s="1"/>
  <c r="G23" i="41"/>
  <c r="G32" i="41" s="1"/>
  <c r="M23" i="41"/>
  <c r="M32" i="41" s="1"/>
  <c r="N23" i="41"/>
  <c r="N32" i="41" s="1"/>
  <c r="K23" i="41"/>
  <c r="K32" i="41" s="1"/>
  <c r="O23" i="41"/>
  <c r="O32" i="41" s="1"/>
  <c r="P23" i="41"/>
  <c r="P32" i="41" s="1"/>
  <c r="Q36" i="40"/>
  <c r="R36" i="40"/>
  <c r="S36" i="40"/>
  <c r="P22" i="40"/>
  <c r="P31" i="40" s="1"/>
  <c r="O22" i="40"/>
  <c r="O31" i="40" s="1"/>
  <c r="N22" i="40"/>
  <c r="N31" i="40" s="1"/>
  <c r="M22" i="40"/>
  <c r="M31" i="40" s="1"/>
  <c r="L22" i="40"/>
  <c r="L31" i="40" s="1"/>
  <c r="K22" i="40"/>
  <c r="K31" i="40" s="1"/>
  <c r="J22" i="40"/>
  <c r="J31" i="40" s="1"/>
  <c r="T36" i="40"/>
  <c r="P21" i="40"/>
  <c r="P30" i="40" s="1"/>
  <c r="O21" i="40"/>
  <c r="O30" i="40" s="1"/>
  <c r="N21" i="40"/>
  <c r="N30" i="40" s="1"/>
  <c r="M21" i="40"/>
  <c r="M30" i="40" s="1"/>
  <c r="L21" i="40"/>
  <c r="L30" i="40" s="1"/>
  <c r="K21" i="40"/>
  <c r="K30" i="40" s="1"/>
  <c r="J21" i="40"/>
  <c r="J30" i="40" s="1"/>
  <c r="U36" i="40"/>
  <c r="L23" i="40"/>
  <c r="L32" i="40" s="1"/>
  <c r="M23" i="40"/>
  <c r="M32" i="40" s="1"/>
  <c r="K23" i="40"/>
  <c r="K32" i="40" s="1"/>
  <c r="N23" i="40"/>
  <c r="N32" i="40" s="1"/>
  <c r="O23" i="40"/>
  <c r="O32" i="40" s="1"/>
  <c r="P23" i="40"/>
  <c r="P32" i="40" s="1"/>
  <c r="Q25" i="24"/>
  <c r="R25" i="24"/>
  <c r="S25" i="24"/>
  <c r="T25" i="24"/>
  <c r="U25" i="24"/>
  <c r="L8" i="24"/>
  <c r="L9" i="24"/>
  <c r="Q22" i="24"/>
  <c r="Q31" i="24" s="1"/>
  <c r="R22" i="24"/>
  <c r="R31" i="24" s="1"/>
  <c r="S22" i="24"/>
  <c r="S31" i="24" s="1"/>
  <c r="T22" i="24"/>
  <c r="T31" i="24" s="1"/>
  <c r="U22" i="24"/>
  <c r="U31" i="24" s="1"/>
  <c r="Q23" i="24"/>
  <c r="Q32" i="24" s="1"/>
  <c r="R23" i="24"/>
  <c r="R32" i="24" s="1"/>
  <c r="S23" i="24"/>
  <c r="S32" i="24" s="1"/>
  <c r="T23" i="24"/>
  <c r="T32" i="24" s="1"/>
  <c r="U23" i="24"/>
  <c r="U32" i="24" s="1"/>
  <c r="Q21" i="24"/>
  <c r="Q30" i="24" s="1"/>
  <c r="R21" i="24"/>
  <c r="R30" i="24" s="1"/>
  <c r="S21" i="24"/>
  <c r="S30" i="24" s="1"/>
  <c r="T21" i="24"/>
  <c r="T30" i="24" s="1"/>
  <c r="U21" i="24"/>
  <c r="U30" i="24" s="1"/>
  <c r="T43" i="43" l="1"/>
  <c r="T45" i="43" s="1"/>
  <c r="S36" i="24"/>
  <c r="U40" i="24"/>
  <c r="U55" i="24"/>
  <c r="U54" i="24"/>
  <c r="U50" i="24"/>
  <c r="U39" i="24"/>
  <c r="U53" i="24"/>
  <c r="U52" i="24"/>
  <c r="U49" i="24"/>
  <c r="U51" i="24"/>
  <c r="U48" i="24"/>
  <c r="U42" i="24"/>
  <c r="U47" i="24"/>
  <c r="U41" i="24"/>
  <c r="U38" i="24"/>
  <c r="T55" i="24"/>
  <c r="T52" i="24"/>
  <c r="T49" i="24"/>
  <c r="T54" i="24"/>
  <c r="T48" i="24"/>
  <c r="T53" i="24"/>
  <c r="T51" i="24"/>
  <c r="T50" i="24"/>
  <c r="T39" i="24"/>
  <c r="T42" i="24"/>
  <c r="T47" i="24"/>
  <c r="T38" i="24"/>
  <c r="T41" i="24"/>
  <c r="T40" i="24"/>
  <c r="R36" i="24"/>
  <c r="S55" i="24"/>
  <c r="S51" i="24"/>
  <c r="S47" i="24"/>
  <c r="S54" i="24"/>
  <c r="S53" i="24"/>
  <c r="S52" i="24"/>
  <c r="S38" i="24"/>
  <c r="S50" i="24"/>
  <c r="S49" i="24"/>
  <c r="S48" i="24"/>
  <c r="S42" i="24"/>
  <c r="S41" i="24"/>
  <c r="S40" i="24"/>
  <c r="S39" i="24"/>
  <c r="Q36" i="24"/>
  <c r="R54" i="24"/>
  <c r="R42" i="24"/>
  <c r="R53" i="24"/>
  <c r="R41" i="24"/>
  <c r="R52" i="24"/>
  <c r="R50" i="24"/>
  <c r="R51" i="24"/>
  <c r="R49" i="24"/>
  <c r="R48" i="24"/>
  <c r="R47" i="24"/>
  <c r="R55" i="24"/>
  <c r="R40" i="24"/>
  <c r="R39" i="24"/>
  <c r="R38" i="24"/>
  <c r="U36" i="24"/>
  <c r="Q53" i="24"/>
  <c r="Q52" i="24"/>
  <c r="Q55" i="24"/>
  <c r="Q54" i="24"/>
  <c r="Q51" i="24"/>
  <c r="Q50" i="24"/>
  <c r="Q49" i="24"/>
  <c r="Q40" i="24"/>
  <c r="Q41" i="24"/>
  <c r="Q48" i="24"/>
  <c r="Q42" i="24"/>
  <c r="Q47" i="24"/>
  <c r="Q39" i="24"/>
  <c r="Q38" i="24"/>
  <c r="T36" i="24"/>
  <c r="G21" i="44"/>
  <c r="G30" i="44" s="1"/>
  <c r="G36" i="44" s="1"/>
  <c r="H21" i="44"/>
  <c r="H30" i="44" s="1"/>
  <c r="H36" i="44" s="1"/>
  <c r="I21" i="41"/>
  <c r="I30" i="41" s="1"/>
  <c r="I36" i="41" s="1"/>
  <c r="H23" i="40"/>
  <c r="H32" i="40" s="1"/>
  <c r="G23" i="40"/>
  <c r="G32" i="40" s="1"/>
  <c r="H22" i="40"/>
  <c r="H31" i="40" s="1"/>
  <c r="I21" i="40"/>
  <c r="I30" i="40" s="1"/>
  <c r="H21" i="40"/>
  <c r="H30" i="40" s="1"/>
  <c r="G22" i="40"/>
  <c r="G31" i="40" s="1"/>
  <c r="I23" i="40"/>
  <c r="I32" i="40" s="1"/>
  <c r="H22" i="42"/>
  <c r="H31" i="42" s="1"/>
  <c r="G23" i="42"/>
  <c r="G32" i="42" s="1"/>
  <c r="G36" i="42" s="1"/>
  <c r="H23" i="42"/>
  <c r="H32" i="42" s="1"/>
  <c r="I22" i="42"/>
  <c r="I31" i="42" s="1"/>
  <c r="I36" i="42" s="1"/>
  <c r="T56" i="43"/>
  <c r="U43" i="43"/>
  <c r="U45" i="43" s="1"/>
  <c r="T56" i="40"/>
  <c r="Q56" i="42"/>
  <c r="S56" i="42"/>
  <c r="R56" i="42"/>
  <c r="S56" i="41"/>
  <c r="H21" i="41"/>
  <c r="S43" i="41"/>
  <c r="S45" i="41" s="1"/>
  <c r="R43" i="41"/>
  <c r="R45" i="41" s="1"/>
  <c r="U56" i="41"/>
  <c r="V55" i="41" s="1"/>
  <c r="Q43" i="41"/>
  <c r="Q45" i="41" s="1"/>
  <c r="S43" i="40"/>
  <c r="S45" i="40" s="1"/>
  <c r="R43" i="40"/>
  <c r="R45" i="40" s="1"/>
  <c r="S56" i="44"/>
  <c r="R56" i="44"/>
  <c r="U56" i="44"/>
  <c r="V49" i="44" s="1"/>
  <c r="Q56" i="44"/>
  <c r="T43" i="44"/>
  <c r="T45" i="44" s="1"/>
  <c r="T56" i="44"/>
  <c r="S43" i="44"/>
  <c r="S45" i="44" s="1"/>
  <c r="S58" i="44" s="1"/>
  <c r="U43" i="44"/>
  <c r="U45" i="44" s="1"/>
  <c r="U58" i="44" s="1"/>
  <c r="U63" i="44" s="1"/>
  <c r="R43" i="43"/>
  <c r="R45" i="43" s="1"/>
  <c r="U56" i="43"/>
  <c r="V52" i="43" s="1"/>
  <c r="R56" i="43"/>
  <c r="Q56" i="43"/>
  <c r="S56" i="43"/>
  <c r="U43" i="42"/>
  <c r="U45" i="42" s="1"/>
  <c r="U58" i="42" s="1"/>
  <c r="U63" i="42" s="1"/>
  <c r="T43" i="42"/>
  <c r="T45" i="42" s="1"/>
  <c r="T58" i="42" s="1"/>
  <c r="T63" i="42" s="1"/>
  <c r="T56" i="42"/>
  <c r="T56" i="41"/>
  <c r="R56" i="41"/>
  <c r="Q56" i="41"/>
  <c r="S56" i="40"/>
  <c r="R56" i="40"/>
  <c r="R43" i="44"/>
  <c r="R45" i="44" s="1"/>
  <c r="R58" i="44" s="1"/>
  <c r="R63" i="44" s="1"/>
  <c r="K36" i="44"/>
  <c r="L36" i="44"/>
  <c r="Q43" i="44"/>
  <c r="Q45" i="44" s="1"/>
  <c r="M36" i="44"/>
  <c r="N36" i="44"/>
  <c r="P36" i="44"/>
  <c r="O36" i="44"/>
  <c r="P25" i="44"/>
  <c r="O25" i="44"/>
  <c r="N25" i="44"/>
  <c r="M25" i="44"/>
  <c r="L25" i="44"/>
  <c r="K25" i="44"/>
  <c r="J25" i="44"/>
  <c r="I36" i="44"/>
  <c r="J36" i="44"/>
  <c r="G24" i="44"/>
  <c r="H24" i="44" s="1"/>
  <c r="I24" i="44" s="1"/>
  <c r="J24" i="44" s="1"/>
  <c r="K24" i="44" s="1"/>
  <c r="L24" i="44" s="1"/>
  <c r="M24" i="44" s="1"/>
  <c r="N24" i="44" s="1"/>
  <c r="O24" i="44" s="1"/>
  <c r="P24" i="44" s="1"/>
  <c r="Q24" i="44" s="1"/>
  <c r="R24" i="44" s="1"/>
  <c r="S24" i="44" s="1"/>
  <c r="T24" i="44" s="1"/>
  <c r="U24" i="44" s="1"/>
  <c r="K36" i="43"/>
  <c r="N36" i="43"/>
  <c r="Q43" i="43"/>
  <c r="Q45" i="43" s="1"/>
  <c r="Q58" i="43" s="1"/>
  <c r="H36" i="43"/>
  <c r="I36" i="43"/>
  <c r="G36" i="43"/>
  <c r="P25" i="43"/>
  <c r="G25" i="43"/>
  <c r="O25" i="43"/>
  <c r="N25" i="43"/>
  <c r="M25" i="43"/>
  <c r="L25" i="43"/>
  <c r="K25" i="43"/>
  <c r="J25" i="43"/>
  <c r="I25" i="43"/>
  <c r="H25" i="43"/>
  <c r="L36" i="43"/>
  <c r="O36" i="43"/>
  <c r="P36" i="43"/>
  <c r="S43" i="43"/>
  <c r="S45" i="43" s="1"/>
  <c r="S58" i="43" s="1"/>
  <c r="S63" i="43" s="1"/>
  <c r="J36" i="43"/>
  <c r="M36" i="43"/>
  <c r="G24" i="43"/>
  <c r="H24" i="43" s="1"/>
  <c r="I24" i="43" s="1"/>
  <c r="J24" i="43" s="1"/>
  <c r="K24" i="43" s="1"/>
  <c r="L24" i="43" s="1"/>
  <c r="M24" i="43" s="1"/>
  <c r="N24" i="43" s="1"/>
  <c r="O24" i="43" s="1"/>
  <c r="P24" i="43" s="1"/>
  <c r="Q24" i="43" s="1"/>
  <c r="R24" i="43" s="1"/>
  <c r="S24" i="43" s="1"/>
  <c r="T24" i="43" s="1"/>
  <c r="U24" i="43" s="1"/>
  <c r="O36" i="42"/>
  <c r="P36" i="42"/>
  <c r="M36" i="42"/>
  <c r="Q43" i="42"/>
  <c r="Q45" i="42" s="1"/>
  <c r="Q58" i="42" s="1"/>
  <c r="Q63" i="42" s="1"/>
  <c r="S43" i="42"/>
  <c r="S45" i="42" s="1"/>
  <c r="S58" i="42" s="1"/>
  <c r="S63" i="42" s="1"/>
  <c r="R43" i="42"/>
  <c r="R45" i="42" s="1"/>
  <c r="R58" i="42" s="1"/>
  <c r="R63" i="42" s="1"/>
  <c r="N36" i="42"/>
  <c r="J36" i="42"/>
  <c r="L25" i="42"/>
  <c r="P25" i="42"/>
  <c r="O25" i="42"/>
  <c r="M25" i="42"/>
  <c r="K25" i="42"/>
  <c r="N25" i="42"/>
  <c r="J25" i="42"/>
  <c r="U56" i="42"/>
  <c r="V53" i="42" s="1"/>
  <c r="K36" i="42"/>
  <c r="L36" i="42"/>
  <c r="K36" i="41"/>
  <c r="G21" i="41"/>
  <c r="L21" i="41"/>
  <c r="L30" i="41" s="1"/>
  <c r="M21" i="41"/>
  <c r="N21" i="41"/>
  <c r="P25" i="41"/>
  <c r="O25" i="41"/>
  <c r="N25" i="41"/>
  <c r="M25" i="41"/>
  <c r="L25" i="41"/>
  <c r="T43" i="41"/>
  <c r="T45" i="41" s="1"/>
  <c r="T58" i="41" s="1"/>
  <c r="T63" i="41" s="1"/>
  <c r="P36" i="41"/>
  <c r="O36" i="41"/>
  <c r="U43" i="41"/>
  <c r="U45" i="41" s="1"/>
  <c r="U58" i="41" s="1"/>
  <c r="U63" i="41" s="1"/>
  <c r="J36" i="41"/>
  <c r="U43" i="40"/>
  <c r="U45" i="40" s="1"/>
  <c r="Q43" i="40"/>
  <c r="Q45" i="40" s="1"/>
  <c r="Q56" i="40"/>
  <c r="T43" i="40"/>
  <c r="T45" i="40" s="1"/>
  <c r="J36" i="40"/>
  <c r="N36" i="40"/>
  <c r="L36" i="40"/>
  <c r="O36" i="40"/>
  <c r="K25" i="40"/>
  <c r="P25" i="40"/>
  <c r="O25" i="40"/>
  <c r="N25" i="40"/>
  <c r="M25" i="40"/>
  <c r="J25" i="40"/>
  <c r="L25" i="40"/>
  <c r="M36" i="40"/>
  <c r="P36" i="40"/>
  <c r="K36" i="40"/>
  <c r="U56" i="40"/>
  <c r="J9" i="24"/>
  <c r="L7" i="24"/>
  <c r="T58" i="44" l="1"/>
  <c r="T63" i="44" s="1"/>
  <c r="Q58" i="44"/>
  <c r="S63" i="44"/>
  <c r="Q63" i="44"/>
  <c r="I25" i="44"/>
  <c r="I51" i="44" s="1"/>
  <c r="G25" i="44"/>
  <c r="G53" i="44" s="1"/>
  <c r="H25" i="44"/>
  <c r="H53" i="44" s="1"/>
  <c r="U58" i="43"/>
  <c r="U63" i="43" s="1"/>
  <c r="Q63" i="43"/>
  <c r="R58" i="43"/>
  <c r="R63" i="43" s="1"/>
  <c r="T58" i="43"/>
  <c r="T63" i="43" s="1"/>
  <c r="Q58" i="41"/>
  <c r="Q63" i="41" s="1"/>
  <c r="R58" i="41"/>
  <c r="R63" i="41" s="1"/>
  <c r="S58" i="41"/>
  <c r="S63" i="41" s="1"/>
  <c r="T58" i="40"/>
  <c r="T63" i="40" s="1"/>
  <c r="S58" i="40"/>
  <c r="S63" i="40" s="1"/>
  <c r="U58" i="40"/>
  <c r="U63" i="40" s="1"/>
  <c r="Q58" i="40"/>
  <c r="Q63" i="40"/>
  <c r="R58" i="40"/>
  <c r="R63" i="40" s="1"/>
  <c r="G36" i="40"/>
  <c r="Q43" i="24"/>
  <c r="Q45" i="24" s="1"/>
  <c r="U43" i="24"/>
  <c r="U45" i="24"/>
  <c r="H25" i="42"/>
  <c r="H41" i="42" s="1"/>
  <c r="H36" i="40"/>
  <c r="T56" i="24"/>
  <c r="R56" i="24"/>
  <c r="S56" i="24"/>
  <c r="U56" i="24"/>
  <c r="T43" i="24"/>
  <c r="T45" i="24" s="1"/>
  <c r="Q56" i="24"/>
  <c r="R43" i="24"/>
  <c r="R45" i="24" s="1"/>
  <c r="R58" i="24" s="1"/>
  <c r="S43" i="24"/>
  <c r="S45" i="24" s="1"/>
  <c r="S58" i="24" s="1"/>
  <c r="S63" i="24" s="1"/>
  <c r="V53" i="43"/>
  <c r="V55" i="43"/>
  <c r="H36" i="42"/>
  <c r="G24" i="40"/>
  <c r="H24" i="40" s="1"/>
  <c r="I24" i="40" s="1"/>
  <c r="J24" i="40" s="1"/>
  <c r="K24" i="40" s="1"/>
  <c r="L24" i="40" s="1"/>
  <c r="M24" i="40" s="1"/>
  <c r="N24" i="40" s="1"/>
  <c r="O24" i="40" s="1"/>
  <c r="P24" i="40" s="1"/>
  <c r="Q24" i="40" s="1"/>
  <c r="R24" i="40" s="1"/>
  <c r="S24" i="40" s="1"/>
  <c r="T24" i="40" s="1"/>
  <c r="U24" i="40" s="1"/>
  <c r="L42" i="44"/>
  <c r="L47" i="44"/>
  <c r="L48" i="44"/>
  <c r="L49" i="44"/>
  <c r="L50" i="44"/>
  <c r="L51" i="44"/>
  <c r="L41" i="44"/>
  <c r="L38" i="44"/>
  <c r="L40" i="44"/>
  <c r="L52" i="44"/>
  <c r="L53" i="44"/>
  <c r="L54" i="44"/>
  <c r="L55" i="44"/>
  <c r="L39" i="44"/>
  <c r="K41" i="44"/>
  <c r="K47" i="44"/>
  <c r="K42" i="44"/>
  <c r="K48" i="44"/>
  <c r="K39" i="44"/>
  <c r="K49" i="44"/>
  <c r="K50" i="44"/>
  <c r="K51" i="44"/>
  <c r="K52" i="44"/>
  <c r="K53" i="44"/>
  <c r="K54" i="44"/>
  <c r="K55" i="44"/>
  <c r="K40" i="44"/>
  <c r="K38" i="44"/>
  <c r="J40" i="44"/>
  <c r="J41" i="44"/>
  <c r="J42" i="44"/>
  <c r="J38" i="44"/>
  <c r="J47" i="44"/>
  <c r="J48" i="44"/>
  <c r="J49" i="44"/>
  <c r="J50" i="44"/>
  <c r="J51" i="44"/>
  <c r="J52" i="44"/>
  <c r="J53" i="44"/>
  <c r="J39" i="44"/>
  <c r="J54" i="44"/>
  <c r="J55" i="44"/>
  <c r="M47" i="44"/>
  <c r="M48" i="44"/>
  <c r="M41" i="44"/>
  <c r="M49" i="44"/>
  <c r="M42" i="44"/>
  <c r="M50" i="44"/>
  <c r="M51" i="44"/>
  <c r="M52" i="44"/>
  <c r="M38" i="44"/>
  <c r="M53" i="44"/>
  <c r="M54" i="44"/>
  <c r="M55" i="44"/>
  <c r="M39" i="44"/>
  <c r="M40" i="44"/>
  <c r="V51" i="44"/>
  <c r="N48" i="44"/>
  <c r="N49" i="44"/>
  <c r="N50" i="44"/>
  <c r="N51" i="44"/>
  <c r="N52" i="44"/>
  <c r="N53" i="44"/>
  <c r="N42" i="44"/>
  <c r="N47" i="44"/>
  <c r="N54" i="44"/>
  <c r="N39" i="44"/>
  <c r="N40" i="44"/>
  <c r="N55" i="44"/>
  <c r="N38" i="44"/>
  <c r="N41" i="44"/>
  <c r="O49" i="44"/>
  <c r="O50" i="44"/>
  <c r="O48" i="44"/>
  <c r="O51" i="44"/>
  <c r="O41" i="44"/>
  <c r="O52" i="44"/>
  <c r="O53" i="44"/>
  <c r="O54" i="44"/>
  <c r="O55" i="44"/>
  <c r="O38" i="44"/>
  <c r="O40" i="44"/>
  <c r="O39" i="44"/>
  <c r="O47" i="44"/>
  <c r="O42" i="44"/>
  <c r="V52" i="44"/>
  <c r="V47" i="44"/>
  <c r="P50" i="44"/>
  <c r="P51" i="44"/>
  <c r="P41" i="44"/>
  <c r="P42" i="44"/>
  <c r="P52" i="44"/>
  <c r="P53" i="44"/>
  <c r="P54" i="44"/>
  <c r="P55" i="44"/>
  <c r="P38" i="44"/>
  <c r="P49" i="44"/>
  <c r="P39" i="44"/>
  <c r="P40" i="44"/>
  <c r="P48" i="44"/>
  <c r="P47" i="44"/>
  <c r="I47" i="44"/>
  <c r="I38" i="44"/>
  <c r="I50" i="44"/>
  <c r="I55" i="44"/>
  <c r="V50" i="44"/>
  <c r="P50" i="43"/>
  <c r="P41" i="43"/>
  <c r="P51" i="43"/>
  <c r="P52" i="43"/>
  <c r="P53" i="43"/>
  <c r="P54" i="43"/>
  <c r="P55" i="43"/>
  <c r="P47" i="43"/>
  <c r="P49" i="43"/>
  <c r="P38" i="43"/>
  <c r="P39" i="43"/>
  <c r="P40" i="43"/>
  <c r="P48" i="43"/>
  <c r="P42" i="43"/>
  <c r="V48" i="43"/>
  <c r="N48" i="43"/>
  <c r="N47" i="43"/>
  <c r="N49" i="43"/>
  <c r="N40" i="43"/>
  <c r="N50" i="43"/>
  <c r="N41" i="43"/>
  <c r="N51" i="43"/>
  <c r="N38" i="43"/>
  <c r="N52" i="43"/>
  <c r="N53" i="43"/>
  <c r="N54" i="43"/>
  <c r="N55" i="43"/>
  <c r="N39" i="43"/>
  <c r="N42" i="43"/>
  <c r="I39" i="43"/>
  <c r="I40" i="43"/>
  <c r="I41" i="43"/>
  <c r="I42" i="43"/>
  <c r="I47" i="43"/>
  <c r="I48" i="43"/>
  <c r="I53" i="43"/>
  <c r="I49" i="43"/>
  <c r="I50" i="43"/>
  <c r="I51" i="43"/>
  <c r="I52" i="43"/>
  <c r="I54" i="43"/>
  <c r="I38" i="43"/>
  <c r="I55" i="43"/>
  <c r="G38" i="43"/>
  <c r="G39" i="43"/>
  <c r="G40" i="43"/>
  <c r="G41" i="43"/>
  <c r="G42" i="43"/>
  <c r="G47" i="43"/>
  <c r="G51" i="43"/>
  <c r="G48" i="43"/>
  <c r="G49" i="43"/>
  <c r="G50" i="43"/>
  <c r="G52" i="43"/>
  <c r="G54" i="43"/>
  <c r="G53" i="43"/>
  <c r="G55" i="43"/>
  <c r="V47" i="43"/>
  <c r="J40" i="43"/>
  <c r="J41" i="43"/>
  <c r="J54" i="43"/>
  <c r="J42" i="43"/>
  <c r="J47" i="43"/>
  <c r="J38" i="43"/>
  <c r="J48" i="43"/>
  <c r="J49" i="43"/>
  <c r="J50" i="43"/>
  <c r="J51" i="43"/>
  <c r="J52" i="43"/>
  <c r="J53" i="43"/>
  <c r="J55" i="43"/>
  <c r="J39" i="43"/>
  <c r="K41" i="43"/>
  <c r="K42" i="43"/>
  <c r="K47" i="43"/>
  <c r="K39" i="43"/>
  <c r="K48" i="43"/>
  <c r="K49" i="43"/>
  <c r="K50" i="43"/>
  <c r="K51" i="43"/>
  <c r="K52" i="43"/>
  <c r="K53" i="43"/>
  <c r="K54" i="43"/>
  <c r="K55" i="43"/>
  <c r="K40" i="43"/>
  <c r="K38" i="43"/>
  <c r="O49" i="43"/>
  <c r="O50" i="43"/>
  <c r="O47" i="43"/>
  <c r="O51" i="43"/>
  <c r="O52" i="43"/>
  <c r="O48" i="43"/>
  <c r="O53" i="43"/>
  <c r="O54" i="43"/>
  <c r="O42" i="43"/>
  <c r="O55" i="43"/>
  <c r="O40" i="43"/>
  <c r="O39" i="43"/>
  <c r="O38" i="43"/>
  <c r="O41" i="43"/>
  <c r="H38" i="43"/>
  <c r="H39" i="43"/>
  <c r="H40" i="43"/>
  <c r="H41" i="43"/>
  <c r="H42" i="43"/>
  <c r="H47" i="43"/>
  <c r="H48" i="43"/>
  <c r="H49" i="43"/>
  <c r="H55" i="43"/>
  <c r="H50" i="43"/>
  <c r="H52" i="43"/>
  <c r="H51" i="43"/>
  <c r="H53" i="43"/>
  <c r="H54" i="43"/>
  <c r="L42" i="43"/>
  <c r="L47" i="43"/>
  <c r="L48" i="43"/>
  <c r="L49" i="43"/>
  <c r="L50" i="43"/>
  <c r="L41" i="43"/>
  <c r="L51" i="43"/>
  <c r="L52" i="43"/>
  <c r="L53" i="43"/>
  <c r="L54" i="43"/>
  <c r="L38" i="43"/>
  <c r="L55" i="43"/>
  <c r="L39" i="43"/>
  <c r="L40" i="43"/>
  <c r="V51" i="43"/>
  <c r="M47" i="43"/>
  <c r="M48" i="43"/>
  <c r="M49" i="43"/>
  <c r="M50" i="43"/>
  <c r="M40" i="43"/>
  <c r="M51" i="43"/>
  <c r="M38" i="43"/>
  <c r="M52" i="43"/>
  <c r="M39" i="43"/>
  <c r="M42" i="43"/>
  <c r="M53" i="43"/>
  <c r="M54" i="43"/>
  <c r="M41" i="43"/>
  <c r="M55" i="43"/>
  <c r="O49" i="42"/>
  <c r="O38" i="42"/>
  <c r="O50" i="42"/>
  <c r="O48" i="42"/>
  <c r="O51" i="42"/>
  <c r="O52" i="42"/>
  <c r="O53" i="42"/>
  <c r="O47" i="42"/>
  <c r="O54" i="42"/>
  <c r="O40" i="42"/>
  <c r="O55" i="42"/>
  <c r="O41" i="42"/>
  <c r="O39" i="42"/>
  <c r="O42" i="42"/>
  <c r="P50" i="42"/>
  <c r="P47" i="42"/>
  <c r="P51" i="42"/>
  <c r="P52" i="42"/>
  <c r="P49" i="42"/>
  <c r="P53" i="42"/>
  <c r="P54" i="42"/>
  <c r="P42" i="42"/>
  <c r="P48" i="42"/>
  <c r="P55" i="42"/>
  <c r="P38" i="42"/>
  <c r="P41" i="42"/>
  <c r="P39" i="42"/>
  <c r="P40" i="42"/>
  <c r="N48" i="42"/>
  <c r="N49" i="42"/>
  <c r="N50" i="42"/>
  <c r="N40" i="42"/>
  <c r="N42" i="42"/>
  <c r="N51" i="42"/>
  <c r="N52" i="42"/>
  <c r="N39" i="42"/>
  <c r="N47" i="42"/>
  <c r="N53" i="42"/>
  <c r="N54" i="42"/>
  <c r="N55" i="42"/>
  <c r="N41" i="42"/>
  <c r="N38" i="42"/>
  <c r="J40" i="42"/>
  <c r="J41" i="42"/>
  <c r="J42" i="42"/>
  <c r="J47" i="42"/>
  <c r="J48" i="42"/>
  <c r="J53" i="42"/>
  <c r="J49" i="42"/>
  <c r="J50" i="42"/>
  <c r="J51" i="42"/>
  <c r="J52" i="42"/>
  <c r="J39" i="42"/>
  <c r="J54" i="42"/>
  <c r="J55" i="42"/>
  <c r="J38" i="42"/>
  <c r="I25" i="42"/>
  <c r="G24" i="42"/>
  <c r="H24" i="42" s="1"/>
  <c r="I24" i="42" s="1"/>
  <c r="J24" i="42" s="1"/>
  <c r="K24" i="42" s="1"/>
  <c r="L24" i="42" s="1"/>
  <c r="M24" i="42" s="1"/>
  <c r="N24" i="42" s="1"/>
  <c r="O24" i="42" s="1"/>
  <c r="P24" i="42" s="1"/>
  <c r="Q24" i="42" s="1"/>
  <c r="R24" i="42" s="1"/>
  <c r="S24" i="42" s="1"/>
  <c r="T24" i="42" s="1"/>
  <c r="U24" i="42" s="1"/>
  <c r="M47" i="42"/>
  <c r="M42" i="42"/>
  <c r="M48" i="42"/>
  <c r="M41" i="42"/>
  <c r="M49" i="42"/>
  <c r="M50" i="42"/>
  <c r="M51" i="42"/>
  <c r="M40" i="42"/>
  <c r="M52" i="42"/>
  <c r="M53" i="42"/>
  <c r="M54" i="42"/>
  <c r="M55" i="42"/>
  <c r="M38" i="42"/>
  <c r="M39" i="42"/>
  <c r="L42" i="42"/>
  <c r="L48" i="42"/>
  <c r="L47" i="42"/>
  <c r="L55" i="42"/>
  <c r="L49" i="42"/>
  <c r="L50" i="42"/>
  <c r="L51" i="42"/>
  <c r="L39" i="42"/>
  <c r="L52" i="42"/>
  <c r="L38" i="42"/>
  <c r="L53" i="42"/>
  <c r="L40" i="42"/>
  <c r="L54" i="42"/>
  <c r="L41" i="42"/>
  <c r="K41" i="42"/>
  <c r="K42" i="42"/>
  <c r="K47" i="42"/>
  <c r="K48" i="42"/>
  <c r="K49" i="42"/>
  <c r="K40" i="42"/>
  <c r="K50" i="42"/>
  <c r="K53" i="42"/>
  <c r="K54" i="42"/>
  <c r="K51" i="42"/>
  <c r="K38" i="42"/>
  <c r="K52" i="42"/>
  <c r="K39" i="42"/>
  <c r="K55" i="42"/>
  <c r="G25" i="42"/>
  <c r="O49" i="41"/>
  <c r="O40" i="41"/>
  <c r="O47" i="41"/>
  <c r="O50" i="41"/>
  <c r="O51" i="41"/>
  <c r="O53" i="41"/>
  <c r="O52" i="41"/>
  <c r="O54" i="41"/>
  <c r="O38" i="41"/>
  <c r="O55" i="41"/>
  <c r="O39" i="41"/>
  <c r="O41" i="41"/>
  <c r="O42" i="41"/>
  <c r="O48" i="41"/>
  <c r="G30" i="41"/>
  <c r="G36" i="41" s="1"/>
  <c r="N48" i="41"/>
  <c r="N52" i="41"/>
  <c r="N49" i="41"/>
  <c r="N50" i="41"/>
  <c r="N51" i="41"/>
  <c r="N39" i="41"/>
  <c r="N53" i="41"/>
  <c r="N38" i="41"/>
  <c r="N54" i="41"/>
  <c r="N55" i="41"/>
  <c r="N40" i="41"/>
  <c r="N42" i="41"/>
  <c r="N47" i="41"/>
  <c r="N41" i="41"/>
  <c r="N30" i="41"/>
  <c r="N36" i="41" s="1"/>
  <c r="P50" i="41"/>
  <c r="P51" i="41"/>
  <c r="P54" i="41"/>
  <c r="P40" i="41"/>
  <c r="P48" i="41"/>
  <c r="P52" i="41"/>
  <c r="P53" i="41"/>
  <c r="P55" i="41"/>
  <c r="P41" i="41"/>
  <c r="P42" i="41"/>
  <c r="P38" i="41"/>
  <c r="P39" i="41"/>
  <c r="P49" i="41"/>
  <c r="P47" i="41"/>
  <c r="M47" i="41"/>
  <c r="M40" i="41"/>
  <c r="M48" i="41"/>
  <c r="M49" i="41"/>
  <c r="M50" i="41"/>
  <c r="M51" i="41"/>
  <c r="M41" i="41"/>
  <c r="M52" i="41"/>
  <c r="M39" i="41"/>
  <c r="M53" i="41"/>
  <c r="M42" i="41"/>
  <c r="M54" i="41"/>
  <c r="M55" i="41"/>
  <c r="M38" i="41"/>
  <c r="H30" i="41"/>
  <c r="H36" i="41" s="1"/>
  <c r="L42" i="41"/>
  <c r="L47" i="41"/>
  <c r="L48" i="41"/>
  <c r="L38" i="41"/>
  <c r="L41" i="41"/>
  <c r="L49" i="41"/>
  <c r="L50" i="41"/>
  <c r="L51" i="41"/>
  <c r="L52" i="41"/>
  <c r="L53" i="41"/>
  <c r="L39" i="41"/>
  <c r="L40" i="41"/>
  <c r="L54" i="41"/>
  <c r="L55" i="41"/>
  <c r="M30" i="41"/>
  <c r="M36" i="41" s="1"/>
  <c r="K41" i="40"/>
  <c r="K48" i="40"/>
  <c r="K42" i="40"/>
  <c r="K47" i="40"/>
  <c r="K39" i="40"/>
  <c r="K49" i="40"/>
  <c r="K50" i="40"/>
  <c r="K51" i="40"/>
  <c r="K54" i="40"/>
  <c r="K40" i="40"/>
  <c r="K52" i="40"/>
  <c r="K53" i="40"/>
  <c r="K55" i="40"/>
  <c r="K38" i="40"/>
  <c r="P50" i="40"/>
  <c r="P51" i="40"/>
  <c r="P52" i="40"/>
  <c r="P53" i="40"/>
  <c r="P39" i="40"/>
  <c r="P48" i="40"/>
  <c r="P54" i="40"/>
  <c r="P55" i="40"/>
  <c r="P38" i="40"/>
  <c r="P47" i="40"/>
  <c r="P40" i="40"/>
  <c r="P42" i="40"/>
  <c r="P41" i="40"/>
  <c r="P49" i="40"/>
  <c r="G25" i="40"/>
  <c r="J40" i="40"/>
  <c r="J47" i="40"/>
  <c r="J41" i="40"/>
  <c r="J42" i="40"/>
  <c r="J53" i="40"/>
  <c r="J38" i="40"/>
  <c r="J48" i="40"/>
  <c r="J49" i="40"/>
  <c r="J50" i="40"/>
  <c r="J51" i="40"/>
  <c r="J54" i="40"/>
  <c r="J52" i="40"/>
  <c r="J39" i="40"/>
  <c r="J55" i="40"/>
  <c r="L42" i="40"/>
  <c r="L48" i="40"/>
  <c r="L38" i="40"/>
  <c r="L47" i="40"/>
  <c r="L49" i="40"/>
  <c r="L50" i="40"/>
  <c r="L51" i="40"/>
  <c r="L52" i="40"/>
  <c r="L39" i="40"/>
  <c r="L53" i="40"/>
  <c r="L54" i="40"/>
  <c r="L41" i="40"/>
  <c r="L55" i="40"/>
  <c r="L40" i="40"/>
  <c r="M47" i="40"/>
  <c r="M50" i="40"/>
  <c r="M48" i="40"/>
  <c r="M49" i="40"/>
  <c r="M42" i="40"/>
  <c r="M40" i="40"/>
  <c r="M51" i="40"/>
  <c r="M52" i="40"/>
  <c r="M39" i="40"/>
  <c r="M53" i="40"/>
  <c r="M54" i="40"/>
  <c r="M41" i="40"/>
  <c r="M55" i="40"/>
  <c r="M38" i="40"/>
  <c r="N48" i="40"/>
  <c r="N50" i="40"/>
  <c r="N42" i="40"/>
  <c r="N49" i="40"/>
  <c r="N51" i="40"/>
  <c r="N52" i="40"/>
  <c r="N53" i="40"/>
  <c r="N54" i="40"/>
  <c r="N55" i="40"/>
  <c r="N39" i="40"/>
  <c r="N40" i="40"/>
  <c r="N38" i="40"/>
  <c r="N41" i="40"/>
  <c r="N47" i="40"/>
  <c r="O49" i="40"/>
  <c r="O51" i="40"/>
  <c r="O52" i="40"/>
  <c r="O38" i="40"/>
  <c r="O39" i="40"/>
  <c r="O50" i="40"/>
  <c r="O53" i="40"/>
  <c r="O54" i="40"/>
  <c r="O48" i="40"/>
  <c r="O55" i="40"/>
  <c r="O42" i="40"/>
  <c r="O47" i="40"/>
  <c r="O40" i="40"/>
  <c r="O41" i="40"/>
  <c r="H25" i="40"/>
  <c r="I25" i="40"/>
  <c r="I36" i="40"/>
  <c r="I25" i="41"/>
  <c r="V48" i="41"/>
  <c r="V53" i="41"/>
  <c r="V54" i="41"/>
  <c r="V49" i="43"/>
  <c r="V50" i="43"/>
  <c r="V53" i="44"/>
  <c r="V54" i="43"/>
  <c r="G24" i="41"/>
  <c r="H24" i="41" s="1"/>
  <c r="I24" i="41" s="1"/>
  <c r="J24" i="41" s="1"/>
  <c r="K24" i="41" s="1"/>
  <c r="L24" i="41" s="1"/>
  <c r="M24" i="41" s="1"/>
  <c r="N24" i="41" s="1"/>
  <c r="O24" i="41" s="1"/>
  <c r="P24" i="41" s="1"/>
  <c r="Q24" i="41" s="1"/>
  <c r="R24" i="41" s="1"/>
  <c r="S24" i="41" s="1"/>
  <c r="T24" i="41" s="1"/>
  <c r="U24" i="41" s="1"/>
  <c r="V47" i="41"/>
  <c r="V49" i="41"/>
  <c r="V52" i="41"/>
  <c r="V51" i="41"/>
  <c r="V50" i="41"/>
  <c r="V54" i="44"/>
  <c r="V55" i="44"/>
  <c r="V48" i="44"/>
  <c r="H25" i="41"/>
  <c r="V52" i="42"/>
  <c r="V50" i="42"/>
  <c r="V51" i="42"/>
  <c r="V55" i="42"/>
  <c r="V48" i="42"/>
  <c r="V49" i="42"/>
  <c r="V47" i="42"/>
  <c r="V54" i="42"/>
  <c r="L36" i="41"/>
  <c r="G25" i="41"/>
  <c r="J25" i="41"/>
  <c r="K25" i="41"/>
  <c r="V53" i="40"/>
  <c r="V50" i="40"/>
  <c r="V48" i="40"/>
  <c r="V47" i="40"/>
  <c r="V49" i="40"/>
  <c r="V55" i="40"/>
  <c r="V51" i="40"/>
  <c r="V52" i="40"/>
  <c r="V54" i="40"/>
  <c r="I23" i="24"/>
  <c r="I32" i="24" s="1"/>
  <c r="N23" i="24"/>
  <c r="N32" i="24" s="1"/>
  <c r="J23" i="24"/>
  <c r="J32" i="24" s="1"/>
  <c r="L23" i="24"/>
  <c r="L32" i="24" s="1"/>
  <c r="G23" i="24"/>
  <c r="G32" i="24" s="1"/>
  <c r="H23" i="24"/>
  <c r="H32" i="24" s="1"/>
  <c r="K23" i="24"/>
  <c r="K32" i="24" s="1"/>
  <c r="M23" i="24"/>
  <c r="M32" i="24" s="1"/>
  <c r="O23" i="24"/>
  <c r="O32" i="24" s="1"/>
  <c r="P23" i="24"/>
  <c r="P32" i="24" s="1"/>
  <c r="K21" i="24"/>
  <c r="K30" i="24" s="1"/>
  <c r="L21" i="24"/>
  <c r="L30" i="24" s="1"/>
  <c r="M21" i="24"/>
  <c r="M30" i="24" s="1"/>
  <c r="I21" i="24"/>
  <c r="I30" i="24" s="1"/>
  <c r="H21" i="24"/>
  <c r="H30" i="24" s="1"/>
  <c r="O21" i="24"/>
  <c r="O30" i="24" s="1"/>
  <c r="J21" i="24"/>
  <c r="J30" i="24" s="1"/>
  <c r="N21" i="24"/>
  <c r="N30" i="24" s="1"/>
  <c r="P21" i="24"/>
  <c r="P30" i="24" s="1"/>
  <c r="N22" i="24"/>
  <c r="N31" i="24" s="1"/>
  <c r="G22" i="24"/>
  <c r="G31" i="24" s="1"/>
  <c r="G36" i="24" s="1"/>
  <c r="H22" i="24"/>
  <c r="H31" i="24" s="1"/>
  <c r="I22" i="24"/>
  <c r="I31" i="24" s="1"/>
  <c r="J22" i="24"/>
  <c r="J31" i="24" s="1"/>
  <c r="M22" i="24"/>
  <c r="M31" i="24" s="1"/>
  <c r="O22" i="24"/>
  <c r="O31" i="24" s="1"/>
  <c r="P22" i="24"/>
  <c r="P31" i="24" s="1"/>
  <c r="K22" i="24"/>
  <c r="K31" i="24" s="1"/>
  <c r="L22" i="24"/>
  <c r="L31" i="24" s="1"/>
  <c r="G54" i="44" l="1"/>
  <c r="G40" i="44"/>
  <c r="I49" i="44"/>
  <c r="G39" i="44"/>
  <c r="I48" i="44"/>
  <c r="G38" i="44"/>
  <c r="H52" i="44"/>
  <c r="H50" i="44"/>
  <c r="H42" i="44"/>
  <c r="I42" i="44"/>
  <c r="G51" i="44"/>
  <c r="I41" i="44"/>
  <c r="G50" i="44"/>
  <c r="H40" i="44"/>
  <c r="I40" i="44"/>
  <c r="G55" i="44"/>
  <c r="H39" i="44"/>
  <c r="I39" i="44"/>
  <c r="G52" i="44"/>
  <c r="H48" i="44"/>
  <c r="H47" i="44"/>
  <c r="H41" i="44"/>
  <c r="H54" i="44"/>
  <c r="G49" i="44"/>
  <c r="H38" i="44"/>
  <c r="G48" i="44"/>
  <c r="G47" i="44"/>
  <c r="I53" i="44"/>
  <c r="G42" i="44"/>
  <c r="H51" i="44"/>
  <c r="H55" i="44"/>
  <c r="I52" i="44"/>
  <c r="G41" i="44"/>
  <c r="H49" i="44"/>
  <c r="I54" i="44"/>
  <c r="H40" i="42"/>
  <c r="H39" i="42"/>
  <c r="H51" i="42"/>
  <c r="H38" i="42"/>
  <c r="H53" i="42"/>
  <c r="H52" i="42"/>
  <c r="H50" i="42"/>
  <c r="H49" i="42"/>
  <c r="H55" i="42"/>
  <c r="H54" i="42"/>
  <c r="H48" i="42"/>
  <c r="H47" i="42"/>
  <c r="H56" i="42" s="1"/>
  <c r="H42" i="42"/>
  <c r="T58" i="24"/>
  <c r="T63" i="24" s="1"/>
  <c r="Q58" i="24"/>
  <c r="O36" i="24"/>
  <c r="M36" i="24"/>
  <c r="R63" i="24"/>
  <c r="Q63" i="24"/>
  <c r="N36" i="24"/>
  <c r="U58" i="24"/>
  <c r="U63" i="24" s="1"/>
  <c r="K36" i="24"/>
  <c r="L36" i="24"/>
  <c r="J36" i="24"/>
  <c r="H36" i="24"/>
  <c r="I36" i="24"/>
  <c r="P36" i="24"/>
  <c r="I39" i="42"/>
  <c r="I40" i="42"/>
  <c r="I41" i="42"/>
  <c r="I52" i="42"/>
  <c r="I42" i="42"/>
  <c r="I47" i="42"/>
  <c r="I48" i="42"/>
  <c r="I49" i="42"/>
  <c r="I50" i="42"/>
  <c r="I51" i="42"/>
  <c r="I55" i="42"/>
  <c r="I53" i="42"/>
  <c r="I38" i="42"/>
  <c r="I54" i="42"/>
  <c r="G38" i="42"/>
  <c r="G39" i="42"/>
  <c r="G40" i="42"/>
  <c r="G41" i="42"/>
  <c r="G42" i="42"/>
  <c r="G54" i="42"/>
  <c r="G47" i="42"/>
  <c r="G50" i="42"/>
  <c r="G48" i="42"/>
  <c r="G49" i="42"/>
  <c r="G53" i="42"/>
  <c r="G51" i="42"/>
  <c r="G52" i="42"/>
  <c r="G55" i="42"/>
  <c r="K41" i="41"/>
  <c r="K42" i="41"/>
  <c r="K47" i="41"/>
  <c r="K38" i="41"/>
  <c r="K48" i="41"/>
  <c r="K40" i="41"/>
  <c r="K49" i="41"/>
  <c r="K50" i="41"/>
  <c r="K39" i="41"/>
  <c r="K51" i="41"/>
  <c r="K52" i="41"/>
  <c r="K53" i="41"/>
  <c r="K55" i="41"/>
  <c r="K54" i="41"/>
  <c r="J40" i="41"/>
  <c r="J41" i="41"/>
  <c r="J42" i="41"/>
  <c r="J47" i="41"/>
  <c r="J48" i="41"/>
  <c r="J39" i="41"/>
  <c r="J49" i="41"/>
  <c r="J54" i="41"/>
  <c r="J50" i="41"/>
  <c r="J51" i="41"/>
  <c r="J52" i="41"/>
  <c r="J53" i="41"/>
  <c r="J55" i="41"/>
  <c r="J38" i="41"/>
  <c r="G38" i="41"/>
  <c r="G39" i="41"/>
  <c r="G51" i="41"/>
  <c r="G40" i="41"/>
  <c r="G41" i="41"/>
  <c r="G53" i="41"/>
  <c r="G42" i="41"/>
  <c r="G55" i="41"/>
  <c r="G47" i="41"/>
  <c r="G48" i="41"/>
  <c r="G49" i="41"/>
  <c r="G50" i="41"/>
  <c r="G52" i="41"/>
  <c r="G54" i="41"/>
  <c r="H38" i="41"/>
  <c r="H39" i="41"/>
  <c r="H40" i="41"/>
  <c r="H41" i="41"/>
  <c r="H42" i="41"/>
  <c r="H47" i="41"/>
  <c r="H54" i="41"/>
  <c r="H48" i="41"/>
  <c r="H49" i="41"/>
  <c r="H52" i="41"/>
  <c r="H50" i="41"/>
  <c r="H51" i="41"/>
  <c r="H53" i="41"/>
  <c r="H55" i="41"/>
  <c r="I39" i="41"/>
  <c r="I55" i="41"/>
  <c r="I40" i="41"/>
  <c r="I41" i="41"/>
  <c r="I42" i="41"/>
  <c r="I47" i="41"/>
  <c r="I48" i="41"/>
  <c r="I38" i="41"/>
  <c r="I49" i="41"/>
  <c r="I53" i="41"/>
  <c r="I50" i="41"/>
  <c r="I51" i="41"/>
  <c r="I52" i="41"/>
  <c r="I54" i="41"/>
  <c r="G50" i="40"/>
  <c r="G38" i="40"/>
  <c r="G39" i="40"/>
  <c r="G40" i="40"/>
  <c r="G41" i="40"/>
  <c r="G51" i="40"/>
  <c r="G54" i="40"/>
  <c r="G42" i="40"/>
  <c r="G47" i="40"/>
  <c r="G55" i="40"/>
  <c r="G48" i="40"/>
  <c r="G49" i="40"/>
  <c r="G53" i="40"/>
  <c r="G52" i="40"/>
  <c r="I39" i="40"/>
  <c r="I41" i="40"/>
  <c r="I53" i="40"/>
  <c r="I55" i="40"/>
  <c r="I40" i="40"/>
  <c r="I42" i="40"/>
  <c r="I47" i="40"/>
  <c r="I48" i="40"/>
  <c r="I49" i="40"/>
  <c r="I38" i="40"/>
  <c r="I50" i="40"/>
  <c r="I51" i="40"/>
  <c r="I52" i="40"/>
  <c r="I54" i="40"/>
  <c r="H38" i="40"/>
  <c r="H40" i="40"/>
  <c r="H41" i="40"/>
  <c r="H39" i="40"/>
  <c r="H42" i="40"/>
  <c r="H47" i="40"/>
  <c r="H48" i="40"/>
  <c r="H54" i="40"/>
  <c r="H49" i="40"/>
  <c r="H51" i="40"/>
  <c r="H55" i="40"/>
  <c r="H50" i="40"/>
  <c r="H52" i="40"/>
  <c r="H53" i="40"/>
  <c r="J56" i="43"/>
  <c r="P43" i="42"/>
  <c r="P45" i="42" s="1"/>
  <c r="M56" i="41"/>
  <c r="O43" i="41"/>
  <c r="O45" i="41" s="1"/>
  <c r="J43" i="40"/>
  <c r="J45" i="40" s="1"/>
  <c r="P43" i="44"/>
  <c r="P45" i="44" s="1"/>
  <c r="P58" i="44" s="1"/>
  <c r="L43" i="44"/>
  <c r="L45" i="44" s="1"/>
  <c r="G43" i="43"/>
  <c r="G45" i="43" s="1"/>
  <c r="K43" i="42"/>
  <c r="K45" i="42" s="1"/>
  <c r="K58" i="42" s="1"/>
  <c r="L43" i="41"/>
  <c r="L45" i="41" s="1"/>
  <c r="N56" i="41"/>
  <c r="L43" i="40"/>
  <c r="L45" i="40" s="1"/>
  <c r="K43" i="40"/>
  <c r="K45" i="40" s="1"/>
  <c r="K58" i="40" s="1"/>
  <c r="K63" i="40" s="1"/>
  <c r="G24" i="24"/>
  <c r="H24" i="24" s="1"/>
  <c r="I24" i="24" s="1"/>
  <c r="J24" i="24" s="1"/>
  <c r="K24" i="24" s="1"/>
  <c r="L24" i="24" s="1"/>
  <c r="M24" i="24" s="1"/>
  <c r="N24" i="24" s="1"/>
  <c r="O24" i="24" s="1"/>
  <c r="P24" i="24" s="1"/>
  <c r="O43" i="44"/>
  <c r="O45" i="44" s="1"/>
  <c r="J56" i="44"/>
  <c r="N43" i="44"/>
  <c r="N45" i="44" s="1"/>
  <c r="N58" i="44" s="1"/>
  <c r="N63" i="44" s="1"/>
  <c r="K43" i="44"/>
  <c r="K45" i="44" s="1"/>
  <c r="O56" i="44"/>
  <c r="K56" i="44"/>
  <c r="M43" i="44"/>
  <c r="M45" i="44" s="1"/>
  <c r="M58" i="44" s="1"/>
  <c r="G56" i="44"/>
  <c r="L56" i="44"/>
  <c r="N56" i="44"/>
  <c r="P56" i="44"/>
  <c r="M56" i="44"/>
  <c r="J43" i="44"/>
  <c r="J45" i="44" s="1"/>
  <c r="O56" i="43"/>
  <c r="N56" i="43"/>
  <c r="H43" i="43"/>
  <c r="H45" i="43" s="1"/>
  <c r="H58" i="43" s="1"/>
  <c r="H63" i="43" s="1"/>
  <c r="L56" i="43"/>
  <c r="G56" i="43"/>
  <c r="M43" i="43"/>
  <c r="M45" i="43" s="1"/>
  <c r="M58" i="43" s="1"/>
  <c r="N43" i="43"/>
  <c r="N45" i="43" s="1"/>
  <c r="P43" i="43"/>
  <c r="P45" i="43" s="1"/>
  <c r="H56" i="43"/>
  <c r="I43" i="43"/>
  <c r="I45" i="43" s="1"/>
  <c r="M56" i="43"/>
  <c r="J43" i="43"/>
  <c r="J45" i="43" s="1"/>
  <c r="O43" i="43"/>
  <c r="O45" i="43" s="1"/>
  <c r="K43" i="43"/>
  <c r="K45" i="43" s="1"/>
  <c r="L43" i="43"/>
  <c r="L45" i="43" s="1"/>
  <c r="I56" i="43"/>
  <c r="K56" i="43"/>
  <c r="P56" i="43"/>
  <c r="H43" i="42"/>
  <c r="H45" i="42" s="1"/>
  <c r="H58" i="42" s="1"/>
  <c r="H63" i="42" s="1"/>
  <c r="L56" i="42"/>
  <c r="P56" i="42"/>
  <c r="M43" i="42"/>
  <c r="M45" i="42" s="1"/>
  <c r="K56" i="42"/>
  <c r="M56" i="42"/>
  <c r="O43" i="42"/>
  <c r="O45" i="42" s="1"/>
  <c r="J56" i="42"/>
  <c r="O56" i="42"/>
  <c r="L43" i="42"/>
  <c r="L45" i="42" s="1"/>
  <c r="N43" i="42"/>
  <c r="N45" i="42" s="1"/>
  <c r="N56" i="42"/>
  <c r="J43" i="42"/>
  <c r="J45" i="42" s="1"/>
  <c r="J58" i="42" s="1"/>
  <c r="J63" i="42" s="1"/>
  <c r="L56" i="41"/>
  <c r="M43" i="41"/>
  <c r="M45" i="41" s="1"/>
  <c r="P56" i="41"/>
  <c r="P43" i="41"/>
  <c r="P45" i="41" s="1"/>
  <c r="P58" i="41" s="1"/>
  <c r="P63" i="41" s="1"/>
  <c r="O56" i="41"/>
  <c r="N43" i="41"/>
  <c r="N45" i="41" s="1"/>
  <c r="P56" i="40"/>
  <c r="K56" i="40"/>
  <c r="J56" i="40"/>
  <c r="N56" i="40"/>
  <c r="P43" i="40"/>
  <c r="P45" i="40" s="1"/>
  <c r="P58" i="40" s="1"/>
  <c r="P63" i="40" s="1"/>
  <c r="L56" i="40"/>
  <c r="N43" i="40"/>
  <c r="N45" i="40" s="1"/>
  <c r="N58" i="40" s="1"/>
  <c r="M43" i="40"/>
  <c r="M45" i="40" s="1"/>
  <c r="M56" i="40"/>
  <c r="O43" i="40"/>
  <c r="O45" i="40" s="1"/>
  <c r="O58" i="40" s="1"/>
  <c r="O63" i="40" s="1"/>
  <c r="O56" i="40"/>
  <c r="G25" i="24"/>
  <c r="H25" i="24"/>
  <c r="I25" i="24"/>
  <c r="J25" i="24"/>
  <c r="K25" i="24"/>
  <c r="L25" i="24"/>
  <c r="M25" i="24"/>
  <c r="N25" i="24"/>
  <c r="O25" i="24"/>
  <c r="P25" i="24"/>
  <c r="H43" i="44" l="1"/>
  <c r="H45" i="44" s="1"/>
  <c r="I56" i="44"/>
  <c r="I43" i="44"/>
  <c r="I45" i="44" s="1"/>
  <c r="H56" i="44"/>
  <c r="G43" i="44"/>
  <c r="G45" i="44" s="1"/>
  <c r="I58" i="44"/>
  <c r="G58" i="44"/>
  <c r="M63" i="44"/>
  <c r="H72" i="44"/>
  <c r="D71" i="44"/>
  <c r="P63" i="44"/>
  <c r="K58" i="44"/>
  <c r="K63" i="44" s="1"/>
  <c r="L58" i="44"/>
  <c r="J58" i="44"/>
  <c r="J63" i="44" s="1"/>
  <c r="O58" i="44"/>
  <c r="M63" i="43"/>
  <c r="K58" i="43"/>
  <c r="K63" i="43" s="1"/>
  <c r="J58" i="43"/>
  <c r="J63" i="43" s="1"/>
  <c r="L58" i="43"/>
  <c r="L63" i="43" s="1"/>
  <c r="O58" i="43"/>
  <c r="O63" i="43" s="1"/>
  <c r="I58" i="43"/>
  <c r="P58" i="43"/>
  <c r="P63" i="43" s="1"/>
  <c r="G58" i="43"/>
  <c r="H68" i="43"/>
  <c r="H72" i="43"/>
  <c r="D71" i="43"/>
  <c r="N58" i="43"/>
  <c r="L58" i="42"/>
  <c r="L63" i="42" s="1"/>
  <c r="N58" i="42"/>
  <c r="P58" i="42"/>
  <c r="P63" i="42" s="1"/>
  <c r="O58" i="42"/>
  <c r="O63" i="42" s="1"/>
  <c r="K63" i="42"/>
  <c r="M58" i="42"/>
  <c r="M63" i="42" s="1"/>
  <c r="L58" i="41"/>
  <c r="N58" i="41"/>
  <c r="N63" i="41" s="1"/>
  <c r="M58" i="41"/>
  <c r="M63" i="41" s="1"/>
  <c r="L63" i="41"/>
  <c r="O58" i="41"/>
  <c r="O63" i="41" s="1"/>
  <c r="L58" i="40"/>
  <c r="L63" i="40" s="1"/>
  <c r="J58" i="40"/>
  <c r="N63" i="40"/>
  <c r="M58" i="40"/>
  <c r="G43" i="42"/>
  <c r="G45" i="42" s="1"/>
  <c r="I43" i="42"/>
  <c r="I45" i="42" s="1"/>
  <c r="I43" i="41"/>
  <c r="I45" i="41" s="1"/>
  <c r="I56" i="40"/>
  <c r="P52" i="24"/>
  <c r="P51" i="24"/>
  <c r="P50" i="24"/>
  <c r="P40" i="24"/>
  <c r="P49" i="24"/>
  <c r="P53" i="24"/>
  <c r="P48" i="24"/>
  <c r="P42" i="24"/>
  <c r="P47" i="24"/>
  <c r="P41" i="24"/>
  <c r="P55" i="24"/>
  <c r="P39" i="24"/>
  <c r="P38" i="24"/>
  <c r="P54" i="24"/>
  <c r="O51" i="24"/>
  <c r="O50" i="24"/>
  <c r="O49" i="24"/>
  <c r="O55" i="24"/>
  <c r="O48" i="24"/>
  <c r="O39" i="24"/>
  <c r="O42" i="24"/>
  <c r="O47" i="24"/>
  <c r="O41" i="24"/>
  <c r="O40" i="24"/>
  <c r="O52" i="24"/>
  <c r="O38" i="24"/>
  <c r="O54" i="24"/>
  <c r="O53" i="24"/>
  <c r="M49" i="24"/>
  <c r="M48" i="24"/>
  <c r="M42" i="24"/>
  <c r="M47" i="24"/>
  <c r="M41" i="24"/>
  <c r="M40" i="24"/>
  <c r="M39" i="24"/>
  <c r="M52" i="24"/>
  <c r="M38" i="24"/>
  <c r="M55" i="24"/>
  <c r="M53" i="24"/>
  <c r="M54" i="24"/>
  <c r="M51" i="24"/>
  <c r="M50" i="24"/>
  <c r="L48" i="24"/>
  <c r="L55" i="24"/>
  <c r="L53" i="24"/>
  <c r="L52" i="24"/>
  <c r="L42" i="24"/>
  <c r="L47" i="24"/>
  <c r="L41" i="24"/>
  <c r="L40" i="24"/>
  <c r="L39" i="24"/>
  <c r="L38" i="24"/>
  <c r="L54" i="24"/>
  <c r="L51" i="24"/>
  <c r="L49" i="24"/>
  <c r="L50" i="24"/>
  <c r="J41" i="24"/>
  <c r="J40" i="24"/>
  <c r="J51" i="24"/>
  <c r="J42" i="24"/>
  <c r="J39" i="24"/>
  <c r="J38" i="24"/>
  <c r="J55" i="24"/>
  <c r="J47" i="24"/>
  <c r="J49" i="24"/>
  <c r="J54" i="24"/>
  <c r="J53" i="24"/>
  <c r="J52" i="24"/>
  <c r="J50" i="24"/>
  <c r="J48" i="24"/>
  <c r="H39" i="24"/>
  <c r="H48" i="24"/>
  <c r="H38" i="24"/>
  <c r="H53" i="24"/>
  <c r="H52" i="24"/>
  <c r="H55" i="24"/>
  <c r="H49" i="24"/>
  <c r="H54" i="24"/>
  <c r="H42" i="24"/>
  <c r="H40" i="24"/>
  <c r="H51" i="24"/>
  <c r="H50" i="24"/>
  <c r="H47" i="24"/>
  <c r="H41" i="24"/>
  <c r="N50" i="24"/>
  <c r="N49" i="24"/>
  <c r="N38" i="24"/>
  <c r="N48" i="24"/>
  <c r="N42" i="24"/>
  <c r="N47" i="24"/>
  <c r="N41" i="24"/>
  <c r="N53" i="24"/>
  <c r="N51" i="24"/>
  <c r="N40" i="24"/>
  <c r="N39" i="24"/>
  <c r="N54" i="24"/>
  <c r="N55" i="24"/>
  <c r="N52" i="24"/>
  <c r="K42" i="24"/>
  <c r="K47" i="24"/>
  <c r="K50" i="24"/>
  <c r="K41" i="24"/>
  <c r="K40" i="24"/>
  <c r="K39" i="24"/>
  <c r="K55" i="24"/>
  <c r="K48" i="24"/>
  <c r="K38" i="24"/>
  <c r="K52" i="24"/>
  <c r="K54" i="24"/>
  <c r="K53" i="24"/>
  <c r="K51" i="24"/>
  <c r="K49" i="24"/>
  <c r="I40" i="24"/>
  <c r="I41" i="24"/>
  <c r="I39" i="24"/>
  <c r="I54" i="24"/>
  <c r="I38" i="24"/>
  <c r="I48" i="24"/>
  <c r="I50" i="24"/>
  <c r="I49" i="24"/>
  <c r="I55" i="24"/>
  <c r="I53" i="24"/>
  <c r="I52" i="24"/>
  <c r="I51" i="24"/>
  <c r="I42" i="24"/>
  <c r="I47" i="24"/>
  <c r="G38" i="24"/>
  <c r="G41" i="24"/>
  <c r="G55" i="24"/>
  <c r="G54" i="24"/>
  <c r="G52" i="24"/>
  <c r="G39" i="24"/>
  <c r="G53" i="24"/>
  <c r="G51" i="24"/>
  <c r="G42" i="24"/>
  <c r="G50" i="24"/>
  <c r="G49" i="24"/>
  <c r="G48" i="24"/>
  <c r="G47" i="24"/>
  <c r="G40" i="24"/>
  <c r="I56" i="42"/>
  <c r="G56" i="42"/>
  <c r="I56" i="41"/>
  <c r="H56" i="41"/>
  <c r="H56" i="40"/>
  <c r="G43" i="40"/>
  <c r="G45" i="40" s="1"/>
  <c r="G56" i="40"/>
  <c r="H43" i="40"/>
  <c r="H45" i="40" s="1"/>
  <c r="H58" i="40" s="1"/>
  <c r="H63" i="40" s="1"/>
  <c r="I43" i="40"/>
  <c r="I45" i="40" s="1"/>
  <c r="I58" i="40" s="1"/>
  <c r="I63" i="40" s="1"/>
  <c r="H43" i="41"/>
  <c r="H45" i="41" s="1"/>
  <c r="K43" i="41"/>
  <c r="K45" i="41" s="1"/>
  <c r="K56" i="41"/>
  <c r="J56" i="41"/>
  <c r="J43" i="41"/>
  <c r="J45" i="41" s="1"/>
  <c r="J58" i="41" s="1"/>
  <c r="G43" i="41"/>
  <c r="G45" i="41" s="1"/>
  <c r="G56" i="41"/>
  <c r="Q24" i="24"/>
  <c r="R24" i="24" s="1"/>
  <c r="S24" i="24" s="1"/>
  <c r="T24" i="24" s="1"/>
  <c r="U24" i="24" s="1"/>
  <c r="H58" i="44" l="1"/>
  <c r="H63" i="44" s="1"/>
  <c r="L63" i="44"/>
  <c r="J72" i="44"/>
  <c r="L72" i="44" s="1"/>
  <c r="H73" i="44"/>
  <c r="H76" i="44"/>
  <c r="G63" i="44"/>
  <c r="G64" i="44" s="1"/>
  <c r="H64" i="44" s="1"/>
  <c r="D70" i="44"/>
  <c r="D69" i="44"/>
  <c r="G61" i="44"/>
  <c r="H60" i="44" s="1"/>
  <c r="H61" i="44" s="1"/>
  <c r="I60" i="44" s="1"/>
  <c r="O63" i="44"/>
  <c r="J68" i="44"/>
  <c r="L68" i="44" s="1"/>
  <c r="H69" i="44"/>
  <c r="I63" i="44"/>
  <c r="I61" i="44"/>
  <c r="J60" i="44" s="1"/>
  <c r="J61" i="44" s="1"/>
  <c r="K60" i="44" s="1"/>
  <c r="K61" i="44" s="1"/>
  <c r="L60" i="44" s="1"/>
  <c r="L61" i="44" s="1"/>
  <c r="M60" i="44" s="1"/>
  <c r="M61" i="44" s="1"/>
  <c r="N60" i="44" s="1"/>
  <c r="N61" i="44" s="1"/>
  <c r="O60" i="44" s="1"/>
  <c r="O61" i="44" s="1"/>
  <c r="P60" i="44" s="1"/>
  <c r="P61" i="44" s="1"/>
  <c r="Q60" i="44" s="1"/>
  <c r="Q61" i="44" s="1"/>
  <c r="R60" i="44" s="1"/>
  <c r="R61" i="44" s="1"/>
  <c r="S60" i="44" s="1"/>
  <c r="S61" i="44" s="1"/>
  <c r="T60" i="44" s="1"/>
  <c r="T61" i="44" s="1"/>
  <c r="U60" i="44" s="1"/>
  <c r="U61" i="44" s="1"/>
  <c r="N63" i="43"/>
  <c r="G63" i="43"/>
  <c r="G64" i="43" s="1"/>
  <c r="H64" i="43" s="1"/>
  <c r="D70" i="43"/>
  <c r="D69" i="43"/>
  <c r="G61" i="43"/>
  <c r="H60" i="43" s="1"/>
  <c r="H61" i="43" s="1"/>
  <c r="I60" i="43" s="1"/>
  <c r="J72" i="43"/>
  <c r="L72" i="43" s="1"/>
  <c r="H73" i="43"/>
  <c r="H76" i="43"/>
  <c r="J68" i="43"/>
  <c r="L68" i="43" s="1"/>
  <c r="H69" i="43"/>
  <c r="I63" i="43"/>
  <c r="I61" i="43"/>
  <c r="J60" i="43" s="1"/>
  <c r="J61" i="43" s="1"/>
  <c r="K60" i="43" s="1"/>
  <c r="K61" i="43" s="1"/>
  <c r="L60" i="43" s="1"/>
  <c r="L61" i="43" s="1"/>
  <c r="M60" i="43" s="1"/>
  <c r="M61" i="43" s="1"/>
  <c r="N60" i="43" s="1"/>
  <c r="N61" i="43" s="1"/>
  <c r="O60" i="43" s="1"/>
  <c r="O61" i="43" s="1"/>
  <c r="P60" i="43" s="1"/>
  <c r="P61" i="43" s="1"/>
  <c r="Q60" i="43" s="1"/>
  <c r="Q61" i="43" s="1"/>
  <c r="R60" i="43" s="1"/>
  <c r="R61" i="43" s="1"/>
  <c r="S60" i="43" s="1"/>
  <c r="S61" i="43" s="1"/>
  <c r="T60" i="43" s="1"/>
  <c r="T61" i="43" s="1"/>
  <c r="U60" i="43" s="1"/>
  <c r="U61" i="43" s="1"/>
  <c r="I58" i="42"/>
  <c r="I63" i="42" s="1"/>
  <c r="N63" i="42"/>
  <c r="H72" i="42"/>
  <c r="D71" i="42"/>
  <c r="G58" i="42"/>
  <c r="H68" i="42"/>
  <c r="I58" i="41"/>
  <c r="I63" i="41" s="1"/>
  <c r="H72" i="41"/>
  <c r="D71" i="41"/>
  <c r="G58" i="41"/>
  <c r="H68" i="41"/>
  <c r="J63" i="41"/>
  <c r="K58" i="41"/>
  <c r="H58" i="41"/>
  <c r="H63" i="41" s="1"/>
  <c r="G58" i="40"/>
  <c r="H68" i="40"/>
  <c r="H72" i="40"/>
  <c r="D71" i="40"/>
  <c r="J63" i="40"/>
  <c r="M63" i="40"/>
  <c r="G56" i="24"/>
  <c r="O43" i="24"/>
  <c r="O45" i="24" s="1"/>
  <c r="O58" i="24" s="1"/>
  <c r="J43" i="24"/>
  <c r="J45" i="24" s="1"/>
  <c r="I43" i="24"/>
  <c r="I45" i="24" s="1"/>
  <c r="I58" i="24" s="1"/>
  <c r="I63" i="24" s="1"/>
  <c r="H43" i="24"/>
  <c r="H45" i="24" s="1"/>
  <c r="N56" i="24"/>
  <c r="K43" i="24"/>
  <c r="K45" i="24" s="1"/>
  <c r="K58" i="24" s="1"/>
  <c r="K63" i="24" s="1"/>
  <c r="H56" i="24"/>
  <c r="N43" i="24"/>
  <c r="N45" i="24" s="1"/>
  <c r="O56" i="24"/>
  <c r="P43" i="24"/>
  <c r="P45" i="24" s="1"/>
  <c r="P56" i="24"/>
  <c r="I56" i="24"/>
  <c r="L56" i="24"/>
  <c r="M56" i="24"/>
  <c r="K56" i="24"/>
  <c r="G43" i="24"/>
  <c r="G45" i="24" s="1"/>
  <c r="M43" i="24"/>
  <c r="M45" i="24" s="1"/>
  <c r="M58" i="24" s="1"/>
  <c r="L43" i="24"/>
  <c r="L45" i="24" s="1"/>
  <c r="L58" i="24" s="1"/>
  <c r="L63" i="24" s="1"/>
  <c r="J56" i="24"/>
  <c r="J69" i="44" l="1"/>
  <c r="H70" i="44"/>
  <c r="I64" i="44"/>
  <c r="J64" i="44" s="1"/>
  <c r="K64" i="44" s="1"/>
  <c r="L64" i="44" s="1"/>
  <c r="M64" i="44" s="1"/>
  <c r="N64" i="44" s="1"/>
  <c r="O64" i="44" s="1"/>
  <c r="P64" i="44" s="1"/>
  <c r="Q64" i="44" s="1"/>
  <c r="R64" i="44" s="1"/>
  <c r="S64" i="44" s="1"/>
  <c r="T64" i="44" s="1"/>
  <c r="U64" i="44" s="1"/>
  <c r="J76" i="44"/>
  <c r="L76" i="44" s="1"/>
  <c r="H77" i="44"/>
  <c r="J73" i="44"/>
  <c r="H74" i="44"/>
  <c r="J73" i="43"/>
  <c r="H74" i="43"/>
  <c r="J69" i="43"/>
  <c r="H70" i="43"/>
  <c r="H77" i="43"/>
  <c r="J76" i="43"/>
  <c r="L76" i="43" s="1"/>
  <c r="I64" i="43"/>
  <c r="J64" i="43" s="1"/>
  <c r="K64" i="43" s="1"/>
  <c r="L64" i="43" s="1"/>
  <c r="M64" i="43" s="1"/>
  <c r="N64" i="43" s="1"/>
  <c r="O64" i="43" s="1"/>
  <c r="P64" i="43" s="1"/>
  <c r="Q64" i="43" s="1"/>
  <c r="R64" i="43" s="1"/>
  <c r="S64" i="43" s="1"/>
  <c r="T64" i="43" s="1"/>
  <c r="U64" i="43" s="1"/>
  <c r="J68" i="42"/>
  <c r="L68" i="42" s="1"/>
  <c r="H69" i="42"/>
  <c r="G63" i="42"/>
  <c r="G64" i="42" s="1"/>
  <c r="H64" i="42" s="1"/>
  <c r="I64" i="42" s="1"/>
  <c r="J64" i="42" s="1"/>
  <c r="K64" i="42" s="1"/>
  <c r="L64" i="42" s="1"/>
  <c r="M64" i="42" s="1"/>
  <c r="N64" i="42" s="1"/>
  <c r="O64" i="42" s="1"/>
  <c r="P64" i="42" s="1"/>
  <c r="Q64" i="42" s="1"/>
  <c r="R64" i="42" s="1"/>
  <c r="S64" i="42" s="1"/>
  <c r="T64" i="42" s="1"/>
  <c r="U64" i="42" s="1"/>
  <c r="D70" i="42"/>
  <c r="D69" i="42"/>
  <c r="G61" i="42"/>
  <c r="H60" i="42" s="1"/>
  <c r="H61" i="42" s="1"/>
  <c r="I60" i="42" s="1"/>
  <c r="I61" i="42" s="1"/>
  <c r="J60" i="42" s="1"/>
  <c r="J61" i="42" s="1"/>
  <c r="K60" i="42" s="1"/>
  <c r="K61" i="42" s="1"/>
  <c r="L60" i="42" s="1"/>
  <c r="L61" i="42" s="1"/>
  <c r="M60" i="42" s="1"/>
  <c r="M61" i="42" s="1"/>
  <c r="N60" i="42" s="1"/>
  <c r="N61" i="42" s="1"/>
  <c r="O60" i="42" s="1"/>
  <c r="O61" i="42" s="1"/>
  <c r="P60" i="42" s="1"/>
  <c r="P61" i="42" s="1"/>
  <c r="Q60" i="42" s="1"/>
  <c r="Q61" i="42" s="1"/>
  <c r="R60" i="42" s="1"/>
  <c r="R61" i="42" s="1"/>
  <c r="S60" i="42" s="1"/>
  <c r="S61" i="42" s="1"/>
  <c r="T60" i="42" s="1"/>
  <c r="T61" i="42" s="1"/>
  <c r="U60" i="42" s="1"/>
  <c r="U61" i="42" s="1"/>
  <c r="J72" i="42"/>
  <c r="L72" i="42" s="1"/>
  <c r="H73" i="42"/>
  <c r="H76" i="42"/>
  <c r="K63" i="41"/>
  <c r="G63" i="41"/>
  <c r="G64" i="41" s="1"/>
  <c r="H64" i="41" s="1"/>
  <c r="I64" i="41" s="1"/>
  <c r="J64" i="41" s="1"/>
  <c r="K64" i="41" s="1"/>
  <c r="L64" i="41" s="1"/>
  <c r="M64" i="41" s="1"/>
  <c r="N64" i="41" s="1"/>
  <c r="O64" i="41" s="1"/>
  <c r="P64" i="41" s="1"/>
  <c r="Q64" i="41" s="1"/>
  <c r="R64" i="41" s="1"/>
  <c r="S64" i="41" s="1"/>
  <c r="T64" i="41" s="1"/>
  <c r="U64" i="41" s="1"/>
  <c r="G61" i="41"/>
  <c r="H60" i="41" s="1"/>
  <c r="H61" i="41" s="1"/>
  <c r="I60" i="41" s="1"/>
  <c r="I61" i="41" s="1"/>
  <c r="J60" i="41" s="1"/>
  <c r="J61" i="41" s="1"/>
  <c r="K60" i="41" s="1"/>
  <c r="K61" i="41" s="1"/>
  <c r="L60" i="41" s="1"/>
  <c r="L61" i="41" s="1"/>
  <c r="M60" i="41" s="1"/>
  <c r="M61" i="41" s="1"/>
  <c r="N60" i="41" s="1"/>
  <c r="N61" i="41" s="1"/>
  <c r="O60" i="41" s="1"/>
  <c r="O61" i="41" s="1"/>
  <c r="P60" i="41" s="1"/>
  <c r="P61" i="41" s="1"/>
  <c r="Q60" i="41" s="1"/>
  <c r="Q61" i="41" s="1"/>
  <c r="R60" i="41" s="1"/>
  <c r="R61" i="41" s="1"/>
  <c r="S60" i="41" s="1"/>
  <c r="S61" i="41" s="1"/>
  <c r="T60" i="41" s="1"/>
  <c r="T61" i="41" s="1"/>
  <c r="U60" i="41" s="1"/>
  <c r="U61" i="41" s="1"/>
  <c r="D70" i="41"/>
  <c r="D69" i="41"/>
  <c r="J68" i="41"/>
  <c r="L68" i="41" s="1"/>
  <c r="H69" i="41"/>
  <c r="J72" i="41"/>
  <c r="L72" i="41" s="1"/>
  <c r="H73" i="41"/>
  <c r="H76" i="41"/>
  <c r="H73" i="40"/>
  <c r="J72" i="40"/>
  <c r="L72" i="40" s="1"/>
  <c r="H76" i="40"/>
  <c r="H69" i="40"/>
  <c r="J68" i="40"/>
  <c r="L68" i="40" s="1"/>
  <c r="G63" i="40"/>
  <c r="G64" i="40" s="1"/>
  <c r="H64" i="40" s="1"/>
  <c r="I64" i="40" s="1"/>
  <c r="J64" i="40" s="1"/>
  <c r="K64" i="40" s="1"/>
  <c r="L64" i="40" s="1"/>
  <c r="M64" i="40" s="1"/>
  <c r="N64" i="40" s="1"/>
  <c r="O64" i="40" s="1"/>
  <c r="P64" i="40" s="1"/>
  <c r="Q64" i="40" s="1"/>
  <c r="R64" i="40" s="1"/>
  <c r="S64" i="40" s="1"/>
  <c r="T64" i="40" s="1"/>
  <c r="U64" i="40" s="1"/>
  <c r="D70" i="40"/>
  <c r="D69" i="40"/>
  <c r="G61" i="40"/>
  <c r="H60" i="40" s="1"/>
  <c r="H61" i="40" s="1"/>
  <c r="I60" i="40" s="1"/>
  <c r="I61" i="40" s="1"/>
  <c r="J60" i="40" s="1"/>
  <c r="J61" i="40" s="1"/>
  <c r="K60" i="40" s="1"/>
  <c r="K61" i="40" s="1"/>
  <c r="L60" i="40" s="1"/>
  <c r="L61" i="40" s="1"/>
  <c r="M60" i="40" s="1"/>
  <c r="M61" i="40" s="1"/>
  <c r="N60" i="40" s="1"/>
  <c r="N61" i="40" s="1"/>
  <c r="O60" i="40" s="1"/>
  <c r="O61" i="40" s="1"/>
  <c r="P60" i="40" s="1"/>
  <c r="P61" i="40" s="1"/>
  <c r="Q60" i="40" s="1"/>
  <c r="Q61" i="40" s="1"/>
  <c r="R60" i="40" s="1"/>
  <c r="R61" i="40" s="1"/>
  <c r="S60" i="40" s="1"/>
  <c r="S61" i="40" s="1"/>
  <c r="T60" i="40" s="1"/>
  <c r="T61" i="40" s="1"/>
  <c r="U60" i="40" s="1"/>
  <c r="U61" i="40" s="1"/>
  <c r="M63" i="24"/>
  <c r="H58" i="24"/>
  <c r="H63" i="24" s="1"/>
  <c r="J58" i="24"/>
  <c r="G58" i="24"/>
  <c r="H68" i="24"/>
  <c r="O63" i="24"/>
  <c r="P58" i="24"/>
  <c r="P63" i="24" s="1"/>
  <c r="H72" i="24"/>
  <c r="D71" i="24"/>
  <c r="N58" i="24"/>
  <c r="N63" i="24" s="1"/>
  <c r="J74" i="44" l="1"/>
  <c r="L73" i="44"/>
  <c r="L74" i="44" s="1"/>
  <c r="J77" i="44"/>
  <c r="H78" i="44"/>
  <c r="J70" i="44"/>
  <c r="L69" i="44"/>
  <c r="L70" i="44" s="1"/>
  <c r="J77" i="43"/>
  <c r="H78" i="43"/>
  <c r="J70" i="43"/>
  <c r="L69" i="43"/>
  <c r="L70" i="43" s="1"/>
  <c r="J74" i="43"/>
  <c r="L73" i="43"/>
  <c r="L74" i="43" s="1"/>
  <c r="J76" i="42"/>
  <c r="L76" i="42" s="1"/>
  <c r="H77" i="42"/>
  <c r="J73" i="42"/>
  <c r="H74" i="42"/>
  <c r="J69" i="42"/>
  <c r="H70" i="42"/>
  <c r="J76" i="41"/>
  <c r="L76" i="41" s="1"/>
  <c r="H77" i="41"/>
  <c r="J69" i="41"/>
  <c r="H70" i="41"/>
  <c r="J73" i="41"/>
  <c r="H74" i="41"/>
  <c r="J69" i="40"/>
  <c r="H70" i="40"/>
  <c r="H77" i="40"/>
  <c r="J76" i="40"/>
  <c r="L76" i="40" s="1"/>
  <c r="J73" i="40"/>
  <c r="H74" i="40"/>
  <c r="H76" i="24"/>
  <c r="H73" i="24"/>
  <c r="J72" i="24"/>
  <c r="L72" i="24" s="1"/>
  <c r="L68" i="24"/>
  <c r="H69" i="24"/>
  <c r="G63" i="24"/>
  <c r="G64" i="24" s="1"/>
  <c r="H64" i="24" s="1"/>
  <c r="I64" i="24" s="1"/>
  <c r="D69" i="24"/>
  <c r="D70" i="24"/>
  <c r="G61" i="24"/>
  <c r="H60" i="24" s="1"/>
  <c r="H61" i="24" s="1"/>
  <c r="I60" i="24" s="1"/>
  <c r="I61" i="24" s="1"/>
  <c r="J60" i="24" s="1"/>
  <c r="J61" i="24" s="1"/>
  <c r="K60" i="24" s="1"/>
  <c r="K61" i="24" s="1"/>
  <c r="L60" i="24" s="1"/>
  <c r="L61" i="24" s="1"/>
  <c r="M60" i="24" s="1"/>
  <c r="M61" i="24" s="1"/>
  <c r="N60" i="24" s="1"/>
  <c r="N61" i="24" s="1"/>
  <c r="O60" i="24" s="1"/>
  <c r="O61" i="24" s="1"/>
  <c r="P60" i="24" s="1"/>
  <c r="P61" i="24" s="1"/>
  <c r="Q60" i="24" s="1"/>
  <c r="Q61" i="24" s="1"/>
  <c r="R60" i="24" s="1"/>
  <c r="R61" i="24" s="1"/>
  <c r="S60" i="24" s="1"/>
  <c r="S61" i="24" s="1"/>
  <c r="T60" i="24" s="1"/>
  <c r="T61" i="24" s="1"/>
  <c r="U60" i="24" s="1"/>
  <c r="U61" i="24" s="1"/>
  <c r="J63" i="24"/>
  <c r="L77" i="44" l="1"/>
  <c r="L78" i="44" s="1"/>
  <c r="J78" i="44"/>
  <c r="J78" i="43"/>
  <c r="L77" i="43"/>
  <c r="L78" i="43" s="1"/>
  <c r="J70" i="42"/>
  <c r="L69" i="42"/>
  <c r="L70" i="42" s="1"/>
  <c r="J74" i="42"/>
  <c r="L73" i="42"/>
  <c r="L74" i="42" s="1"/>
  <c r="J77" i="42"/>
  <c r="H78" i="42"/>
  <c r="L73" i="41"/>
  <c r="L74" i="41" s="1"/>
  <c r="J74" i="41"/>
  <c r="J70" i="41"/>
  <c r="L69" i="41"/>
  <c r="L70" i="41" s="1"/>
  <c r="J77" i="41"/>
  <c r="H78" i="41"/>
  <c r="J74" i="40"/>
  <c r="L73" i="40"/>
  <c r="L74" i="40" s="1"/>
  <c r="J77" i="40"/>
  <c r="H78" i="40"/>
  <c r="L69" i="40"/>
  <c r="L70" i="40" s="1"/>
  <c r="J70" i="40"/>
  <c r="J64" i="24"/>
  <c r="K64" i="24" s="1"/>
  <c r="L64" i="24" s="1"/>
  <c r="M64" i="24" s="1"/>
  <c r="N64" i="24" s="1"/>
  <c r="O64" i="24" s="1"/>
  <c r="P64" i="24" s="1"/>
  <c r="Q64" i="24" s="1"/>
  <c r="R64" i="24" s="1"/>
  <c r="S64" i="24" s="1"/>
  <c r="T64" i="24" s="1"/>
  <c r="U64" i="24" s="1"/>
  <c r="H70" i="24"/>
  <c r="J69" i="24"/>
  <c r="J73" i="24"/>
  <c r="H74" i="24"/>
  <c r="L76" i="24"/>
  <c r="L77" i="42" l="1"/>
  <c r="L78" i="42" s="1"/>
  <c r="J78" i="42"/>
  <c r="J78" i="41"/>
  <c r="L77" i="41"/>
  <c r="L78" i="41" s="1"/>
  <c r="J78" i="40"/>
  <c r="L77" i="40"/>
  <c r="L78" i="40" s="1"/>
  <c r="H78" i="24"/>
  <c r="J77" i="24"/>
  <c r="J74" i="24"/>
  <c r="L73" i="24"/>
  <c r="L74" i="24" s="1"/>
  <c r="J70" i="24"/>
  <c r="L69" i="24"/>
  <c r="L70" i="24" s="1"/>
  <c r="L77" i="24" l="1"/>
  <c r="L78" i="24" s="1"/>
  <c r="J7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628066-2FD9-4926-8F73-20F48C2934B5}" keepAlive="1" name="Consulta - CB_SMI_Celular" description="Conexión a la consulta 'CB_SMI_Celular' en el libro." type="5" refreshedVersion="8" background="1" saveData="1">
    <dbPr connection="Provider=Microsoft.Mashup.OleDb.1;Data Source=$Workbook$;Location=CB_SMI_Celular;Extended Properties=&quot;&quot;" command="SELECT * FROM [CB_SMI_Celular]"/>
  </connection>
  <connection id="2" xr16:uid="{CD4671CB-4487-4346-A134-68A5EE0FC5F3}" keepAlive="1" name="Consulta - CB_SMI_G3-PLC" description="Conexión a la consulta 'CB_SMI_G3-PLC' en el libro." type="5" refreshedVersion="8" background="1" saveData="1">
    <dbPr connection="Provider=Microsoft.Mashup.OleDb.1;Data Source=$Workbook$;Location=CB_SMI_G3-PLC;Extended Properties=&quot;&quot;" command="SELECT * FROM [CB_SMI_G3-PLC]"/>
  </connection>
  <connection id="3" xr16:uid="{0D19D73B-90E0-4AC6-8B7E-2A39200B19D2}" keepAlive="1" name="Consulta - CB_SMI_LoRa" description="Conexión a la consulta 'CB_SMI_LoRa' en el libro." type="5" refreshedVersion="8" background="1" saveData="1">
    <dbPr connection="Provider=Microsoft.Mashup.OleDb.1;Data Source=$Workbook$;Location=CB_SMI_LoRa;Extended Properties=&quot;&quot;" command="SELECT * FROM [CB_SMI_LoRa]"/>
  </connection>
  <connection id="4" xr16:uid="{B5E9FB8A-AB59-464B-8906-FA431F60AACB}" keepAlive="1" name="Consulta - CB_SMI_Mixto" description="Conexión a la consulta 'CB_SMI_Mixto' en el libro." type="5" refreshedVersion="8" background="1" saveData="1">
    <dbPr connection="Provider=Microsoft.Mashup.OleDb.1;Data Source=$Workbook$;Location=CB_SMI_Mixto;Extended Properties=&quot;&quot;" command="SELECT * FROM [CB_SMI_Mixto]"/>
  </connection>
  <connection id="5" xr16:uid="{F3154168-B305-4362-A028-C95E13EE9A3D}" keepAlive="1" name="Consulta - CB_SMI_Mixto (2)" description="Conexión a la consulta 'CB_SMI_Mixto (2)' en el libro." type="5" refreshedVersion="8" background="1" saveData="1">
    <dbPr connection="Provider=Microsoft.Mashup.OleDb.1;Data Source=$Workbook$;Location=&quot;CB_SMI_Mixto (2)&quot;;Extended Properties=&quot;&quot;" command="SELECT * FROM [CB_SMI_Mixto (2)]"/>
  </connection>
  <connection id="6" xr16:uid="{E4501F99-4AAF-463D-B926-B6F88E18D6FD}" keepAlive="1" name="Consulta - CB_SMI_Mixto (3)" description="Conexión a la consulta 'CB_SMI_Mixto (3)' en el libro." type="5" refreshedVersion="8" background="1" saveData="1">
    <dbPr connection="Provider=Microsoft.Mashup.OleDb.1;Data Source=$Workbook$;Location=&quot;CB_SMI_Mixto (3)&quot;;Extended Properties=&quot;&quot;" command="SELECT * FROM [CB_SMI_Mixto (3)]"/>
  </connection>
  <connection id="7" xr16:uid="{E5371843-4B74-40FB-B8C7-2D5264033569}" keepAlive="1" name="Consulta - CB_SMI_Mixto_ALTA" description="Conexión a la consulta 'CB_SMI_Mixto_ALTA' en el libro." type="5" refreshedVersion="8" background="1" saveData="1">
    <dbPr connection="Provider=Microsoft.Mashup.OleDb.1;Data Source=$Workbook$;Location=CB_SMI_Mixto_ALTA;Extended Properties=&quot;&quot;" command="SELECT * FROM [CB_SMI_Mixto_ALTA]"/>
  </connection>
  <connection id="8" xr16:uid="{6C7013EB-C14D-4EB3-B341-CE0AAC24903E}" keepAlive="1" name="Consulta - CB_SMI_Mixto_ALTA (2)" description="Conexión a la consulta 'CB_SMI_Mixto_ALTA (2)' en el libro." type="5" refreshedVersion="8" background="1" saveData="1">
    <dbPr connection="Provider=Microsoft.Mashup.OleDb.1;Data Source=$Workbook$;Location=&quot;CB_SMI_Mixto_ALTA (2)&quot;;Extended Properties=&quot;&quot;" command="SELECT * FROM [CB_SMI_Mixto_ALTA (2)]"/>
  </connection>
  <connection id="9" xr16:uid="{873D76FB-D2A8-4B6F-95C4-E0177F95D66A}" keepAlive="1" name="Consulta - CB_SMI_Mixto_BAJA" description="Conexión a la consulta 'CB_SMI_Mixto_BAJA' en el libro." type="5" refreshedVersion="8" background="1" saveData="1">
    <dbPr connection="Provider=Microsoft.Mashup.OleDb.1;Data Source=$Workbook$;Location=CB_SMI_Mixto_BAJA;Extended Properties=&quot;&quot;" command="SELECT * FROM [CB_SMI_Mixto_BAJA]"/>
  </connection>
  <connection id="10" xr16:uid="{CD2D241A-639F-4412-97CF-3EB2592DF709}" keepAlive="1" name="Consulta - CB_SMI_Mixto_BAJA (2)" description="Conexión a la consulta 'CB_SMI_Mixto_BAJA (2)' en el libro." type="5" refreshedVersion="8" background="1" saveData="1">
    <dbPr connection="Provider=Microsoft.Mashup.OleDb.1;Data Source=$Workbook$;Location=&quot;CB_SMI_Mixto_BAJA (2)&quot;;Extended Properties=&quot;&quot;" command="SELECT * FROM [CB_SMI_Mixto_BAJA (2)]"/>
  </connection>
  <connection id="11" xr16:uid="{5E3D32FD-9556-4B18-A777-26D551622370}" keepAlive="1" name="Consulta - CB_SMI_Mixto_EXT_BAJA" description="Conexión a la consulta 'CB_SMI_Mixto_EXT_BAJA' en el libro." type="5" refreshedVersion="8" background="1" saveData="1">
    <dbPr connection="Provider=Microsoft.Mashup.OleDb.1;Data Source=$Workbook$;Location=CB_SMI_Mixto_EXT_BAJA;Extended Properties=&quot;&quot;" command="SELECT * FROM [CB_SMI_Mixto_EXT_BAJA]"/>
  </connection>
  <connection id="12" xr16:uid="{263ABFEA-9971-4B86-AB7F-0B3DEAB475A1}" keepAlive="1" name="Consulta - CB_SMI_Mixto_EXT_BAJA (2)" description="Conexión a la consulta 'CB_SMI_Mixto_EXT_BAJA (2)' en el libro." type="5" refreshedVersion="8" background="1" saveData="1">
    <dbPr connection="Provider=Microsoft.Mashup.OleDb.1;Data Source=$Workbook$;Location=&quot;CB_SMI_Mixto_EXT_BAJA (2)&quot;;Extended Properties=&quot;&quot;" command="SELECT * FROM [CB_SMI_Mixto_EXT_BAJA (2)]"/>
  </connection>
  <connection id="13" xr16:uid="{1016760F-BDA8-4F8D-8C97-B4C520DEF931}" keepAlive="1" name="Consulta - CB_SMI_Mixto_MEDIA" description="Conexión a la consulta 'CB_SMI_Mixto_MEDIA' en el libro." type="5" refreshedVersion="8" background="1" saveData="1">
    <dbPr connection="Provider=Microsoft.Mashup.OleDb.1;Data Source=$Workbook$;Location=CB_SMI_Mixto_MEDIA;Extended Properties=&quot;&quot;" command="SELECT * FROM [CB_SMI_Mixto_MEDIA]"/>
  </connection>
  <connection id="14" xr16:uid="{B9226199-4A69-4872-A819-E3DA8C107DD6}" keepAlive="1" name="Consulta - CB_SMI_Mixto_MEDIA (2)" description="Conexión a la consulta 'CB_SMI_Mixto_MEDIA (2)' en el libro." type="5" refreshedVersion="8" background="1" saveData="1">
    <dbPr connection="Provider=Microsoft.Mashup.OleDb.1;Data Source=$Workbook$;Location=&quot;CB_SMI_Mixto_MEDIA (2)&quot;;Extended Properties=&quot;&quot;" command="SELECT * FROM [CB_SMI_Mixto_MEDIA (2)]"/>
  </connection>
  <connection id="15" xr16:uid="{1EF409B0-D993-412E-8970-018048FFA170}" keepAlive="1" name="Consulta - CB_SMI_Mixto_MUY_BAJA" description="Conexión a la consulta 'CB_SMI_Mixto_MUY_BAJA' en el libro." type="5" refreshedVersion="8" background="1" saveData="1">
    <dbPr connection="Provider=Microsoft.Mashup.OleDb.1;Data Source=$Workbook$;Location=CB_SMI_Mixto_MUY_BAJA;Extended Properties=&quot;&quot;" command="SELECT * FROM [CB_SMI_Mixto_MUY_BAJA]"/>
  </connection>
  <connection id="16" xr16:uid="{3C841CEC-1586-43F2-92B0-E311D0AAAC5A}" keepAlive="1" name="Consulta - CB_SMI_Mixto_MUY_BAJA (2)" description="Conexión a la consulta 'CB_SMI_Mixto_MUY_BAJA (2)' en el libro." type="5" refreshedVersion="8" background="1" saveData="1">
    <dbPr connection="Provider=Microsoft.Mashup.OleDb.1;Data Source=$Workbook$;Location=&quot;CB_SMI_Mixto_MUY_BAJA (2)&quot;;Extended Properties=&quot;&quot;" command="SELECT * FROM [CB_SMI_Mixto_MUY_BAJA (2)]"/>
  </connection>
  <connection id="17" xr16:uid="{678FF229-8571-42AB-AA47-77DC09FE6B15}" keepAlive="1" name="Consulta - CB_SMI_PLC" description="Conexión a la consulta 'CB_SMI_PLC' en el libro." type="5" refreshedVersion="8" background="1" saveData="1">
    <dbPr connection="Provider=Microsoft.Mashup.OleDb.1;Data Source=$Workbook$;Location=CB_SMI_PLC;Extended Properties=&quot;&quot;" command="SELECT * FROM [CB_SMI_PLC]"/>
  </connection>
  <connection id="18" xr16:uid="{2870F0F9-E98F-42C2-BAA3-23EC5F9F8353}" keepAlive="1" name="Consulta - CB_SMI_RF" description="Conexión a la consulta 'CB_SMI_RF' en el libro." type="5" refreshedVersion="8" background="1" saveData="1">
    <dbPr connection="Provider=Microsoft.Mashup.OleDb.1;Data Source=$Workbook$;Location=CB_SMI_RF;Extended Properties=&quot;&quot;" command="SELECT * FROM [CB_SMI_RF]"/>
  </connection>
</connections>
</file>

<file path=xl/sharedStrings.xml><?xml version="1.0" encoding="utf-8"?>
<sst xmlns="http://schemas.openxmlformats.org/spreadsheetml/2006/main" count="941" uniqueCount="183">
  <si>
    <t>Supuestos y consideraciones</t>
  </si>
  <si>
    <t>Posibles variables que definen a un escenario</t>
  </si>
  <si>
    <t>2) Tiempo de plazo para el despliegue.</t>
  </si>
  <si>
    <t>1) Extensión del despliegue (% de consumidores).</t>
  </si>
  <si>
    <t>3) Número de funcionalidades del Sistema de Medición Inteligente.</t>
  </si>
  <si>
    <t>4) Densidad de clientes en el despliegue (Urbano vs Rural).</t>
  </si>
  <si>
    <t>Variables</t>
  </si>
  <si>
    <t>Valor</t>
  </si>
  <si>
    <t>Escenario 0 (Caso Base, sin despliegue):</t>
  </si>
  <si>
    <t>Escenario 1:</t>
  </si>
  <si>
    <t>Parámetros relevantes del Sistema Eléctrico en Chile</t>
  </si>
  <si>
    <t>Parámetro</t>
  </si>
  <si>
    <t>Variación proyectada del consumo de energía</t>
  </si>
  <si>
    <t>Variación proyectada de los precios de la energía</t>
  </si>
  <si>
    <t>Transferencia de carga de punta</t>
  </si>
  <si>
    <t>Pérdidas eléctricas en niveles de transmisión y distribución</t>
  </si>
  <si>
    <t>Minutos no suministrados estimados</t>
  </si>
  <si>
    <t>Tasa de descuento</t>
  </si>
  <si>
    <t>Número de medidores inteligentes a instalar</t>
  </si>
  <si>
    <t>Costos de instalación del sistema de medición inteligente</t>
  </si>
  <si>
    <t>Vida útil del sistema de medición inteligente</t>
  </si>
  <si>
    <t>Costos de lectura de medidores</t>
  </si>
  <si>
    <t>Tasa de éxito de telecomunicación</t>
  </si>
  <si>
    <t>Tasa de inflación</t>
  </si>
  <si>
    <t>Reducción de costos asociada a la madurez tecnológica</t>
  </si>
  <si>
    <t>Calendario de implementación</t>
  </si>
  <si>
    <t>Costos de carbono</t>
  </si>
  <si>
    <t>Porcentaje de medidores ubicados en zonas rurales vs urbanas</t>
  </si>
  <si>
    <t>Unidad</t>
  </si>
  <si>
    <t>%</t>
  </si>
  <si>
    <t>Cantidad</t>
  </si>
  <si>
    <t>Valor de Energía No Suministrada; valor del suministro</t>
  </si>
  <si>
    <t>$/kWh</t>
  </si>
  <si>
    <t>$</t>
  </si>
  <si>
    <t>Costos de hardware (p. ej, medidor inteligente, módem GPRS/PLC, etc.)</t>
  </si>
  <si>
    <t>Años</t>
  </si>
  <si>
    <t>$/año</t>
  </si>
  <si>
    <t>Cantidad/año</t>
  </si>
  <si>
    <t>$/ton</t>
  </si>
  <si>
    <t>Comentario</t>
  </si>
  <si>
    <t>Tecnología</t>
  </si>
  <si>
    <t>Supuestos y Consideraciones</t>
  </si>
  <si>
    <t>Dólar</t>
  </si>
  <si>
    <t>UF</t>
  </si>
  <si>
    <t>USD/$</t>
  </si>
  <si>
    <t>UF/$</t>
  </si>
  <si>
    <t>Vida útil del proyecto</t>
  </si>
  <si>
    <t>años</t>
  </si>
  <si>
    <t>Periodo</t>
  </si>
  <si>
    <t>Año</t>
  </si>
  <si>
    <t>Escenario de implementación</t>
  </si>
  <si>
    <t>Densidad de clientes</t>
  </si>
  <si>
    <t>Alta</t>
  </si>
  <si>
    <t>Media</t>
  </si>
  <si>
    <t>Baja</t>
  </si>
  <si>
    <t>Muy Baja</t>
  </si>
  <si>
    <t>Extremadamente Baja</t>
  </si>
  <si>
    <t>UM 1F</t>
  </si>
  <si>
    <t>UM 3F Directa</t>
  </si>
  <si>
    <t>UM 3F Indirecta</t>
  </si>
  <si>
    <t>DCU</t>
  </si>
  <si>
    <t>SyM Equipos</t>
  </si>
  <si>
    <t>Corte y Reposición remoto</t>
  </si>
  <si>
    <t>Reducción de emisiones de CO2</t>
  </si>
  <si>
    <t>Flujo</t>
  </si>
  <si>
    <t>Concepto</t>
  </si>
  <si>
    <t>Periodo 0</t>
  </si>
  <si>
    <t>Periodo 1</t>
  </si>
  <si>
    <t>Periodo 2</t>
  </si>
  <si>
    <t>Periodo 3</t>
  </si>
  <si>
    <t>Periodo 4</t>
  </si>
  <si>
    <t>Periodo 5</t>
  </si>
  <si>
    <t>Periodo 6</t>
  </si>
  <si>
    <t>Periodo 7</t>
  </si>
  <si>
    <t>Periodo 8</t>
  </si>
  <si>
    <t>Periodo 9</t>
  </si>
  <si>
    <t>Periodo 10</t>
  </si>
  <si>
    <t>Periodo 11</t>
  </si>
  <si>
    <t>Periodo 12</t>
  </si>
  <si>
    <t>Periodo 13</t>
  </si>
  <si>
    <t>Periodo 14</t>
  </si>
  <si>
    <t>Periodo 15</t>
  </si>
  <si>
    <t>Inversión SGO [USD]</t>
  </si>
  <si>
    <t>Operación Comunicaciones [USD/año]</t>
  </si>
  <si>
    <t>Operación Comunicaciones DCU-SGO [USD/año]</t>
  </si>
  <si>
    <t>Operación SGO [USD/año]</t>
  </si>
  <si>
    <t>Soporte y Mantenimiento Equipos [USD/año]</t>
  </si>
  <si>
    <t>Ahorro en lectura pedestre [USD/año]</t>
  </si>
  <si>
    <t>Ahorro corte y reposición remoto [USD/año]</t>
  </si>
  <si>
    <t>Ahorro reducción de PNT [USD/año]</t>
  </si>
  <si>
    <t>Ahorro por compensación evitada [USD/año]</t>
  </si>
  <si>
    <t>Ahorro reducción del consumo [USD/año]</t>
  </si>
  <si>
    <t>Ahorro reducción emisiones CO2 [USD/año]</t>
  </si>
  <si>
    <t>Ahorro atención al cliente [USD/año]</t>
  </si>
  <si>
    <t>Ahorro por inversión evitada [USD/año]</t>
  </si>
  <si>
    <t>Reducción de Pérdidas No Técnicas</t>
  </si>
  <si>
    <t>Reducción del tiempo de respuesta ante Fallas</t>
  </si>
  <si>
    <t>Reducción en Inversión de infraestructura de red</t>
  </si>
  <si>
    <t>Reducción del consumo de Clientes Finales</t>
  </si>
  <si>
    <t>Reducción servicio Atención al Cliente</t>
  </si>
  <si>
    <t>Operación Comunicaciones UM - SGO</t>
  </si>
  <si>
    <t>Operación Comunicaciones DCU - SGO</t>
  </si>
  <si>
    <t>Cantidad UM 1F</t>
  </si>
  <si>
    <t>Cantidad UM 3F Directa</t>
  </si>
  <si>
    <t>Cantidad UM 3F Indirecta</t>
  </si>
  <si>
    <t>Despliegue</t>
  </si>
  <si>
    <t>Meta de despligue</t>
  </si>
  <si>
    <t>UM/año</t>
  </si>
  <si>
    <t>% de avance</t>
  </si>
  <si>
    <t>Flujo Acumulado</t>
  </si>
  <si>
    <t>VAN</t>
  </si>
  <si>
    <t>TIR</t>
  </si>
  <si>
    <t>Ahorro de lectura pedestre</t>
  </si>
  <si>
    <t>Energía facturada anual [MWh/año]</t>
  </si>
  <si>
    <t>UM faltantes por instalar</t>
  </si>
  <si>
    <t>UM 1F [N° Equipos]</t>
  </si>
  <si>
    <t>UM 3F Directa [N° Equipos]</t>
  </si>
  <si>
    <t>UM 3F Indirecta [N° Equipos]</t>
  </si>
  <si>
    <t>VI [MUSD]</t>
  </si>
  <si>
    <t>COMA [MUSD]</t>
  </si>
  <si>
    <t>Beneficios [MUSD]</t>
  </si>
  <si>
    <t>Despligue SMI Chile</t>
  </si>
  <si>
    <t>Datos de despliegue</t>
  </si>
  <si>
    <t>VI Total:</t>
  </si>
  <si>
    <t>Flujo de caja [MUSD]</t>
  </si>
  <si>
    <t>UM 1F instalados</t>
  </si>
  <si>
    <t>UM 3F Directa instalados</t>
  </si>
  <si>
    <t>UM 3F Indirecta instalados</t>
  </si>
  <si>
    <t>Objetivo de despligue UM 1F</t>
  </si>
  <si>
    <t>Objetivo de despligue UM 3F Directa</t>
  </si>
  <si>
    <t>Objetivo de despligue UM 3F Indirecta</t>
  </si>
  <si>
    <t>COMA Total:</t>
  </si>
  <si>
    <t>Beneficios Total:</t>
  </si>
  <si>
    <t>Cantidad DCU</t>
  </si>
  <si>
    <t>Inversión UM 1F [USD/equipo]</t>
  </si>
  <si>
    <t>Inversión UM 3F Directa [USD/equipo]</t>
  </si>
  <si>
    <t>Inversión UM 3F Indirecta [USD/equipo]</t>
  </si>
  <si>
    <t>Inversión DCU [USD/equipo]</t>
  </si>
  <si>
    <t>Energía Facturada anual [GWh]</t>
  </si>
  <si>
    <t>Ahorro por gestión del consumo [USD/año]</t>
  </si>
  <si>
    <t>Reducción del costo de la energía en horas de Sol</t>
  </si>
  <si>
    <t>Inversión MDMS [USD]</t>
  </si>
  <si>
    <t>Operación MDMS [USD/año]</t>
  </si>
  <si>
    <t>MDMS</t>
  </si>
  <si>
    <t>Operación MDMS</t>
  </si>
  <si>
    <t>HES</t>
  </si>
  <si>
    <t>Operación HES</t>
  </si>
  <si>
    <t>Mixto</t>
  </si>
  <si>
    <t>Mixto_ALTA</t>
  </si>
  <si>
    <t>Mixto_MEDIA</t>
  </si>
  <si>
    <t>Mixto_BAJA</t>
  </si>
  <si>
    <t>Mixto_MUY_BAJA</t>
  </si>
  <si>
    <t>Mixto_EXT_BAJA</t>
  </si>
  <si>
    <t>Reducción de Pérdidas No Técnicas (PNT)</t>
  </si>
  <si>
    <t>Gestión del consumo</t>
  </si>
  <si>
    <t>Costos Totales (VI + COMA)</t>
  </si>
  <si>
    <t>Flujo del periodo anterior</t>
  </si>
  <si>
    <t>Flujo descontado (6%)</t>
  </si>
  <si>
    <t>Flujo Acumulado descontado (6%)</t>
  </si>
  <si>
    <t>Tasa</t>
  </si>
  <si>
    <t>Monto [MUSD]</t>
  </si>
  <si>
    <t>Monto [USD/cliente]</t>
  </si>
  <si>
    <t>Monto [$/cliente]</t>
  </si>
  <si>
    <t>VAN (Costos)</t>
  </si>
  <si>
    <t>Anualidad (Costos)</t>
  </si>
  <si>
    <t>Mensualidad (Costos)</t>
  </si>
  <si>
    <t>B/C</t>
  </si>
  <si>
    <t>VAN (Beneficios)</t>
  </si>
  <si>
    <t># Clientes Alta</t>
  </si>
  <si>
    <t>Anualidad (Beneficios)</t>
  </si>
  <si>
    <t># Clientes Media</t>
  </si>
  <si>
    <t>Mensualidad (Beneficios)</t>
  </si>
  <si>
    <t># Clientes Baja</t>
  </si>
  <si>
    <t># Clientes Muy Baja</t>
  </si>
  <si>
    <t>VAN (Neto)</t>
  </si>
  <si>
    <t># Clientes Ext. Baja</t>
  </si>
  <si>
    <t>Anualidad (Neto)</t>
  </si>
  <si>
    <t>Mensualidad (Neto)</t>
  </si>
  <si>
    <t># Clientes Regulados</t>
  </si>
  <si>
    <t>VAN [MUSD]</t>
  </si>
  <si>
    <t>AVAN [MUSD]</t>
  </si>
  <si>
    <t>VAN [USD/# Clientes]</t>
  </si>
  <si>
    <t>Participación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</si>
</sst>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&quot;$&quot;\-#,##0.00"/>
    <numFmt numFmtId="42" formatCode="_ &quot;$&quot;* #,##0_ ;_ &quot;$&quot;* \-#,##0_ ;_ &quot;$&quot;* &quot;-&quot;_ ;_ @_ "/>
    <numFmt numFmtId="164" formatCode="_ &quot;$&quot;* #,##0.00_ ;_ &quot;$&quot;* \-#,##0.00_ ;_ &quot;$&quot;* &quot;-&quot;_ ;_ @_ "/>
    <numFmt numFmtId="165" formatCode="_ &quot;$&quot;* #,##0.0000_ ;_ &quot;$&quot;* \-#,##0.0000_ ;_ &quot;$&quot;* &quot;-&quot;_ ;_ @_ "/>
    <numFmt numFmtId="166" formatCode="_ &quot;$&quot;* #,##0.0000_ ;_ &quot;$&quot;* \-#,##0.0000_ ;_ &quot;$&quot;* &quot;-&quot;????_ ;_ @_ 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0AFA0"/>
        <bgColor indexed="64"/>
      </patternFill>
    </fill>
    <fill>
      <patternFill patternType="solid">
        <fgColor rgb="FFF5E4DF"/>
        <bgColor indexed="64"/>
      </patternFill>
    </fill>
    <fill>
      <patternFill patternType="solid">
        <fgColor rgb="FFE8EB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6EBF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DD2C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3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</cellStyleXfs>
  <cellXfs count="1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left"/>
    </xf>
    <xf numFmtId="166" fontId="0" fillId="0" borderId="0" xfId="0" applyNumberFormat="1"/>
    <xf numFmtId="1" fontId="0" fillId="0" borderId="1" xfId="0" applyNumberFormat="1" applyBorder="1" applyAlignment="1">
      <alignment horizontal="center" vertical="center"/>
    </xf>
    <xf numFmtId="165" fontId="0" fillId="0" borderId="1" xfId="1" applyNumberFormat="1" applyFont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1" fontId="0" fillId="0" borderId="2" xfId="2" applyNumberFormat="1" applyFont="1" applyBorder="1" applyAlignment="1">
      <alignment horizontal="center" vertical="center"/>
    </xf>
    <xf numFmtId="0" fontId="0" fillId="0" borderId="2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165" fontId="0" fillId="3" borderId="1" xfId="1" applyNumberFormat="1" applyFont="1" applyFill="1" applyBorder="1"/>
    <xf numFmtId="165" fontId="0" fillId="6" borderId="1" xfId="1" applyNumberFormat="1" applyFont="1" applyFill="1" applyBorder="1"/>
    <xf numFmtId="0" fontId="0" fillId="7" borderId="1" xfId="0" applyFill="1" applyBorder="1" applyAlignment="1">
      <alignment horizontal="center"/>
    </xf>
    <xf numFmtId="9" fontId="0" fillId="7" borderId="3" xfId="2" applyFont="1" applyFill="1" applyBorder="1" applyAlignment="1">
      <alignment horizontal="center" vertical="center"/>
    </xf>
    <xf numFmtId="9" fontId="0" fillId="7" borderId="1" xfId="2" applyFont="1" applyFill="1" applyBorder="1" applyAlignment="1">
      <alignment horizontal="center"/>
    </xf>
    <xf numFmtId="1" fontId="0" fillId="7" borderId="1" xfId="1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0" fillId="2" borderId="1" xfId="0" applyFill="1" applyBorder="1"/>
    <xf numFmtId="164" fontId="0" fillId="7" borderId="1" xfId="1" applyNumberFormat="1" applyFont="1" applyFill="1" applyBorder="1" applyAlignment="1"/>
    <xf numFmtId="0" fontId="4" fillId="0" borderId="0" xfId="0" applyFont="1"/>
    <xf numFmtId="14" fontId="0" fillId="2" borderId="1" xfId="0" applyNumberFormat="1" applyFill="1" applyBorder="1" applyAlignment="1">
      <alignment horizontal="center" vertical="center"/>
    </xf>
    <xf numFmtId="9" fontId="0" fillId="0" borderId="0" xfId="2" applyFont="1"/>
    <xf numFmtId="164" fontId="0" fillId="7" borderId="1" xfId="1" applyNumberFormat="1" applyFont="1" applyFill="1" applyBorder="1"/>
    <xf numFmtId="164" fontId="0" fillId="0" borderId="0" xfId="0" applyNumberFormat="1"/>
    <xf numFmtId="164" fontId="0" fillId="9" borderId="1" xfId="1" applyNumberFormat="1" applyFont="1" applyFill="1" applyBorder="1"/>
    <xf numFmtId="9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166" fontId="0" fillId="2" borderId="1" xfId="0" applyNumberForma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9" fontId="0" fillId="2" borderId="1" xfId="2" applyFont="1" applyFill="1" applyBorder="1" applyAlignment="1">
      <alignment horizontal="center"/>
    </xf>
    <xf numFmtId="42" fontId="0" fillId="0" borderId="0" xfId="0" applyNumberFormat="1"/>
    <xf numFmtId="0" fontId="0" fillId="0" borderId="16" xfId="0" applyBorder="1" applyAlignment="1">
      <alignment horizontal="center" vertical="center"/>
    </xf>
    <xf numFmtId="0" fontId="0" fillId="0" borderId="16" xfId="0" applyBorder="1"/>
    <xf numFmtId="8" fontId="0" fillId="0" borderId="0" xfId="0" applyNumberFormat="1"/>
    <xf numFmtId="0" fontId="0" fillId="7" borderId="1" xfId="0" applyFill="1" applyBorder="1"/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left" vertical="center"/>
    </xf>
    <xf numFmtId="0" fontId="7" fillId="5" borderId="6" xfId="0" applyFont="1" applyFill="1" applyBorder="1" applyAlignment="1">
      <alignment horizontal="left" vertical="center"/>
    </xf>
    <xf numFmtId="0" fontId="7" fillId="5" borderId="7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7" fillId="2" borderId="5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0" fillId="0" borderId="4" xfId="0" applyBorder="1"/>
    <xf numFmtId="0" fontId="0" fillId="0" borderId="1" xfId="0" applyBorder="1"/>
    <xf numFmtId="0" fontId="7" fillId="2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2" borderId="5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164" fontId="0" fillId="0" borderId="14" xfId="1" applyNumberFormat="1" applyFont="1" applyBorder="1" applyAlignment="1">
      <alignment horizontal="center" vertical="center"/>
    </xf>
    <xf numFmtId="42" fontId="0" fillId="0" borderId="14" xfId="1" applyFont="1" applyBorder="1" applyAlignment="1">
      <alignment horizontal="center" vertical="center"/>
    </xf>
    <xf numFmtId="164" fontId="0" fillId="11" borderId="15" xfId="1" applyNumberFormat="1" applyFont="1" applyFill="1" applyBorder="1" applyAlignment="1">
      <alignment horizontal="center"/>
    </xf>
    <xf numFmtId="42" fontId="0" fillId="11" borderId="15" xfId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13" xfId="1" applyNumberFormat="1" applyFont="1" applyBorder="1" applyAlignment="1">
      <alignment horizontal="center" vertical="center"/>
    </xf>
    <xf numFmtId="42" fontId="0" fillId="0" borderId="13" xfId="1" applyFont="1" applyBorder="1" applyAlignment="1">
      <alignment horizontal="center" vertical="center"/>
    </xf>
    <xf numFmtId="164" fontId="0" fillId="3" borderId="15" xfId="1" applyNumberFormat="1" applyFont="1" applyFill="1" applyBorder="1" applyAlignment="1">
      <alignment horizontal="center"/>
    </xf>
    <xf numFmtId="42" fontId="0" fillId="3" borderId="15" xfId="1" applyFont="1" applyFill="1" applyBorder="1" applyAlignment="1">
      <alignment horizontal="center"/>
    </xf>
    <xf numFmtId="164" fontId="0" fillId="2" borderId="15" xfId="1" applyNumberFormat="1" applyFont="1" applyFill="1" applyBorder="1" applyAlignment="1">
      <alignment horizontal="center" vertical="center"/>
    </xf>
    <xf numFmtId="42" fontId="0" fillId="2" borderId="15" xfId="1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8" fontId="0" fillId="5" borderId="14" xfId="0" applyNumberFormat="1" applyFill="1" applyBorder="1" applyAlignment="1">
      <alignment horizontal="center"/>
    </xf>
    <xf numFmtId="8" fontId="0" fillId="5" borderId="15" xfId="0" applyNumberFormat="1" applyFill="1" applyBorder="1" applyAlignment="1">
      <alignment horizontal="center"/>
    </xf>
    <xf numFmtId="0" fontId="0" fillId="0" borderId="0" xfId="0"/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4">
    <cellStyle name="Moneda [0]" xfId="1" builtinId="7"/>
    <cellStyle name="Normal" xfId="0" builtinId="0"/>
    <cellStyle name="Normal 2" xfId="3" xr:uid="{3DAECE70-E36A-454A-A902-4D6EC52CC3B0}"/>
    <cellStyle name="Porcentaje" xfId="2" builtinId="5"/>
  </cellStyles>
  <dxfs count="5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58267E"/>
      <color rgb="FFD8BEEC"/>
      <color rgb="FFC7A1E3"/>
      <color rgb="FFD5B8EA"/>
      <color rgb="FFE8EBF0"/>
      <color rgb="FFF5E4DF"/>
      <color rgb="FFF2DDD6"/>
      <color rgb="FFEDD2C9"/>
      <color rgb="FFE0AFA0"/>
      <color rgb="FFCF86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6" xr16:uid="{0537F9C7-89C0-4BE0-9DFC-9B7C845B467F}" autoFormatId="16" applyNumberFormats="0" applyBorderFormats="0" applyFontFormats="0" applyPatternFormats="0" applyAlignmentFormats="0" applyWidthHeightFormats="0">
  <queryTableRefresh nextId="18">
    <queryTableFields count="17">
      <queryTableField id="1" name="Concepto" tableColumnId="1"/>
      <queryTableField id="2" name="Periodo 0" tableColumnId="2"/>
      <queryTableField id="3" name="Periodo 1" tableColumnId="3"/>
      <queryTableField id="4" name="Periodo 2" tableColumnId="4"/>
      <queryTableField id="5" name="Periodo 3" tableColumnId="5"/>
      <queryTableField id="6" name="Periodo 4" tableColumnId="6"/>
      <queryTableField id="7" name="Periodo 5" tableColumnId="7"/>
      <queryTableField id="8" name="Periodo 6" tableColumnId="8"/>
      <queryTableField id="9" name="Periodo 7" tableColumnId="9"/>
      <queryTableField id="10" name="Periodo 8" tableColumnId="10"/>
      <queryTableField id="11" name="Periodo 9" tableColumnId="11"/>
      <queryTableField id="12" name="Periodo 10" tableColumnId="12"/>
      <queryTableField id="13" name="Periodo 11" tableColumnId="13"/>
      <queryTableField id="14" name="Periodo 12" tableColumnId="14"/>
      <queryTableField id="15" name="Periodo 13" tableColumnId="15"/>
      <queryTableField id="16" name="Periodo 14" tableColumnId="16"/>
      <queryTableField id="17" name="Periodo 15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8" xr16:uid="{9AF15EEC-3EBC-42B1-AB02-A39E93755870}" autoFormatId="16" applyNumberFormats="0" applyBorderFormats="0" applyFontFormats="0" applyPatternFormats="0" applyAlignmentFormats="0" applyWidthHeightFormats="0">
  <queryTableRefresh nextId="18">
    <queryTableFields count="17">
      <queryTableField id="1" name="Concepto" tableColumnId="1"/>
      <queryTableField id="2" name="Periodo 0" tableColumnId="2"/>
      <queryTableField id="3" name="Periodo 1" tableColumnId="3"/>
      <queryTableField id="4" name="Periodo 2" tableColumnId="4"/>
      <queryTableField id="5" name="Periodo 3" tableColumnId="5"/>
      <queryTableField id="6" name="Periodo 4" tableColumnId="6"/>
      <queryTableField id="7" name="Periodo 5" tableColumnId="7"/>
      <queryTableField id="8" name="Periodo 6" tableColumnId="8"/>
      <queryTableField id="9" name="Periodo 7" tableColumnId="9"/>
      <queryTableField id="10" name="Periodo 8" tableColumnId="10"/>
      <queryTableField id="11" name="Periodo 9" tableColumnId="11"/>
      <queryTableField id="12" name="Periodo 10" tableColumnId="12"/>
      <queryTableField id="13" name="Periodo 11" tableColumnId="13"/>
      <queryTableField id="14" name="Periodo 12" tableColumnId="14"/>
      <queryTableField id="15" name="Periodo 13" tableColumnId="15"/>
      <queryTableField id="16" name="Periodo 14" tableColumnId="16"/>
      <queryTableField id="17" name="Periodo 15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14" xr16:uid="{AE3EF540-F90D-44F4-99F2-924CDAFF1FC7}" autoFormatId="16" applyNumberFormats="0" applyBorderFormats="0" applyFontFormats="0" applyPatternFormats="0" applyAlignmentFormats="0" applyWidthHeightFormats="0">
  <queryTableRefresh nextId="18">
    <queryTableFields count="17">
      <queryTableField id="1" name="Concepto" tableColumnId="1"/>
      <queryTableField id="2" name="Periodo 0" tableColumnId="2"/>
      <queryTableField id="3" name="Periodo 1" tableColumnId="3"/>
      <queryTableField id="4" name="Periodo 2" tableColumnId="4"/>
      <queryTableField id="5" name="Periodo 3" tableColumnId="5"/>
      <queryTableField id="6" name="Periodo 4" tableColumnId="6"/>
      <queryTableField id="7" name="Periodo 5" tableColumnId="7"/>
      <queryTableField id="8" name="Periodo 6" tableColumnId="8"/>
      <queryTableField id="9" name="Periodo 7" tableColumnId="9"/>
      <queryTableField id="10" name="Periodo 8" tableColumnId="10"/>
      <queryTableField id="11" name="Periodo 9" tableColumnId="11"/>
      <queryTableField id="12" name="Periodo 10" tableColumnId="12"/>
      <queryTableField id="13" name="Periodo 11" tableColumnId="13"/>
      <queryTableField id="14" name="Periodo 12" tableColumnId="14"/>
      <queryTableField id="15" name="Periodo 13" tableColumnId="15"/>
      <queryTableField id="16" name="Periodo 14" tableColumnId="16"/>
      <queryTableField id="17" name="Periodo 15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10" xr16:uid="{DA3746EC-948E-494F-AFDF-1C1280306402}" autoFormatId="16" applyNumberFormats="0" applyBorderFormats="0" applyFontFormats="0" applyPatternFormats="0" applyAlignmentFormats="0" applyWidthHeightFormats="0">
  <queryTableRefresh nextId="18">
    <queryTableFields count="17">
      <queryTableField id="1" name="Concepto" tableColumnId="1"/>
      <queryTableField id="2" name="Periodo 0" tableColumnId="2"/>
      <queryTableField id="3" name="Periodo 1" tableColumnId="3"/>
      <queryTableField id="4" name="Periodo 2" tableColumnId="4"/>
      <queryTableField id="5" name="Periodo 3" tableColumnId="5"/>
      <queryTableField id="6" name="Periodo 4" tableColumnId="6"/>
      <queryTableField id="7" name="Periodo 5" tableColumnId="7"/>
      <queryTableField id="8" name="Periodo 6" tableColumnId="8"/>
      <queryTableField id="9" name="Periodo 7" tableColumnId="9"/>
      <queryTableField id="10" name="Periodo 8" tableColumnId="10"/>
      <queryTableField id="11" name="Periodo 9" tableColumnId="11"/>
      <queryTableField id="12" name="Periodo 10" tableColumnId="12"/>
      <queryTableField id="13" name="Periodo 11" tableColumnId="13"/>
      <queryTableField id="14" name="Periodo 12" tableColumnId="14"/>
      <queryTableField id="15" name="Periodo 13" tableColumnId="15"/>
      <queryTableField id="16" name="Periodo 14" tableColumnId="16"/>
      <queryTableField id="17" name="Periodo 15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16" xr16:uid="{6968A976-8CFF-4406-9D21-FFA17ABCC7ED}" autoFormatId="16" applyNumberFormats="0" applyBorderFormats="0" applyFontFormats="0" applyPatternFormats="0" applyAlignmentFormats="0" applyWidthHeightFormats="0">
  <queryTableRefresh nextId="18">
    <queryTableFields count="17">
      <queryTableField id="1" name="Concepto" tableColumnId="1"/>
      <queryTableField id="2" name="Periodo 0" tableColumnId="2"/>
      <queryTableField id="3" name="Periodo 1" tableColumnId="3"/>
      <queryTableField id="4" name="Periodo 2" tableColumnId="4"/>
      <queryTableField id="5" name="Periodo 3" tableColumnId="5"/>
      <queryTableField id="6" name="Periodo 4" tableColumnId="6"/>
      <queryTableField id="7" name="Periodo 5" tableColumnId="7"/>
      <queryTableField id="8" name="Periodo 6" tableColumnId="8"/>
      <queryTableField id="9" name="Periodo 7" tableColumnId="9"/>
      <queryTableField id="10" name="Periodo 8" tableColumnId="10"/>
      <queryTableField id="11" name="Periodo 9" tableColumnId="11"/>
      <queryTableField id="12" name="Periodo 10" tableColumnId="12"/>
      <queryTableField id="13" name="Periodo 11" tableColumnId="13"/>
      <queryTableField id="14" name="Periodo 12" tableColumnId="14"/>
      <queryTableField id="15" name="Periodo 13" tableColumnId="15"/>
      <queryTableField id="16" name="Periodo 14" tableColumnId="16"/>
      <queryTableField id="17" name="Periodo 15" tableColumnId="1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12" xr16:uid="{39D4AFF1-8DEC-4494-84F9-A75465CDBEA5}" autoFormatId="16" applyNumberFormats="0" applyBorderFormats="0" applyFontFormats="0" applyPatternFormats="0" applyAlignmentFormats="0" applyWidthHeightFormats="0">
  <queryTableRefresh nextId="18">
    <queryTableFields count="17">
      <queryTableField id="1" name="Concepto" tableColumnId="1"/>
      <queryTableField id="2" name="Periodo 0" tableColumnId="2"/>
      <queryTableField id="3" name="Periodo 1" tableColumnId="3"/>
      <queryTableField id="4" name="Periodo 2" tableColumnId="4"/>
      <queryTableField id="5" name="Periodo 3" tableColumnId="5"/>
      <queryTableField id="6" name="Periodo 4" tableColumnId="6"/>
      <queryTableField id="7" name="Periodo 5" tableColumnId="7"/>
      <queryTableField id="8" name="Periodo 6" tableColumnId="8"/>
      <queryTableField id="9" name="Periodo 7" tableColumnId="9"/>
      <queryTableField id="10" name="Periodo 8" tableColumnId="10"/>
      <queryTableField id="11" name="Periodo 9" tableColumnId="11"/>
      <queryTableField id="12" name="Periodo 10" tableColumnId="12"/>
      <queryTableField id="13" name="Periodo 11" tableColumnId="13"/>
      <queryTableField id="14" name="Periodo 12" tableColumnId="14"/>
      <queryTableField id="15" name="Periodo 13" tableColumnId="15"/>
      <queryTableField id="16" name="Periodo 14" tableColumnId="16"/>
      <queryTableField id="17" name="Periodo 15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32007B-7435-4414-9DAC-DDB4A6012379}" name="CB_SMI_Mixto__3" displayName="CB_SMI_Mixto__3" ref="A1:Q26" tableType="queryTable" totalsRowShown="0">
  <autoFilter ref="A1:Q26" xr:uid="{F832007B-7435-4414-9DAC-DDB4A6012379}"/>
  <tableColumns count="17">
    <tableColumn id="1" xr3:uid="{AACB5733-47F7-461E-A597-EB0D4B6C675B}" uniqueName="1" name="Concepto" queryTableFieldId="1" dataDxfId="53"/>
    <tableColumn id="2" xr3:uid="{E5D2B63E-F242-48E5-BD04-D02A963AC956}" uniqueName="2" name="Periodo 0" queryTableFieldId="2"/>
    <tableColumn id="3" xr3:uid="{26720DA3-7EF0-44BD-A18B-23B5FB1AE34D}" uniqueName="3" name="Periodo 1" queryTableFieldId="3"/>
    <tableColumn id="4" xr3:uid="{88974C03-F51A-49D6-AFB2-44F9F09FE29E}" uniqueName="4" name="Periodo 2" queryTableFieldId="4"/>
    <tableColumn id="5" xr3:uid="{6C1997E3-AE57-429A-9319-52D6CC8F19EB}" uniqueName="5" name="Periodo 3" queryTableFieldId="5"/>
    <tableColumn id="6" xr3:uid="{6E53E083-9184-4817-9AAF-3D9241719BAA}" uniqueName="6" name="Periodo 4" queryTableFieldId="6"/>
    <tableColumn id="7" xr3:uid="{DD70AEB3-E521-4292-9E68-7578CF74D565}" uniqueName="7" name="Periodo 5" queryTableFieldId="7"/>
    <tableColumn id="8" xr3:uid="{41BB8AE8-F5B7-445B-9359-CD196876E773}" uniqueName="8" name="Periodo 6" queryTableFieldId="8"/>
    <tableColumn id="9" xr3:uid="{5BED52F0-5C56-4F04-B73D-F8855050040A}" uniqueName="9" name="Periodo 7" queryTableFieldId="9"/>
    <tableColumn id="10" xr3:uid="{F17C5105-1290-4998-8C84-B620105F0790}" uniqueName="10" name="Periodo 8" queryTableFieldId="10"/>
    <tableColumn id="11" xr3:uid="{F9A2EC5C-B6AA-4703-A9AE-C2E251413CE2}" uniqueName="11" name="Periodo 9" queryTableFieldId="11"/>
    <tableColumn id="12" xr3:uid="{B0E11B9E-E240-49A7-84EE-E466EA568901}" uniqueName="12" name="Periodo 10" queryTableFieldId="12"/>
    <tableColumn id="13" xr3:uid="{123F5A82-97BE-45F8-A083-733963A062CC}" uniqueName="13" name="Periodo 11" queryTableFieldId="13"/>
    <tableColumn id="14" xr3:uid="{58ED3B9D-9996-4824-B069-079D757F6F9B}" uniqueName="14" name="Periodo 12" queryTableFieldId="14"/>
    <tableColumn id="15" xr3:uid="{5A6F060C-1D5F-4089-A74B-B892386E2644}" uniqueName="15" name="Periodo 13" queryTableFieldId="15"/>
    <tableColumn id="16" xr3:uid="{6A2753B9-DEE7-4276-9F31-45B7824D6110}" uniqueName="16" name="Periodo 14" queryTableFieldId="16"/>
    <tableColumn id="17" xr3:uid="{2419E424-7E14-42F6-8A2A-63607B3A9888}" uniqueName="17" name="Periodo 15" queryTableFieldId="1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B22842-D820-496C-A735-6C8D1D337552}" name="CB_SMI_Mixto_ALTA__2" displayName="CB_SMI_Mixto_ALTA__2" ref="A1:Q26" tableType="queryTable" totalsRowShown="0">
  <autoFilter ref="A1:Q26" xr:uid="{9FB22842-D820-496C-A735-6C8D1D337552}"/>
  <tableColumns count="17">
    <tableColumn id="1" xr3:uid="{5BF141CE-8C3D-4B77-A831-F06B26E34E53}" uniqueName="1" name="Concepto" queryTableFieldId="1" dataDxfId="52"/>
    <tableColumn id="2" xr3:uid="{068AD7EB-6457-4F96-9E4B-25CCB2D47B4A}" uniqueName="2" name="Periodo 0" queryTableFieldId="2"/>
    <tableColumn id="3" xr3:uid="{6B57EC0A-AA00-4DF6-9454-56C354EB7E4A}" uniqueName="3" name="Periodo 1" queryTableFieldId="3"/>
    <tableColumn id="4" xr3:uid="{27B134F2-E95C-4644-B3D0-9632BB3C158B}" uniqueName="4" name="Periodo 2" queryTableFieldId="4"/>
    <tableColumn id="5" xr3:uid="{5C987B51-7DFD-4517-8F72-60A06D8DFA84}" uniqueName="5" name="Periodo 3" queryTableFieldId="5"/>
    <tableColumn id="6" xr3:uid="{31D83077-4608-4984-BCB7-3AE89553490C}" uniqueName="6" name="Periodo 4" queryTableFieldId="6"/>
    <tableColumn id="7" xr3:uid="{7096CFD1-F0ED-4231-BB8E-20F7F1D625CD}" uniqueName="7" name="Periodo 5" queryTableFieldId="7"/>
    <tableColumn id="8" xr3:uid="{DDE1A3E5-B248-4ED7-A2A0-B73A6931F497}" uniqueName="8" name="Periodo 6" queryTableFieldId="8"/>
    <tableColumn id="9" xr3:uid="{5C6978A6-956D-4AAB-88D4-92B6D0CD1D15}" uniqueName="9" name="Periodo 7" queryTableFieldId="9"/>
    <tableColumn id="10" xr3:uid="{7CD53C32-9EF4-4D62-AA01-9FA86F44AD57}" uniqueName="10" name="Periodo 8" queryTableFieldId="10"/>
    <tableColumn id="11" xr3:uid="{46EF93C0-3F2C-4914-A086-D131F6991B94}" uniqueName="11" name="Periodo 9" queryTableFieldId="11"/>
    <tableColumn id="12" xr3:uid="{3935A1B5-E466-4D1E-87BB-1C45898B1BC6}" uniqueName="12" name="Periodo 10" queryTableFieldId="12"/>
    <tableColumn id="13" xr3:uid="{0D00E83B-D035-456F-8D49-698FCA347955}" uniqueName="13" name="Periodo 11" queryTableFieldId="13"/>
    <tableColumn id="14" xr3:uid="{84CB7E94-0DBA-41D6-8BB2-5711D2DBCF34}" uniqueName="14" name="Periodo 12" queryTableFieldId="14"/>
    <tableColumn id="15" xr3:uid="{75B9D36F-980A-479F-B4AD-31468793841E}" uniqueName="15" name="Periodo 13" queryTableFieldId="15"/>
    <tableColumn id="16" xr3:uid="{014DCE7F-6FE5-4EA7-8449-B98BC5DF2320}" uniqueName="16" name="Periodo 14" queryTableFieldId="16"/>
    <tableColumn id="17" xr3:uid="{92337FFF-B6E7-4379-8288-1769D704F329}" uniqueName="17" name="Periodo 15" queryTableFieldId="1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65FB31F-2961-41F3-896E-9B0B7BCDDE5D}" name="CB_SMI_Mixto_MEDIA__2" displayName="CB_SMI_Mixto_MEDIA__2" ref="A1:Q26" tableType="queryTable" totalsRowShown="0">
  <autoFilter ref="A1:Q26" xr:uid="{365FB31F-2961-41F3-896E-9B0B7BCDDE5D}"/>
  <tableColumns count="17">
    <tableColumn id="1" xr3:uid="{67AF274D-9B7D-4AD7-A16C-F71D371210E3}" uniqueName="1" name="Concepto" queryTableFieldId="1" dataDxfId="51"/>
    <tableColumn id="2" xr3:uid="{0D6701E7-EBE0-4402-9A58-917BB3BE89A0}" uniqueName="2" name="Periodo 0" queryTableFieldId="2"/>
    <tableColumn id="3" xr3:uid="{7685AB68-66A7-4A55-AD1D-726AEC95123E}" uniqueName="3" name="Periodo 1" queryTableFieldId="3"/>
    <tableColumn id="4" xr3:uid="{C76D9342-0E9C-4807-9E36-A500C9A4457E}" uniqueName="4" name="Periodo 2" queryTableFieldId="4"/>
    <tableColumn id="5" xr3:uid="{2ACCB79A-CEBB-4679-B031-32979FE5336A}" uniqueName="5" name="Periodo 3" queryTableFieldId="5"/>
    <tableColumn id="6" xr3:uid="{91091AE6-EE6E-423B-B1B0-CC5CDE7B1B36}" uniqueName="6" name="Periodo 4" queryTableFieldId="6"/>
    <tableColumn id="7" xr3:uid="{56F9A618-2A73-4462-A9DE-06AAD7FC64A1}" uniqueName="7" name="Periodo 5" queryTableFieldId="7"/>
    <tableColumn id="8" xr3:uid="{17727A38-9120-4AB1-8555-EF33E4BA0FCE}" uniqueName="8" name="Periodo 6" queryTableFieldId="8"/>
    <tableColumn id="9" xr3:uid="{AA9DCB23-6C99-4879-AE2D-08F687C0967C}" uniqueName="9" name="Periodo 7" queryTableFieldId="9"/>
    <tableColumn id="10" xr3:uid="{4BF98DF5-44E7-488C-86DB-23FAC096D974}" uniqueName="10" name="Periodo 8" queryTableFieldId="10"/>
    <tableColumn id="11" xr3:uid="{E765DC14-267E-460D-965E-34B0A481BF2C}" uniqueName="11" name="Periodo 9" queryTableFieldId="11"/>
    <tableColumn id="12" xr3:uid="{F8E384C0-824A-4B60-AF22-F91D52B64630}" uniqueName="12" name="Periodo 10" queryTableFieldId="12"/>
    <tableColumn id="13" xr3:uid="{41DFA46D-6A67-4CDE-9A74-10E28941CBD6}" uniqueName="13" name="Periodo 11" queryTableFieldId="13"/>
    <tableColumn id="14" xr3:uid="{E670E9F9-382A-417D-BA80-7EB23755F759}" uniqueName="14" name="Periodo 12" queryTableFieldId="14"/>
    <tableColumn id="15" xr3:uid="{E90AB1D2-017A-440A-A4BB-8C37EF75CCB0}" uniqueName="15" name="Periodo 13" queryTableFieldId="15"/>
    <tableColumn id="16" xr3:uid="{7862EA55-AD13-41F9-8CF3-9D1CBFF23413}" uniqueName="16" name="Periodo 14" queryTableFieldId="16"/>
    <tableColumn id="17" xr3:uid="{D9A2D4EE-7803-45EC-B66C-48BBBB9A4E7D}" uniqueName="17" name="Periodo 15" queryTableFieldId="17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AD26AF9-6820-4250-B1B8-C1E9CD8C8989}" name="CB_SMI_Mixto_BAJA__2" displayName="CB_SMI_Mixto_BAJA__2" ref="A1:Q26" tableType="queryTable" totalsRowShown="0">
  <autoFilter ref="A1:Q26" xr:uid="{2AD26AF9-6820-4250-B1B8-C1E9CD8C8989}"/>
  <tableColumns count="17">
    <tableColumn id="1" xr3:uid="{BF0B7766-F5BC-44FF-B873-8A0A64001E30}" uniqueName="1" name="Concepto" queryTableFieldId="1" dataDxfId="50"/>
    <tableColumn id="2" xr3:uid="{0EED55A2-EF01-42DB-B7EE-98F5330AB457}" uniqueName="2" name="Periodo 0" queryTableFieldId="2"/>
    <tableColumn id="3" xr3:uid="{FE07D7D2-6530-4B3B-AE17-09EC709C8059}" uniqueName="3" name="Periodo 1" queryTableFieldId="3"/>
    <tableColumn id="4" xr3:uid="{62AC2DBC-61E8-4833-AF88-70976375F618}" uniqueName="4" name="Periodo 2" queryTableFieldId="4"/>
    <tableColumn id="5" xr3:uid="{EA6626C8-03CC-4E26-98A7-8FA129C9F7A3}" uniqueName="5" name="Periodo 3" queryTableFieldId="5"/>
    <tableColumn id="6" xr3:uid="{BDAFF723-35A8-41B9-916C-A6A6B7F1CE24}" uniqueName="6" name="Periodo 4" queryTableFieldId="6"/>
    <tableColumn id="7" xr3:uid="{CDBD584A-6CD4-499C-8286-F7904FEEFF1D}" uniqueName="7" name="Periodo 5" queryTableFieldId="7"/>
    <tableColumn id="8" xr3:uid="{FA4A97D0-7765-4E1E-9294-D00911C13B45}" uniqueName="8" name="Periodo 6" queryTableFieldId="8"/>
    <tableColumn id="9" xr3:uid="{56CC64FA-83AB-44DC-98E6-2FA4FBEA4CAA}" uniqueName="9" name="Periodo 7" queryTableFieldId="9"/>
    <tableColumn id="10" xr3:uid="{6D0353A2-69E7-4BB7-B636-5D6D73B5B585}" uniqueName="10" name="Periodo 8" queryTableFieldId="10"/>
    <tableColumn id="11" xr3:uid="{AD1F2B8D-3A14-484E-8C4A-85F44D7C6586}" uniqueName="11" name="Periodo 9" queryTableFieldId="11"/>
    <tableColumn id="12" xr3:uid="{7F14F0E1-B5EE-4E76-A9A9-A8906E56FECF}" uniqueName="12" name="Periodo 10" queryTableFieldId="12"/>
    <tableColumn id="13" xr3:uid="{46C32088-8BFD-4481-BA1A-19EF7B2CB6F9}" uniqueName="13" name="Periodo 11" queryTableFieldId="13"/>
    <tableColumn id="14" xr3:uid="{CB319FB2-29FA-4772-B601-B8AC17B4B134}" uniqueName="14" name="Periodo 12" queryTableFieldId="14"/>
    <tableColumn id="15" xr3:uid="{A1811975-BE44-4F02-AFA2-AFFA3ED1F3B3}" uniqueName="15" name="Periodo 13" queryTableFieldId="15"/>
    <tableColumn id="16" xr3:uid="{820262A2-5C20-490F-B8F0-F630BB4D093E}" uniqueName="16" name="Periodo 14" queryTableFieldId="16"/>
    <tableColumn id="17" xr3:uid="{3926A82A-2BF6-4373-98F0-7901F4C12A8B}" uniqueName="17" name="Periodo 15" queryTableFieldId="17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3CFAA8-33FD-4AD1-BA78-F1AF9B02522C}" name="CB_SMI_Mixto_MUY_BAJA__2" displayName="CB_SMI_Mixto_MUY_BAJA__2" ref="A1:Q26" tableType="queryTable" totalsRowShown="0">
  <autoFilter ref="A1:Q26" xr:uid="{7F3CFAA8-33FD-4AD1-BA78-F1AF9B02522C}"/>
  <tableColumns count="17">
    <tableColumn id="1" xr3:uid="{3D533CEC-4566-402D-9C86-CA3BFC51698D}" uniqueName="1" name="Concepto" queryTableFieldId="1" dataDxfId="49"/>
    <tableColumn id="2" xr3:uid="{22C0CEA4-ACE0-4FB0-A0E8-C1B0A3A8E1CD}" uniqueName="2" name="Periodo 0" queryTableFieldId="2"/>
    <tableColumn id="3" xr3:uid="{79D4562F-108F-4810-BD91-2D744BC464B4}" uniqueName="3" name="Periodo 1" queryTableFieldId="3"/>
    <tableColumn id="4" xr3:uid="{0049BF64-0595-4E26-AC4E-2F95DF8300A4}" uniqueName="4" name="Periodo 2" queryTableFieldId="4"/>
    <tableColumn id="5" xr3:uid="{06544D34-C270-4943-A250-B88971061DE3}" uniqueName="5" name="Periodo 3" queryTableFieldId="5"/>
    <tableColumn id="6" xr3:uid="{07DDDB48-3391-4F57-B977-24A51AAD7F93}" uniqueName="6" name="Periodo 4" queryTableFieldId="6"/>
    <tableColumn id="7" xr3:uid="{FF86E68D-6A85-4B25-AB4C-1A935A14899D}" uniqueName="7" name="Periodo 5" queryTableFieldId="7"/>
    <tableColumn id="8" xr3:uid="{729836B7-2DFA-4E20-B3B7-2B74F1D16298}" uniqueName="8" name="Periodo 6" queryTableFieldId="8"/>
    <tableColumn id="9" xr3:uid="{A5599F34-A049-45CF-91BA-FE71F6E4B7A5}" uniqueName="9" name="Periodo 7" queryTableFieldId="9"/>
    <tableColumn id="10" xr3:uid="{589D0F39-B2B3-48DD-A1B3-EC592D1FF003}" uniqueName="10" name="Periodo 8" queryTableFieldId="10"/>
    <tableColumn id="11" xr3:uid="{3723CB8A-0F4D-4538-9AE7-F77A029D758A}" uniqueName="11" name="Periodo 9" queryTableFieldId="11"/>
    <tableColumn id="12" xr3:uid="{CF66FA35-B37B-41C5-9AFA-C393DA4C8711}" uniqueName="12" name="Periodo 10" queryTableFieldId="12"/>
    <tableColumn id="13" xr3:uid="{B55D9C9D-A8FD-4074-9A8E-BD47232CE312}" uniqueName="13" name="Periodo 11" queryTableFieldId="13"/>
    <tableColumn id="14" xr3:uid="{AB14F5CF-6FC1-45A3-9989-F70B44C5E7F4}" uniqueName="14" name="Periodo 12" queryTableFieldId="14"/>
    <tableColumn id="15" xr3:uid="{BAC901DF-1C4C-40FD-B4BE-C06324EE327B}" uniqueName="15" name="Periodo 13" queryTableFieldId="15"/>
    <tableColumn id="16" xr3:uid="{E43901AB-0F45-41BE-8168-032E5A8EC96B}" uniqueName="16" name="Periodo 14" queryTableFieldId="16"/>
    <tableColumn id="17" xr3:uid="{882375B6-8ACB-4502-8463-D1CA2C866594}" uniqueName="17" name="Periodo 15" queryTableFieldId="17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2D2C18B-8E7C-4A28-B75F-0931E534F220}" name="CB_SMI_Mixto_EXT_BAJA__2" displayName="CB_SMI_Mixto_EXT_BAJA__2" ref="A1:Q26" tableType="queryTable" totalsRowShown="0">
  <autoFilter ref="A1:Q26" xr:uid="{72D2C18B-8E7C-4A28-B75F-0931E534F220}"/>
  <tableColumns count="17">
    <tableColumn id="1" xr3:uid="{EC1CD6F4-56F8-46E3-A16C-C3CCA1847BF9}" uniqueName="1" name="Concepto" queryTableFieldId="1" dataDxfId="48"/>
    <tableColumn id="2" xr3:uid="{1AECB01D-0CB2-486A-8D20-155AD6D65BDA}" uniqueName="2" name="Periodo 0" queryTableFieldId="2"/>
    <tableColumn id="3" xr3:uid="{18FC0EF2-9ADE-4D06-83D6-FA5E290F7FFF}" uniqueName="3" name="Periodo 1" queryTableFieldId="3"/>
    <tableColumn id="4" xr3:uid="{36D09D91-D278-4F42-99A1-A5A38CA375BF}" uniqueName="4" name="Periodo 2" queryTableFieldId="4"/>
    <tableColumn id="5" xr3:uid="{E957062B-0F6F-42BD-821A-F7812C8A4FDB}" uniqueName="5" name="Periodo 3" queryTableFieldId="5"/>
    <tableColumn id="6" xr3:uid="{7BADCC6A-8D6F-4ED4-BB35-6FAB52470816}" uniqueName="6" name="Periodo 4" queryTableFieldId="6"/>
    <tableColumn id="7" xr3:uid="{409BCA8A-42D3-46B5-A60C-3A667BEBD3E9}" uniqueName="7" name="Periodo 5" queryTableFieldId="7"/>
    <tableColumn id="8" xr3:uid="{E8D781CC-99F0-4587-9023-CB6E07D159D5}" uniqueName="8" name="Periodo 6" queryTableFieldId="8"/>
    <tableColumn id="9" xr3:uid="{56055E91-A4CD-420B-9C90-DD35DC533C14}" uniqueName="9" name="Periodo 7" queryTableFieldId="9"/>
    <tableColumn id="10" xr3:uid="{D6080354-4753-4457-8C4C-83E20279241B}" uniqueName="10" name="Periodo 8" queryTableFieldId="10"/>
    <tableColumn id="11" xr3:uid="{7CE2213E-58C7-4C15-B63C-96C7BD51D82B}" uniqueName="11" name="Periodo 9" queryTableFieldId="11"/>
    <tableColumn id="12" xr3:uid="{2AC548B3-BE08-44CA-B17A-B1038D78B7BD}" uniqueName="12" name="Periodo 10" queryTableFieldId="12"/>
    <tableColumn id="13" xr3:uid="{BBA7802C-8B26-4F2F-8BFD-0C21C126F15A}" uniqueName="13" name="Periodo 11" queryTableFieldId="13"/>
    <tableColumn id="14" xr3:uid="{E18AB39F-6654-48DC-9E97-6196D98E3EE2}" uniqueName="14" name="Periodo 12" queryTableFieldId="14"/>
    <tableColumn id="15" xr3:uid="{54CC5B68-70BA-4902-904A-EC79A429D23A}" uniqueName="15" name="Periodo 13" queryTableFieldId="15"/>
    <tableColumn id="16" xr3:uid="{3F7C07F5-580A-47D4-B34B-051828F003EA}" uniqueName="16" name="Periodo 14" queryTableFieldId="16"/>
    <tableColumn id="17" xr3:uid="{3D3A9646-BBB7-463B-94C3-85874625D8CA}" uniqueName="17" name="Periodo 15" queryTableFieldId="1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9367-59C2-4303-9B74-3CC9CEDA46C6}">
  <dimension ref="B2:S23"/>
  <sheetViews>
    <sheetView workbookViewId="0">
      <selection activeCell="E27" sqref="E27"/>
    </sheetView>
  </sheetViews>
  <sheetFormatPr baseColWidth="10" defaultRowHeight="14.4" x14ac:dyDescent="0.3"/>
  <cols>
    <col min="17" max="17" width="12.6640625" bestFit="1" customWidth="1"/>
  </cols>
  <sheetData>
    <row r="2" spans="2:19" ht="23.4" x14ac:dyDescent="0.45">
      <c r="B2" s="110" t="s">
        <v>0</v>
      </c>
      <c r="C2" s="110"/>
      <c r="D2" s="110"/>
      <c r="E2" s="110"/>
    </row>
    <row r="4" spans="2:19" ht="15.6" x14ac:dyDescent="0.3">
      <c r="B4" s="111" t="s">
        <v>1</v>
      </c>
      <c r="C4" s="111"/>
      <c r="D4" s="111"/>
      <c r="E4" s="111"/>
      <c r="F4" s="2"/>
      <c r="G4" s="2"/>
      <c r="K4" s="111" t="s">
        <v>10</v>
      </c>
      <c r="L4" s="111"/>
      <c r="M4" s="111"/>
      <c r="N4" s="111"/>
      <c r="O4" s="111"/>
    </row>
    <row r="5" spans="2:19" x14ac:dyDescent="0.3">
      <c r="B5" s="112" t="s">
        <v>3</v>
      </c>
      <c r="C5" s="112"/>
      <c r="D5" s="112"/>
      <c r="E5" s="112"/>
      <c r="F5" s="112"/>
      <c r="G5" s="112"/>
      <c r="K5" s="113" t="s">
        <v>11</v>
      </c>
      <c r="L5" s="113"/>
      <c r="Q5" s="1" t="s">
        <v>28</v>
      </c>
      <c r="R5" s="1" t="s">
        <v>7</v>
      </c>
      <c r="S5" s="1" t="s">
        <v>39</v>
      </c>
    </row>
    <row r="6" spans="2:19" x14ac:dyDescent="0.3">
      <c r="B6" s="112" t="s">
        <v>2</v>
      </c>
      <c r="C6" s="112"/>
      <c r="D6" s="112"/>
      <c r="E6" s="112"/>
      <c r="F6" s="112"/>
      <c r="G6" s="112"/>
      <c r="K6" s="103" t="s">
        <v>12</v>
      </c>
      <c r="L6" s="103"/>
      <c r="M6" s="103"/>
      <c r="N6" s="103"/>
      <c r="O6" s="103"/>
      <c r="P6" s="103"/>
      <c r="Q6" s="1" t="s">
        <v>29</v>
      </c>
    </row>
    <row r="7" spans="2:19" x14ac:dyDescent="0.3">
      <c r="B7" s="112" t="s">
        <v>4</v>
      </c>
      <c r="C7" s="112"/>
      <c r="D7" s="112"/>
      <c r="E7" s="112"/>
      <c r="F7" s="112"/>
      <c r="G7" s="112"/>
      <c r="K7" s="103" t="s">
        <v>13</v>
      </c>
      <c r="L7" s="103"/>
      <c r="M7" s="103"/>
      <c r="N7" s="103"/>
      <c r="O7" s="103"/>
      <c r="P7" s="103"/>
      <c r="Q7" s="1" t="s">
        <v>29</v>
      </c>
    </row>
    <row r="8" spans="2:19" x14ac:dyDescent="0.3">
      <c r="B8" s="112" t="s">
        <v>5</v>
      </c>
      <c r="C8" s="112"/>
      <c r="D8" s="112"/>
      <c r="E8" s="112"/>
      <c r="F8" s="112"/>
      <c r="G8" s="112"/>
      <c r="K8" s="103" t="s">
        <v>14</v>
      </c>
      <c r="L8" s="103"/>
      <c r="M8" s="103"/>
      <c r="N8" s="103"/>
      <c r="O8" s="103"/>
      <c r="P8" s="103"/>
      <c r="Q8" s="1" t="s">
        <v>29</v>
      </c>
    </row>
    <row r="9" spans="2:19" x14ac:dyDescent="0.3">
      <c r="K9" s="103" t="s">
        <v>15</v>
      </c>
      <c r="L9" s="103"/>
      <c r="M9" s="103"/>
      <c r="N9" s="103"/>
      <c r="O9" s="103"/>
      <c r="P9" s="103"/>
      <c r="Q9" s="1" t="s">
        <v>29</v>
      </c>
    </row>
    <row r="10" spans="2:19" x14ac:dyDescent="0.3">
      <c r="K10" s="103" t="s">
        <v>16</v>
      </c>
      <c r="L10" s="103"/>
      <c r="M10" s="103"/>
      <c r="N10" s="103"/>
      <c r="O10" s="103"/>
      <c r="P10" s="103"/>
      <c r="Q10" s="1" t="s">
        <v>30</v>
      </c>
    </row>
    <row r="11" spans="2:19" x14ac:dyDescent="0.3">
      <c r="B11" s="112" t="s">
        <v>8</v>
      </c>
      <c r="C11" s="112"/>
      <c r="D11" s="112"/>
      <c r="E11" s="112"/>
      <c r="K11" s="103" t="s">
        <v>31</v>
      </c>
      <c r="L11" s="103"/>
      <c r="M11" s="103"/>
      <c r="N11" s="103"/>
      <c r="O11" s="103"/>
      <c r="P11" s="103"/>
      <c r="Q11" s="1" t="s">
        <v>32</v>
      </c>
    </row>
    <row r="12" spans="2:19" x14ac:dyDescent="0.3">
      <c r="B12" s="113" t="s">
        <v>6</v>
      </c>
      <c r="C12" s="113"/>
      <c r="H12" s="1" t="s">
        <v>7</v>
      </c>
      <c r="K12" s="103" t="s">
        <v>17</v>
      </c>
      <c r="L12" s="103"/>
      <c r="M12" s="103"/>
      <c r="N12" s="103"/>
      <c r="O12" s="103"/>
      <c r="P12" s="103"/>
      <c r="Q12" s="1" t="s">
        <v>29</v>
      </c>
    </row>
    <row r="13" spans="2:19" x14ac:dyDescent="0.3">
      <c r="B13" s="112" t="s">
        <v>3</v>
      </c>
      <c r="C13" s="112"/>
      <c r="D13" s="112"/>
      <c r="E13" s="112"/>
      <c r="F13" s="112"/>
      <c r="G13" s="112"/>
      <c r="H13" s="3">
        <v>0</v>
      </c>
      <c r="K13" s="103" t="s">
        <v>34</v>
      </c>
      <c r="L13" s="103"/>
      <c r="M13" s="103"/>
      <c r="N13" s="103"/>
      <c r="O13" s="103"/>
      <c r="P13" s="103"/>
      <c r="Q13" s="1" t="s">
        <v>33</v>
      </c>
    </row>
    <row r="14" spans="2:19" x14ac:dyDescent="0.3">
      <c r="B14" s="112" t="s">
        <v>2</v>
      </c>
      <c r="C14" s="112"/>
      <c r="D14" s="112"/>
      <c r="E14" s="112"/>
      <c r="F14" s="112"/>
      <c r="G14" s="112"/>
      <c r="H14" s="1">
        <v>2030</v>
      </c>
      <c r="K14" s="103" t="s">
        <v>18</v>
      </c>
      <c r="L14" s="103"/>
      <c r="M14" s="103"/>
      <c r="N14" s="103"/>
      <c r="O14" s="103"/>
      <c r="P14" s="103"/>
      <c r="Q14" s="1" t="s">
        <v>30</v>
      </c>
    </row>
    <row r="15" spans="2:19" x14ac:dyDescent="0.3">
      <c r="B15" s="112" t="s">
        <v>4</v>
      </c>
      <c r="C15" s="112"/>
      <c r="D15" s="112"/>
      <c r="E15" s="112"/>
      <c r="F15" s="112"/>
      <c r="G15" s="112"/>
      <c r="H15" s="1">
        <v>0</v>
      </c>
      <c r="K15" s="103" t="s">
        <v>19</v>
      </c>
      <c r="L15" s="103"/>
      <c r="M15" s="103"/>
      <c r="N15" s="103"/>
      <c r="O15" s="103"/>
      <c r="P15" s="103"/>
      <c r="Q15" s="1" t="s">
        <v>33</v>
      </c>
    </row>
    <row r="16" spans="2:19" x14ac:dyDescent="0.3">
      <c r="K16" s="103" t="s">
        <v>20</v>
      </c>
      <c r="L16" s="103"/>
      <c r="M16" s="103"/>
      <c r="N16" s="103"/>
      <c r="O16" s="103"/>
      <c r="P16" s="103"/>
      <c r="Q16" s="1" t="s">
        <v>35</v>
      </c>
    </row>
    <row r="17" spans="2:17" x14ac:dyDescent="0.3">
      <c r="K17" s="103" t="s">
        <v>21</v>
      </c>
      <c r="L17" s="103"/>
      <c r="M17" s="103"/>
      <c r="N17" s="103"/>
      <c r="O17" s="103"/>
      <c r="P17" s="103"/>
      <c r="Q17" s="1" t="s">
        <v>36</v>
      </c>
    </row>
    <row r="18" spans="2:17" x14ac:dyDescent="0.3">
      <c r="B18" t="s">
        <v>9</v>
      </c>
      <c r="K18" s="103" t="s">
        <v>22</v>
      </c>
      <c r="L18" s="103"/>
      <c r="M18" s="103"/>
      <c r="N18" s="103"/>
      <c r="O18" s="103"/>
      <c r="P18" s="103"/>
      <c r="Q18" s="1" t="s">
        <v>29</v>
      </c>
    </row>
    <row r="19" spans="2:17" x14ac:dyDescent="0.3">
      <c r="B19" s="113" t="s">
        <v>6</v>
      </c>
      <c r="C19" s="113"/>
      <c r="H19" s="1" t="s">
        <v>7</v>
      </c>
      <c r="K19" s="103" t="s">
        <v>23</v>
      </c>
      <c r="L19" s="103"/>
      <c r="M19" s="103"/>
      <c r="N19" s="103"/>
      <c r="O19" s="103"/>
      <c r="P19" s="103"/>
      <c r="Q19" s="1" t="s">
        <v>29</v>
      </c>
    </row>
    <row r="20" spans="2:17" x14ac:dyDescent="0.3">
      <c r="B20" s="112" t="s">
        <v>3</v>
      </c>
      <c r="C20" s="112"/>
      <c r="D20" s="112"/>
      <c r="E20" s="112"/>
      <c r="F20" s="112"/>
      <c r="G20" s="112"/>
      <c r="H20" s="3">
        <v>0.8</v>
      </c>
      <c r="K20" s="103" t="s">
        <v>24</v>
      </c>
      <c r="L20" s="103"/>
      <c r="M20" s="103"/>
      <c r="N20" s="103"/>
      <c r="O20" s="103"/>
      <c r="P20" s="103"/>
      <c r="Q20" s="1" t="s">
        <v>29</v>
      </c>
    </row>
    <row r="21" spans="2:17" x14ac:dyDescent="0.3">
      <c r="B21" s="112" t="s">
        <v>2</v>
      </c>
      <c r="C21" s="112"/>
      <c r="D21" s="112"/>
      <c r="E21" s="112"/>
      <c r="F21" s="112"/>
      <c r="G21" s="112"/>
      <c r="H21" s="1">
        <v>2030</v>
      </c>
      <c r="K21" s="103" t="s">
        <v>25</v>
      </c>
      <c r="L21" s="103"/>
      <c r="M21" s="103"/>
      <c r="N21" s="103"/>
      <c r="O21" s="103"/>
      <c r="P21" s="103"/>
      <c r="Q21" s="1" t="s">
        <v>37</v>
      </c>
    </row>
    <row r="22" spans="2:17" x14ac:dyDescent="0.3">
      <c r="B22" s="112" t="s">
        <v>4</v>
      </c>
      <c r="C22" s="112"/>
      <c r="D22" s="112"/>
      <c r="E22" s="112"/>
      <c r="F22" s="112"/>
      <c r="G22" s="112"/>
      <c r="H22" s="1">
        <v>10</v>
      </c>
      <c r="K22" s="103" t="s">
        <v>27</v>
      </c>
      <c r="L22" s="103"/>
      <c r="M22" s="103"/>
      <c r="N22" s="103"/>
      <c r="O22" s="103"/>
      <c r="P22" s="103"/>
      <c r="Q22" s="1" t="s">
        <v>29</v>
      </c>
    </row>
    <row r="23" spans="2:17" x14ac:dyDescent="0.3">
      <c r="K23" s="103" t="s">
        <v>26</v>
      </c>
      <c r="L23" s="103"/>
      <c r="M23" s="103"/>
      <c r="N23" s="103"/>
      <c r="O23" s="103"/>
      <c r="P23" s="103"/>
      <c r="Q23" s="1" t="s">
        <v>38</v>
      </c>
    </row>
  </sheetData>
  <mergeCells count="35">
    <mergeCell ref="K23:P23"/>
    <mergeCell ref="K5:L5"/>
    <mergeCell ref="K15:P15"/>
    <mergeCell ref="K16:P16"/>
    <mergeCell ref="K17:P17"/>
    <mergeCell ref="K18:P18"/>
    <mergeCell ref="K19:P19"/>
    <mergeCell ref="K20:P20"/>
    <mergeCell ref="K9:P9"/>
    <mergeCell ref="K10:P10"/>
    <mergeCell ref="K11:P11"/>
    <mergeCell ref="K12:P12"/>
    <mergeCell ref="K13:P13"/>
    <mergeCell ref="K14:P14"/>
    <mergeCell ref="B22:G22"/>
    <mergeCell ref="B11:E11"/>
    <mergeCell ref="B12:C12"/>
    <mergeCell ref="B19:C19"/>
    <mergeCell ref="K4:O4"/>
    <mergeCell ref="K6:P6"/>
    <mergeCell ref="K7:P7"/>
    <mergeCell ref="K8:P8"/>
    <mergeCell ref="B13:G13"/>
    <mergeCell ref="B14:G14"/>
    <mergeCell ref="B15:G15"/>
    <mergeCell ref="B20:G20"/>
    <mergeCell ref="B21:G21"/>
    <mergeCell ref="B8:G8"/>
    <mergeCell ref="K21:P21"/>
    <mergeCell ref="K22:P22"/>
    <mergeCell ref="B2:E2"/>
    <mergeCell ref="B4:E4"/>
    <mergeCell ref="B5:G5"/>
    <mergeCell ref="B6:G6"/>
    <mergeCell ref="B7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955F-1F9A-4734-B264-568005669F8F}">
  <sheetPr>
    <tabColor rgb="FF58267E"/>
  </sheetPr>
  <dimension ref="A1:Q26"/>
  <sheetViews>
    <sheetView zoomScale="80" zoomScaleNormal="80" workbookViewId="0">
      <selection activeCell="F13" sqref="F13"/>
    </sheetView>
  </sheetViews>
  <sheetFormatPr baseColWidth="10" defaultRowHeight="14.4" x14ac:dyDescent="0.3"/>
  <cols>
    <col min="1" max="1" width="42.77734375" bestFit="1" customWidth="1"/>
    <col min="2" max="11" width="12" bestFit="1" customWidth="1"/>
    <col min="12" max="17" width="12.88671875" bestFit="1" customWidth="1"/>
  </cols>
  <sheetData>
    <row r="1" spans="1:17" x14ac:dyDescent="0.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</row>
    <row r="2" spans="1:17" x14ac:dyDescent="0.3">
      <c r="A2" t="s">
        <v>113</v>
      </c>
      <c r="B2">
        <v>34765766.042480066</v>
      </c>
      <c r="C2">
        <v>35815692.176962957</v>
      </c>
      <c r="D2">
        <v>36897326.080707237</v>
      </c>
      <c r="E2">
        <v>38011625.328344598</v>
      </c>
      <c r="F2">
        <v>39159576.413260609</v>
      </c>
      <c r="G2">
        <v>40342195.620941088</v>
      </c>
      <c r="H2">
        <v>41560529.928693503</v>
      </c>
      <c r="I2">
        <v>42815657.932540037</v>
      </c>
      <c r="J2">
        <v>44108690.802102759</v>
      </c>
      <c r="K2">
        <v>45440773.264326259</v>
      </c>
      <c r="L2">
        <v>46813084.616908908</v>
      </c>
      <c r="M2">
        <v>48226839.77233956</v>
      </c>
      <c r="N2">
        <v>49683290.333464213</v>
      </c>
      <c r="O2">
        <v>51183725.701534837</v>
      </c>
      <c r="P2">
        <v>52729474.217721187</v>
      </c>
      <c r="Q2">
        <v>54321904.339096367</v>
      </c>
    </row>
    <row r="3" spans="1:17" x14ac:dyDescent="0.3">
      <c r="A3" t="s">
        <v>102</v>
      </c>
      <c r="B3">
        <v>22317</v>
      </c>
      <c r="C3">
        <v>58</v>
      </c>
      <c r="D3">
        <v>58</v>
      </c>
      <c r="E3">
        <v>59</v>
      </c>
      <c r="F3">
        <v>59</v>
      </c>
      <c r="G3">
        <v>62</v>
      </c>
      <c r="H3">
        <v>62</v>
      </c>
      <c r="I3">
        <v>62</v>
      </c>
      <c r="J3">
        <v>62</v>
      </c>
      <c r="K3">
        <v>62</v>
      </c>
      <c r="L3">
        <v>62</v>
      </c>
      <c r="M3">
        <v>62</v>
      </c>
      <c r="N3">
        <v>62</v>
      </c>
      <c r="O3">
        <v>63</v>
      </c>
      <c r="P3">
        <v>64</v>
      </c>
      <c r="Q3">
        <v>64</v>
      </c>
    </row>
    <row r="4" spans="1:17" x14ac:dyDescent="0.3">
      <c r="A4" t="s">
        <v>103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">
      <c r="A5" t="s">
        <v>104</v>
      </c>
      <c r="B5">
        <v>215824</v>
      </c>
      <c r="C5">
        <v>734</v>
      </c>
      <c r="D5">
        <v>734</v>
      </c>
      <c r="E5">
        <v>739</v>
      </c>
      <c r="F5">
        <v>741</v>
      </c>
      <c r="G5">
        <v>750</v>
      </c>
      <c r="H5">
        <v>750</v>
      </c>
      <c r="I5">
        <v>755</v>
      </c>
      <c r="J5">
        <v>757</v>
      </c>
      <c r="K5">
        <v>757</v>
      </c>
      <c r="L5">
        <v>757</v>
      </c>
      <c r="M5">
        <v>762</v>
      </c>
      <c r="N5">
        <v>768</v>
      </c>
      <c r="O5">
        <v>774</v>
      </c>
      <c r="P5">
        <v>780</v>
      </c>
      <c r="Q5">
        <v>788</v>
      </c>
    </row>
    <row r="6" spans="1:17" x14ac:dyDescent="0.3">
      <c r="A6" t="s">
        <v>133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134</v>
      </c>
      <c r="B7">
        <v>181.40918455214069</v>
      </c>
      <c r="C7">
        <v>175.0807917301656</v>
      </c>
      <c r="D7">
        <v>175.0807917301656</v>
      </c>
      <c r="E7">
        <v>174.3066766160949</v>
      </c>
      <c r="F7">
        <v>174.3066766160949</v>
      </c>
      <c r="G7">
        <v>173.3394973725502</v>
      </c>
      <c r="H7">
        <v>173.3394973725502</v>
      </c>
      <c r="I7">
        <v>173.3394973725502</v>
      </c>
      <c r="J7">
        <v>173.3394973725502</v>
      </c>
      <c r="K7">
        <v>173.3394973725502</v>
      </c>
      <c r="L7">
        <v>173.3394973725502</v>
      </c>
      <c r="M7">
        <v>173.3394973725502</v>
      </c>
      <c r="N7">
        <v>173.3394973725502</v>
      </c>
      <c r="O7">
        <v>173.53148815629561</v>
      </c>
      <c r="P7">
        <v>173.71747922804889</v>
      </c>
      <c r="Q7">
        <v>173.71747922804889</v>
      </c>
    </row>
    <row r="8" spans="1:17" x14ac:dyDescent="0.3">
      <c r="A8" t="s">
        <v>135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">
      <c r="A9" t="s">
        <v>136</v>
      </c>
      <c r="B9">
        <v>789.11274916355273</v>
      </c>
      <c r="C9">
        <v>747.7034055783289</v>
      </c>
      <c r="D9">
        <v>747.7034055783289</v>
      </c>
      <c r="E9">
        <v>747.5839169299619</v>
      </c>
      <c r="F9">
        <v>747.67099655160428</v>
      </c>
      <c r="G9">
        <v>747.89109448263775</v>
      </c>
      <c r="H9">
        <v>747.89109448263775</v>
      </c>
      <c r="I9">
        <v>747.93780875791242</v>
      </c>
      <c r="J9">
        <v>747.85763489065243</v>
      </c>
      <c r="K9">
        <v>747.85763489065243</v>
      </c>
      <c r="L9">
        <v>747.85763489065243</v>
      </c>
      <c r="M9">
        <v>747.90413958329327</v>
      </c>
      <c r="N9">
        <v>747.99157035086398</v>
      </c>
      <c r="O9">
        <v>747.99721289368097</v>
      </c>
      <c r="P9">
        <v>747.9229546323154</v>
      </c>
      <c r="Q9">
        <v>747.77303356180596</v>
      </c>
    </row>
    <row r="10" spans="1:17" x14ac:dyDescent="0.3">
      <c r="A10" t="s">
        <v>137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">
      <c r="A11" t="s">
        <v>82</v>
      </c>
      <c r="B11">
        <v>4370125.4909999995</v>
      </c>
      <c r="C11">
        <v>14533.992</v>
      </c>
      <c r="D11">
        <v>14533.992</v>
      </c>
      <c r="E11">
        <v>14644.098</v>
      </c>
      <c r="F11">
        <v>14680.8</v>
      </c>
      <c r="G11">
        <v>14901.012000000001</v>
      </c>
      <c r="H11">
        <v>14901.012000000001</v>
      </c>
      <c r="I11">
        <v>14992.767</v>
      </c>
      <c r="J11">
        <v>15029.468999999999</v>
      </c>
      <c r="K11">
        <v>15029.468999999999</v>
      </c>
      <c r="L11">
        <v>15029.468999999999</v>
      </c>
      <c r="M11">
        <v>15121.224</v>
      </c>
      <c r="N11">
        <v>15231.33</v>
      </c>
      <c r="O11">
        <v>15359.787</v>
      </c>
      <c r="P11">
        <v>15488.244000000001</v>
      </c>
      <c r="Q11">
        <v>15635.052</v>
      </c>
    </row>
    <row r="12" spans="1:17" x14ac:dyDescent="0.3">
      <c r="A12" t="s">
        <v>141</v>
      </c>
      <c r="B12">
        <v>328383.90526315791</v>
      </c>
      <c r="C12">
        <v>1092.1263157894739</v>
      </c>
      <c r="D12">
        <v>1092.1263157894739</v>
      </c>
      <c r="E12">
        <v>1100.4000000000001</v>
      </c>
      <c r="F12">
        <v>1103.1578947368421</v>
      </c>
      <c r="G12">
        <v>1119.7052631578949</v>
      </c>
      <c r="H12">
        <v>1119.7052631578949</v>
      </c>
      <c r="I12">
        <v>1126.5999999999999</v>
      </c>
      <c r="J12">
        <v>1129.3578947368419</v>
      </c>
      <c r="K12">
        <v>1129.3578947368419</v>
      </c>
      <c r="L12">
        <v>1129.3578947368419</v>
      </c>
      <c r="M12">
        <v>1136.2526315789471</v>
      </c>
      <c r="N12">
        <v>1144.526315789474</v>
      </c>
      <c r="O12">
        <v>1154.1789473684209</v>
      </c>
      <c r="P12">
        <v>1163.8315789473691</v>
      </c>
      <c r="Q12">
        <v>1174.863157894737</v>
      </c>
    </row>
    <row r="13" spans="1:17" x14ac:dyDescent="0.3">
      <c r="A13" t="s">
        <v>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">
      <c r="A14" t="s">
        <v>84</v>
      </c>
      <c r="B14">
        <v>4003437.7585056708</v>
      </c>
      <c r="C14">
        <v>4003437.7585056708</v>
      </c>
      <c r="D14">
        <v>4003437.7585056708</v>
      </c>
      <c r="E14">
        <v>4003437.7585056708</v>
      </c>
      <c r="F14">
        <v>4003437.7585056708</v>
      </c>
      <c r="G14">
        <v>4003437.7585056708</v>
      </c>
      <c r="H14">
        <v>4003437.7585056708</v>
      </c>
      <c r="I14">
        <v>4003437.7585056708</v>
      </c>
      <c r="J14">
        <v>4003437.7585056708</v>
      </c>
      <c r="K14">
        <v>4003437.7585056708</v>
      </c>
      <c r="L14">
        <v>4003437.7585056708</v>
      </c>
      <c r="M14">
        <v>4003437.7585056708</v>
      </c>
      <c r="N14">
        <v>4003437.7585056708</v>
      </c>
      <c r="O14">
        <v>4003437.7585056708</v>
      </c>
      <c r="P14">
        <v>4003437.7585056708</v>
      </c>
      <c r="Q14">
        <v>4003437.7585056708</v>
      </c>
    </row>
    <row r="15" spans="1:17" x14ac:dyDescent="0.3">
      <c r="A15" t="s">
        <v>85</v>
      </c>
      <c r="B15">
        <v>1901632.9352901941</v>
      </c>
      <c r="C15">
        <v>1907957.3115410281</v>
      </c>
      <c r="D15">
        <v>1914281.6877918621</v>
      </c>
      <c r="E15">
        <v>1920653.9759839899</v>
      </c>
      <c r="F15">
        <v>1927042.234823216</v>
      </c>
      <c r="G15">
        <v>1933526.31754503</v>
      </c>
      <c r="H15">
        <v>1940010.400266845</v>
      </c>
      <c r="I15">
        <v>1946534.4096064051</v>
      </c>
      <c r="J15">
        <v>1953074.389593062</v>
      </c>
      <c r="K15">
        <v>1959614.3695797201</v>
      </c>
      <c r="L15">
        <v>1966154.3495663779</v>
      </c>
      <c r="M15">
        <v>1972734.2561707811</v>
      </c>
      <c r="N15">
        <v>1979362.0747164779</v>
      </c>
      <c r="O15">
        <v>1986045.790527018</v>
      </c>
      <c r="P15">
        <v>1992785.403602402</v>
      </c>
      <c r="Q15">
        <v>1999588.899266178</v>
      </c>
    </row>
    <row r="16" spans="1:17" x14ac:dyDescent="0.3">
      <c r="A16" t="s">
        <v>142</v>
      </c>
      <c r="B16">
        <v>269895.22228947358</v>
      </c>
      <c r="C16">
        <v>270792.82923684211</v>
      </c>
      <c r="D16">
        <v>271690.43618421053</v>
      </c>
      <c r="E16">
        <v>272594.84318421048</v>
      </c>
      <c r="F16">
        <v>273501.51686842111</v>
      </c>
      <c r="G16">
        <v>274421.79065789469</v>
      </c>
      <c r="H16">
        <v>275342.06444736838</v>
      </c>
      <c r="I16">
        <v>276268.0049473684</v>
      </c>
      <c r="J16">
        <v>277196.21213157888</v>
      </c>
      <c r="K16">
        <v>278124.41931578948</v>
      </c>
      <c r="L16">
        <v>279052.62650000001</v>
      </c>
      <c r="M16">
        <v>279986.50039473682</v>
      </c>
      <c r="N16">
        <v>280927.17434210522</v>
      </c>
      <c r="O16">
        <v>281875.78168421052</v>
      </c>
      <c r="P16">
        <v>282832.32242105261</v>
      </c>
      <c r="Q16">
        <v>283797.92989473691</v>
      </c>
    </row>
    <row r="17" spans="1:17" x14ac:dyDescent="0.3">
      <c r="A17" t="s">
        <v>86</v>
      </c>
      <c r="B17">
        <v>295771.12200000009</v>
      </c>
      <c r="C17">
        <v>296754.78600000008</v>
      </c>
      <c r="D17">
        <v>297738.45000000013</v>
      </c>
      <c r="E17">
        <v>298729.56599999999</v>
      </c>
      <c r="F17">
        <v>299723.16600000008</v>
      </c>
      <c r="G17">
        <v>300731.67</v>
      </c>
      <c r="H17">
        <v>301740.17400000012</v>
      </c>
      <c r="I17">
        <v>302754.88799999998</v>
      </c>
      <c r="J17">
        <v>303772.08600000001</v>
      </c>
      <c r="K17">
        <v>304789.28399999999</v>
      </c>
      <c r="L17">
        <v>305806.48200000008</v>
      </c>
      <c r="M17">
        <v>306829.89</v>
      </c>
      <c r="N17">
        <v>307860.75000000012</v>
      </c>
      <c r="O17">
        <v>308900.304</v>
      </c>
      <c r="P17">
        <v>309948.55200000003</v>
      </c>
      <c r="Q17">
        <v>311006.73599999998</v>
      </c>
    </row>
    <row r="18" spans="1:17" x14ac:dyDescent="0.3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">
      <c r="A20" t="s">
        <v>89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t="s">
        <v>90</v>
      </c>
      <c r="B21">
        <v>2140632.757288021</v>
      </c>
      <c r="C21">
        <v>2140632.757288021</v>
      </c>
      <c r="D21">
        <v>2140632.757288021</v>
      </c>
      <c r="E21">
        <v>2140632.757288021</v>
      </c>
      <c r="F21">
        <v>2140632.757288021</v>
      </c>
      <c r="G21">
        <v>2140632.757288021</v>
      </c>
      <c r="H21">
        <v>2140632.757288021</v>
      </c>
      <c r="I21">
        <v>2140632.757288021</v>
      </c>
      <c r="J21">
        <v>2140632.757288021</v>
      </c>
      <c r="K21">
        <v>2140632.757288021</v>
      </c>
      <c r="L21">
        <v>2140632.757288021</v>
      </c>
      <c r="M21">
        <v>2140632.757288021</v>
      </c>
      <c r="N21">
        <v>2140632.757288021</v>
      </c>
      <c r="O21">
        <v>2140632.757288021</v>
      </c>
      <c r="P21">
        <v>2140632.757288021</v>
      </c>
      <c r="Q21">
        <v>2140632.757288021</v>
      </c>
    </row>
    <row r="22" spans="1:17" x14ac:dyDescent="0.3">
      <c r="A22" t="s">
        <v>139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91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">
      <c r="A24" t="s">
        <v>92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">
      <c r="A25" t="s">
        <v>93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">
      <c r="A26" t="s">
        <v>94</v>
      </c>
      <c r="B26">
        <v>14938964.625</v>
      </c>
      <c r="C26">
        <v>14949967.425000001</v>
      </c>
      <c r="D26">
        <v>14961276.375</v>
      </c>
      <c r="E26">
        <v>15126163.725</v>
      </c>
      <c r="F26">
        <v>15161638.425000001</v>
      </c>
      <c r="G26">
        <v>15184728.375</v>
      </c>
      <c r="H26">
        <v>15201352.5</v>
      </c>
      <c r="I26">
        <v>15217575.975</v>
      </c>
      <c r="J26">
        <v>15343356.975</v>
      </c>
      <c r="K26">
        <v>15375860.550000001</v>
      </c>
      <c r="L26">
        <v>15401599.574999999</v>
      </c>
      <c r="M26">
        <v>15427400.775</v>
      </c>
      <c r="N26">
        <v>15457995.6</v>
      </c>
      <c r="O26">
        <v>15503510.175000001</v>
      </c>
      <c r="P26">
        <v>15549158.775</v>
      </c>
      <c r="Q26">
        <v>15594941.699999999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95955-6A86-4C2F-B370-4F14B1D3A643}">
  <sheetPr>
    <tabColor rgb="FF58267E"/>
  </sheetPr>
  <dimension ref="B2:Z79"/>
  <sheetViews>
    <sheetView topLeftCell="F26" zoomScale="80" zoomScaleNormal="80" workbookViewId="0">
      <selection activeCell="X58" sqref="X58"/>
    </sheetView>
  </sheetViews>
  <sheetFormatPr baseColWidth="10" defaultRowHeight="14.4" x14ac:dyDescent="0.3"/>
  <cols>
    <col min="1" max="1" width="5.33203125" customWidth="1"/>
    <col min="2" max="2" width="17.33203125" customWidth="1"/>
    <col min="3" max="3" width="14" bestFit="1" customWidth="1"/>
    <col min="4" max="4" width="12.5546875" bestFit="1" customWidth="1"/>
    <col min="5" max="5" width="18.109375" customWidth="1"/>
    <col min="6" max="6" width="12.6640625" bestFit="1" customWidth="1"/>
    <col min="7" max="11" width="12" bestFit="1" customWidth="1"/>
    <col min="12" max="21" width="12.5546875" bestFit="1" customWidth="1"/>
    <col min="24" max="24" width="14.5546875" bestFit="1" customWidth="1"/>
  </cols>
  <sheetData>
    <row r="2" spans="2:21" ht="18.600000000000001" thickBot="1" x14ac:dyDescent="0.4">
      <c r="B2" s="81" t="s">
        <v>50</v>
      </c>
      <c r="C2" s="81"/>
      <c r="D2" s="81"/>
      <c r="E2" s="81"/>
      <c r="G2" s="81" t="s">
        <v>41</v>
      </c>
      <c r="H2" s="81"/>
      <c r="I2" s="81"/>
      <c r="J2" s="81"/>
      <c r="K2" s="81"/>
      <c r="M2" s="28"/>
      <c r="N2" s="28"/>
      <c r="O2" s="28"/>
      <c r="P2" s="28"/>
      <c r="Q2" s="28"/>
    </row>
    <row r="3" spans="2:21" ht="15" customHeight="1" x14ac:dyDescent="0.35">
      <c r="G3" s="5"/>
      <c r="H3" s="5"/>
      <c r="I3" s="5"/>
      <c r="J3" s="5"/>
    </row>
    <row r="4" spans="2:21" x14ac:dyDescent="0.3">
      <c r="B4" s="80" t="s">
        <v>51</v>
      </c>
      <c r="C4" s="80"/>
      <c r="D4" s="80" t="s">
        <v>40</v>
      </c>
      <c r="E4" s="80"/>
      <c r="G4" s="80" t="s">
        <v>17</v>
      </c>
      <c r="H4" s="80"/>
      <c r="I4" s="80"/>
      <c r="J4" s="18">
        <v>0.06</v>
      </c>
      <c r="K4" s="16" t="s">
        <v>29</v>
      </c>
      <c r="L4" s="68"/>
      <c r="M4" s="68"/>
      <c r="N4" s="68"/>
      <c r="O4" s="68"/>
      <c r="P4" s="68"/>
      <c r="R4" s="26" t="s">
        <v>42</v>
      </c>
      <c r="S4" s="27">
        <v>959.36</v>
      </c>
      <c r="T4" s="20" t="s">
        <v>44</v>
      </c>
      <c r="U4" s="29">
        <v>45946</v>
      </c>
    </row>
    <row r="5" spans="2:21" x14ac:dyDescent="0.3">
      <c r="B5" s="68" t="s">
        <v>52</v>
      </c>
      <c r="C5" s="68"/>
      <c r="D5" s="68" t="s">
        <v>147</v>
      </c>
      <c r="E5" s="68"/>
      <c r="G5" s="80" t="s">
        <v>46</v>
      </c>
      <c r="H5" s="80"/>
      <c r="I5" s="80"/>
      <c r="J5" s="19">
        <v>15</v>
      </c>
      <c r="K5" s="20" t="s">
        <v>47</v>
      </c>
      <c r="L5" s="43"/>
      <c r="M5" s="43"/>
      <c r="N5" s="43"/>
      <c r="O5" s="43"/>
      <c r="P5" s="43"/>
      <c r="R5" s="26" t="s">
        <v>43</v>
      </c>
      <c r="S5" s="27">
        <v>39521.26</v>
      </c>
      <c r="T5" s="20" t="s">
        <v>45</v>
      </c>
      <c r="U5" s="29">
        <v>45946</v>
      </c>
    </row>
    <row r="6" spans="2:21" x14ac:dyDescent="0.3">
      <c r="B6" s="68" t="s">
        <v>53</v>
      </c>
      <c r="C6" s="68"/>
      <c r="D6" s="68" t="s">
        <v>147</v>
      </c>
      <c r="E6" s="68"/>
      <c r="G6" s="86" t="s">
        <v>106</v>
      </c>
      <c r="H6" s="86"/>
      <c r="I6" s="86"/>
      <c r="J6" s="20">
        <v>3</v>
      </c>
      <c r="K6" s="20" t="s">
        <v>47</v>
      </c>
      <c r="L6" s="43"/>
      <c r="M6" s="43"/>
      <c r="N6" s="43"/>
      <c r="O6" s="43"/>
      <c r="P6" s="43"/>
    </row>
    <row r="7" spans="2:21" x14ac:dyDescent="0.3">
      <c r="B7" s="68" t="s">
        <v>54</v>
      </c>
      <c r="C7" s="68"/>
      <c r="D7" s="68" t="s">
        <v>147</v>
      </c>
      <c r="E7" s="68"/>
      <c r="G7" s="86" t="s">
        <v>128</v>
      </c>
      <c r="H7" s="86"/>
      <c r="I7" s="86"/>
      <c r="J7" s="21">
        <f>(SUMIF($F$12:$U$12,"&lt;="&amp;$J$6,$F$17:$U$17)) / ($J$6)</f>
        <v>7497.333333333333</v>
      </c>
      <c r="K7" s="20" t="s">
        <v>107</v>
      </c>
      <c r="L7" s="43" t="str">
        <f>"Razonable para chile en torno a 1M y 1,5M por año."</f>
        <v>Razonable para chile en torno a 1M y 1,5M por año.</v>
      </c>
      <c r="M7" s="43"/>
      <c r="N7" s="43"/>
      <c r="O7" s="43"/>
      <c r="P7" s="43"/>
    </row>
    <row r="8" spans="2:21" x14ac:dyDescent="0.3">
      <c r="B8" s="68" t="s">
        <v>55</v>
      </c>
      <c r="C8" s="68"/>
      <c r="D8" s="68" t="s">
        <v>147</v>
      </c>
      <c r="E8" s="68"/>
      <c r="G8" s="86" t="s">
        <v>129</v>
      </c>
      <c r="H8" s="86"/>
      <c r="I8" s="86"/>
      <c r="J8" s="21">
        <f>(SUMIF($F$12:$U$12,"&lt;="&amp;$J$6,$F$18:$U$18)) / ($J$6)</f>
        <v>0</v>
      </c>
      <c r="K8" s="20" t="s">
        <v>107</v>
      </c>
      <c r="L8" s="43" t="str">
        <f t="shared" ref="L8:L9" si="0">"Razonable para chile en torno a 1M y 1,5M por año."</f>
        <v>Razonable para chile en torno a 1M y 1,5M por año.</v>
      </c>
      <c r="M8" s="43"/>
      <c r="N8" s="43"/>
      <c r="O8" s="43"/>
      <c r="P8" s="43"/>
    </row>
    <row r="9" spans="2:21" x14ac:dyDescent="0.3">
      <c r="B9" s="68" t="s">
        <v>56</v>
      </c>
      <c r="C9" s="68"/>
      <c r="D9" s="68" t="s">
        <v>147</v>
      </c>
      <c r="E9" s="68"/>
      <c r="G9" s="86" t="s">
        <v>130</v>
      </c>
      <c r="H9" s="86"/>
      <c r="I9" s="86"/>
      <c r="J9" s="21">
        <f>(SUMIF($F$12:$U$12,"&lt;="&amp;$J$6,$F$19:$U$19)) / ($J$6)</f>
        <v>72677</v>
      </c>
      <c r="K9" s="20" t="s">
        <v>107</v>
      </c>
      <c r="L9" s="43" t="str">
        <f t="shared" si="0"/>
        <v>Razonable para chile en torno a 1M y 1,5M por año.</v>
      </c>
      <c r="M9" s="43"/>
      <c r="N9" s="43"/>
      <c r="O9" s="43"/>
      <c r="P9" s="43"/>
    </row>
    <row r="12" spans="2:21" x14ac:dyDescent="0.3">
      <c r="B12" s="83" t="s">
        <v>121</v>
      </c>
      <c r="C12" s="83"/>
      <c r="D12" s="83"/>
      <c r="E12" s="22" t="s">
        <v>48</v>
      </c>
      <c r="F12" s="24">
        <v>0</v>
      </c>
      <c r="G12" s="24">
        <v>1</v>
      </c>
      <c r="H12" s="24">
        <v>2</v>
      </c>
      <c r="I12" s="24">
        <v>3</v>
      </c>
      <c r="J12" s="24">
        <v>4</v>
      </c>
      <c r="K12" s="24">
        <v>5</v>
      </c>
      <c r="L12" s="24">
        <v>6</v>
      </c>
      <c r="M12" s="24">
        <v>7</v>
      </c>
      <c r="N12" s="24">
        <v>8</v>
      </c>
      <c r="O12" s="24">
        <v>9</v>
      </c>
      <c r="P12" s="24">
        <v>10</v>
      </c>
      <c r="Q12" s="24">
        <v>11</v>
      </c>
      <c r="R12" s="24">
        <v>12</v>
      </c>
      <c r="S12" s="24">
        <v>13</v>
      </c>
      <c r="T12" s="24">
        <v>14</v>
      </c>
      <c r="U12" s="24">
        <v>15</v>
      </c>
    </row>
    <row r="13" spans="2:21" x14ac:dyDescent="0.3">
      <c r="B13" s="84"/>
      <c r="C13" s="84"/>
      <c r="D13" s="84"/>
      <c r="E13" s="23" t="s">
        <v>49</v>
      </c>
      <c r="F13" s="25">
        <v>2025</v>
      </c>
      <c r="G13" s="25">
        <v>2026</v>
      </c>
      <c r="H13" s="25">
        <v>2027</v>
      </c>
      <c r="I13" s="25">
        <v>2028</v>
      </c>
      <c r="J13" s="25">
        <v>2029</v>
      </c>
      <c r="K13" s="25">
        <v>2030</v>
      </c>
      <c r="L13" s="25">
        <v>2031</v>
      </c>
      <c r="M13" s="25">
        <v>2032</v>
      </c>
      <c r="N13" s="25">
        <v>2033</v>
      </c>
      <c r="O13" s="25">
        <v>2034</v>
      </c>
      <c r="P13" s="25">
        <v>2035</v>
      </c>
      <c r="Q13" s="25">
        <v>2036</v>
      </c>
      <c r="R13" s="25">
        <v>2037</v>
      </c>
      <c r="S13" s="25">
        <v>2038</v>
      </c>
      <c r="T13" s="25">
        <v>2039</v>
      </c>
      <c r="U13" s="25">
        <v>2040</v>
      </c>
    </row>
    <row r="14" spans="2:21" x14ac:dyDescent="0.3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</row>
    <row r="15" spans="2:21" x14ac:dyDescent="0.3">
      <c r="B15" s="65" t="s">
        <v>122</v>
      </c>
      <c r="C15" s="69" t="s">
        <v>138</v>
      </c>
      <c r="D15" s="70"/>
      <c r="E15" s="70"/>
      <c r="F15" s="4">
        <f>CB_SMI_Mixto!B2/1000</f>
        <v>34765.766042480063</v>
      </c>
      <c r="G15" s="4">
        <f>CB_SMI_Mixto!C2/1000</f>
        <v>35815.692176962955</v>
      </c>
      <c r="H15" s="4">
        <f>CB_SMI_Mixto!D2/1000</f>
        <v>36897.326080707237</v>
      </c>
      <c r="I15" s="4">
        <f>CB_SMI_Mixto!E2/1000</f>
        <v>38011.625328344599</v>
      </c>
      <c r="J15" s="4">
        <f>CB_SMI_Mixto!F2/1000</f>
        <v>39159.576413260605</v>
      </c>
      <c r="K15" s="4">
        <f>CB_SMI_Mixto!G2/1000</f>
        <v>40342.195620941086</v>
      </c>
      <c r="L15" s="4">
        <f>CB_SMI_Mixto!H2/1000</f>
        <v>41560.529928693504</v>
      </c>
      <c r="M15" s="4">
        <f>CB_SMI_Mixto!I2/1000</f>
        <v>42815.657932540038</v>
      </c>
      <c r="N15" s="4">
        <f>CB_SMI_Mixto!J2/1000</f>
        <v>44108.690802102763</v>
      </c>
      <c r="O15" s="4">
        <f>CB_SMI_Mixto!K2/1000</f>
        <v>45440.773264326257</v>
      </c>
      <c r="P15" s="4">
        <f>CB_SMI_Mixto!L2/1000</f>
        <v>46813.084616908905</v>
      </c>
      <c r="Q15" s="4">
        <f>CB_SMI_Mixto!M2/1000</f>
        <v>48226.839772339561</v>
      </c>
      <c r="R15" s="4">
        <f>CB_SMI_Mixto!N2/1000</f>
        <v>49683.290333464211</v>
      </c>
      <c r="S15" s="4">
        <f>CB_SMI_Mixto!O2/1000</f>
        <v>51183.725701534837</v>
      </c>
      <c r="T15" s="4">
        <f>CB_SMI_Mixto!P2/1000</f>
        <v>52729.474217721188</v>
      </c>
      <c r="U15" s="4">
        <f>CB_SMI_Mixto!Q2/1000</f>
        <v>54321.904339096371</v>
      </c>
    </row>
    <row r="16" spans="2:21" x14ac:dyDescent="0.3">
      <c r="B16" s="66"/>
      <c r="C16" s="71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</row>
    <row r="17" spans="2:26" x14ac:dyDescent="0.3">
      <c r="B17" s="66"/>
      <c r="C17" s="61" t="s">
        <v>115</v>
      </c>
      <c r="D17" s="62"/>
      <c r="E17" s="62"/>
      <c r="F17" s="12">
        <f>CB_SMI_Mixto!B3</f>
        <v>22317</v>
      </c>
      <c r="G17" s="12">
        <f>CB_SMI_Mixto!C3</f>
        <v>58</v>
      </c>
      <c r="H17" s="12">
        <f>CB_SMI_Mixto!D3</f>
        <v>58</v>
      </c>
      <c r="I17" s="12">
        <f>CB_SMI_Mixto!E3</f>
        <v>59</v>
      </c>
      <c r="J17" s="12">
        <f>CB_SMI_Mixto!F3</f>
        <v>59</v>
      </c>
      <c r="K17" s="12">
        <f>CB_SMI_Mixto!G3</f>
        <v>62</v>
      </c>
      <c r="L17" s="12">
        <f>CB_SMI_Mixto!H3</f>
        <v>62</v>
      </c>
      <c r="M17" s="12">
        <f>CB_SMI_Mixto!I3</f>
        <v>62</v>
      </c>
      <c r="N17" s="12">
        <f>CB_SMI_Mixto!J3</f>
        <v>62</v>
      </c>
      <c r="O17" s="12">
        <f>CB_SMI_Mixto!K3</f>
        <v>62</v>
      </c>
      <c r="P17" s="12">
        <f>CB_SMI_Mixto!L3</f>
        <v>62</v>
      </c>
      <c r="Q17" s="12">
        <f>CB_SMI_Mixto!M3</f>
        <v>62</v>
      </c>
      <c r="R17" s="12">
        <f>CB_SMI_Mixto!N3</f>
        <v>62</v>
      </c>
      <c r="S17" s="12">
        <f>CB_SMI_Mixto!O3</f>
        <v>63</v>
      </c>
      <c r="T17" s="12">
        <f>CB_SMI_Mixto!P3</f>
        <v>64</v>
      </c>
      <c r="U17" s="12">
        <f>CB_SMI_Mixto!Q3</f>
        <v>64</v>
      </c>
    </row>
    <row r="18" spans="2:26" x14ac:dyDescent="0.3">
      <c r="B18" s="66"/>
      <c r="C18" s="61" t="s">
        <v>116</v>
      </c>
      <c r="D18" s="62"/>
      <c r="E18" s="62"/>
      <c r="F18" s="12">
        <f>CB_SMI_Mixto!B4</f>
        <v>0</v>
      </c>
      <c r="G18" s="12">
        <f>CB_SMI_Mixto!C4</f>
        <v>0</v>
      </c>
      <c r="H18" s="12">
        <f>CB_SMI_Mixto!D4</f>
        <v>0</v>
      </c>
      <c r="I18" s="12">
        <f>CB_SMI_Mixto!E4</f>
        <v>0</v>
      </c>
      <c r="J18" s="12">
        <f>CB_SMI_Mixto!F4</f>
        <v>0</v>
      </c>
      <c r="K18" s="12">
        <f>CB_SMI_Mixto!G4</f>
        <v>0</v>
      </c>
      <c r="L18" s="12">
        <f>CB_SMI_Mixto!H4</f>
        <v>0</v>
      </c>
      <c r="M18" s="12">
        <f>CB_SMI_Mixto!I4</f>
        <v>0</v>
      </c>
      <c r="N18" s="12">
        <f>CB_SMI_Mixto!J4</f>
        <v>0</v>
      </c>
      <c r="O18" s="12">
        <f>CB_SMI_Mixto!K4</f>
        <v>0</v>
      </c>
      <c r="P18" s="12">
        <f>CB_SMI_Mixto!L4</f>
        <v>0</v>
      </c>
      <c r="Q18" s="12">
        <f>CB_SMI_Mixto!M4</f>
        <v>0</v>
      </c>
      <c r="R18" s="12">
        <f>CB_SMI_Mixto!N4</f>
        <v>0</v>
      </c>
      <c r="S18" s="12">
        <f>CB_SMI_Mixto!O4</f>
        <v>0</v>
      </c>
      <c r="T18" s="12">
        <f>CB_SMI_Mixto!P4</f>
        <v>0</v>
      </c>
      <c r="U18" s="12">
        <f>CB_SMI_Mixto!Q4</f>
        <v>0</v>
      </c>
    </row>
    <row r="19" spans="2:26" x14ac:dyDescent="0.3">
      <c r="B19" s="67"/>
      <c r="C19" s="61" t="s">
        <v>117</v>
      </c>
      <c r="D19" s="62"/>
      <c r="E19" s="62"/>
      <c r="F19" s="13">
        <f>CB_SMI_Mixto!B5</f>
        <v>215824</v>
      </c>
      <c r="G19" s="13">
        <f>CB_SMI_Mixto!C5</f>
        <v>734</v>
      </c>
      <c r="H19" s="13">
        <f>CB_SMI_Mixto!D5</f>
        <v>734</v>
      </c>
      <c r="I19" s="13">
        <f>CB_SMI_Mixto!E5</f>
        <v>739</v>
      </c>
      <c r="J19" s="13">
        <f>CB_SMI_Mixto!F5</f>
        <v>741</v>
      </c>
      <c r="K19" s="13">
        <f>CB_SMI_Mixto!G5</f>
        <v>750</v>
      </c>
      <c r="L19" s="13">
        <f>CB_SMI_Mixto!H5</f>
        <v>750</v>
      </c>
      <c r="M19" s="13">
        <f>CB_SMI_Mixto!I5</f>
        <v>755</v>
      </c>
      <c r="N19" s="13">
        <f>CB_SMI_Mixto!J5</f>
        <v>757</v>
      </c>
      <c r="O19" s="13">
        <f>CB_SMI_Mixto!K5</f>
        <v>757</v>
      </c>
      <c r="P19" s="13">
        <f>CB_SMI_Mixto!L5</f>
        <v>757</v>
      </c>
      <c r="Q19" s="13">
        <f>CB_SMI_Mixto!M5</f>
        <v>762</v>
      </c>
      <c r="R19" s="13">
        <f>CB_SMI_Mixto!N5</f>
        <v>768</v>
      </c>
      <c r="S19" s="13">
        <f>CB_SMI_Mixto!O5</f>
        <v>774</v>
      </c>
      <c r="T19" s="13">
        <f>CB_SMI_Mixto!P5</f>
        <v>780</v>
      </c>
      <c r="U19" s="13">
        <f>CB_SMI_Mixto!Q5</f>
        <v>788</v>
      </c>
    </row>
    <row r="20" spans="2:26" x14ac:dyDescent="0.3">
      <c r="B20" s="10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</row>
    <row r="21" spans="2:26" x14ac:dyDescent="0.3">
      <c r="B21" s="58" t="s">
        <v>105</v>
      </c>
      <c r="C21" s="56" t="s">
        <v>125</v>
      </c>
      <c r="D21" s="57"/>
      <c r="E21" s="57"/>
      <c r="F21" s="9">
        <v>0</v>
      </c>
      <c r="G21" s="11">
        <f>IF(G$12&lt;=$J$6,$J7,G17)</f>
        <v>7497.333333333333</v>
      </c>
      <c r="H21" s="11">
        <f t="shared" ref="H21:U21" si="1">IF(H$12&lt;=$J$6,$J7,H17)</f>
        <v>7497.333333333333</v>
      </c>
      <c r="I21" s="11">
        <f t="shared" si="1"/>
        <v>7497.333333333333</v>
      </c>
      <c r="J21" s="11">
        <f t="shared" si="1"/>
        <v>59</v>
      </c>
      <c r="K21" s="11">
        <f t="shared" si="1"/>
        <v>62</v>
      </c>
      <c r="L21" s="11">
        <f t="shared" si="1"/>
        <v>62</v>
      </c>
      <c r="M21" s="11">
        <f t="shared" si="1"/>
        <v>62</v>
      </c>
      <c r="N21" s="11">
        <f t="shared" si="1"/>
        <v>62</v>
      </c>
      <c r="O21" s="11">
        <f t="shared" si="1"/>
        <v>62</v>
      </c>
      <c r="P21" s="11">
        <f t="shared" si="1"/>
        <v>62</v>
      </c>
      <c r="Q21" s="11">
        <f t="shared" si="1"/>
        <v>62</v>
      </c>
      <c r="R21" s="11">
        <f t="shared" si="1"/>
        <v>62</v>
      </c>
      <c r="S21" s="11">
        <f t="shared" si="1"/>
        <v>63</v>
      </c>
      <c r="T21" s="11">
        <f t="shared" si="1"/>
        <v>64</v>
      </c>
      <c r="U21" s="11">
        <f t="shared" si="1"/>
        <v>64</v>
      </c>
    </row>
    <row r="22" spans="2:26" x14ac:dyDescent="0.3">
      <c r="B22" s="59"/>
      <c r="C22" s="56" t="s">
        <v>126</v>
      </c>
      <c r="D22" s="57"/>
      <c r="E22" s="57"/>
      <c r="F22" s="9">
        <v>0</v>
      </c>
      <c r="G22" s="11">
        <f>IF(G$12&lt;=$J$6,$J8,G18)</f>
        <v>0</v>
      </c>
      <c r="H22" s="11">
        <f t="shared" ref="H22:U22" si="2">IF(H$12&lt;=$J$6,$J8,H18)</f>
        <v>0</v>
      </c>
      <c r="I22" s="11">
        <f t="shared" si="2"/>
        <v>0</v>
      </c>
      <c r="J22" s="11">
        <f t="shared" si="2"/>
        <v>0</v>
      </c>
      <c r="K22" s="11">
        <f t="shared" si="2"/>
        <v>0</v>
      </c>
      <c r="L22" s="11">
        <f t="shared" si="2"/>
        <v>0</v>
      </c>
      <c r="M22" s="11">
        <f t="shared" si="2"/>
        <v>0</v>
      </c>
      <c r="N22" s="11">
        <f>IF(N$12&lt;=$J$6,$J8,N18)</f>
        <v>0</v>
      </c>
      <c r="O22" s="11">
        <f t="shared" si="2"/>
        <v>0</v>
      </c>
      <c r="P22" s="11">
        <f t="shared" si="2"/>
        <v>0</v>
      </c>
      <c r="Q22" s="11">
        <f t="shared" si="2"/>
        <v>0</v>
      </c>
      <c r="R22" s="11">
        <f t="shared" si="2"/>
        <v>0</v>
      </c>
      <c r="S22" s="11">
        <f t="shared" si="2"/>
        <v>0</v>
      </c>
      <c r="T22" s="11">
        <f t="shared" si="2"/>
        <v>0</v>
      </c>
      <c r="U22" s="11">
        <f t="shared" si="2"/>
        <v>0</v>
      </c>
    </row>
    <row r="23" spans="2:26" x14ac:dyDescent="0.3">
      <c r="B23" s="59"/>
      <c r="C23" s="56" t="s">
        <v>127</v>
      </c>
      <c r="D23" s="57"/>
      <c r="E23" s="57"/>
      <c r="F23" s="9">
        <v>0</v>
      </c>
      <c r="G23" s="11">
        <f>IF(G$12&lt;=$J$6,$J9,G19)</f>
        <v>72677</v>
      </c>
      <c r="H23" s="11">
        <f t="shared" ref="H23:U23" si="3">IF(H$12&lt;=$J$6,$J9,H19)</f>
        <v>72677</v>
      </c>
      <c r="I23" s="11">
        <f t="shared" si="3"/>
        <v>72677</v>
      </c>
      <c r="J23" s="11">
        <f t="shared" si="3"/>
        <v>741</v>
      </c>
      <c r="K23" s="11">
        <f t="shared" si="3"/>
        <v>750</v>
      </c>
      <c r="L23" s="11">
        <f t="shared" si="3"/>
        <v>750</v>
      </c>
      <c r="M23" s="11">
        <f t="shared" si="3"/>
        <v>755</v>
      </c>
      <c r="N23" s="11">
        <f t="shared" si="3"/>
        <v>757</v>
      </c>
      <c r="O23" s="11">
        <f t="shared" si="3"/>
        <v>757</v>
      </c>
      <c r="P23" s="11">
        <f t="shared" si="3"/>
        <v>757</v>
      </c>
      <c r="Q23" s="11">
        <f t="shared" si="3"/>
        <v>762</v>
      </c>
      <c r="R23" s="11">
        <f t="shared" si="3"/>
        <v>768</v>
      </c>
      <c r="S23" s="11">
        <f t="shared" si="3"/>
        <v>774</v>
      </c>
      <c r="T23" s="11">
        <f t="shared" si="3"/>
        <v>780</v>
      </c>
      <c r="U23" s="11">
        <f t="shared" si="3"/>
        <v>788</v>
      </c>
    </row>
    <row r="24" spans="2:26" x14ac:dyDescent="0.3">
      <c r="B24" s="59"/>
      <c r="C24" s="71" t="s">
        <v>114</v>
      </c>
      <c r="D24" s="64"/>
      <c r="E24" s="64"/>
      <c r="F24" s="4">
        <f>SUM(F17:F19)</f>
        <v>238141</v>
      </c>
      <c r="G24" s="7">
        <f>SUM(F24,G17:G19)-SUM(G21:G23)</f>
        <v>158758.66666666669</v>
      </c>
      <c r="H24" s="7">
        <f>SUM(G24,H17:H19)-SUM(H21:H23)</f>
        <v>79376.333333333358</v>
      </c>
      <c r="I24" s="7">
        <f t="shared" ref="I24:U24" si="4">SUM(H24,I17:I19)-SUM(I21:I23)</f>
        <v>0</v>
      </c>
      <c r="J24" s="7">
        <f t="shared" si="4"/>
        <v>0</v>
      </c>
      <c r="K24" s="7">
        <f t="shared" si="4"/>
        <v>0</v>
      </c>
      <c r="L24" s="7">
        <f t="shared" si="4"/>
        <v>0</v>
      </c>
      <c r="M24" s="7">
        <f t="shared" si="4"/>
        <v>0</v>
      </c>
      <c r="N24" s="7">
        <f t="shared" si="4"/>
        <v>0</v>
      </c>
      <c r="O24" s="7">
        <f t="shared" si="4"/>
        <v>0</v>
      </c>
      <c r="P24" s="7">
        <f>SUM(O24,P17:P19)-SUM(P21:P23)</f>
        <v>0</v>
      </c>
      <c r="Q24" s="7">
        <f>SUM(P24,Q17:Q19)-SUM(Q21:Q23)</f>
        <v>0</v>
      </c>
      <c r="R24" s="7">
        <f t="shared" si="4"/>
        <v>0</v>
      </c>
      <c r="S24" s="7">
        <f t="shared" si="4"/>
        <v>0</v>
      </c>
      <c r="T24" s="7">
        <f t="shared" si="4"/>
        <v>0</v>
      </c>
      <c r="U24" s="7">
        <f t="shared" si="4"/>
        <v>0</v>
      </c>
    </row>
    <row r="25" spans="2:26" x14ac:dyDescent="0.3">
      <c r="B25" s="60"/>
      <c r="C25" s="63" t="s">
        <v>108</v>
      </c>
      <c r="D25" s="63"/>
      <c r="E25" s="63"/>
      <c r="F25" s="17">
        <v>0</v>
      </c>
      <c r="G25" s="17">
        <f>IF(G$12&lt;=$J$6,SUM($F$21:G23)/SUM($F$17:G19),1)</f>
        <v>0.33555152839219921</v>
      </c>
      <c r="H25" s="17">
        <f>IF(H$12&lt;=$J$6,SUM($F$21:H23)/SUM($F$17:H19),1)</f>
        <v>0.66888587617756468</v>
      </c>
      <c r="I25" s="17">
        <f>IF(I$12&lt;=$J$6,SUM($F$21:I23)/SUM($F$17:I19),1)</f>
        <v>1</v>
      </c>
      <c r="J25" s="17">
        <f>IF(J$12&lt;=$J$6,SUM($F$21:J23)/SUM($F$17:J19),1)</f>
        <v>1</v>
      </c>
      <c r="K25" s="17">
        <f>IF(K$12&lt;=$J$6,SUM($F$21:K23)/SUM($F$17:K19),1)</f>
        <v>1</v>
      </c>
      <c r="L25" s="17">
        <f>IF(L$12&lt;=$J$6,SUM($F$21:L23)/SUM($F$17:L19),1)</f>
        <v>1</v>
      </c>
      <c r="M25" s="17">
        <f>IF(M$12&lt;=$J$6,SUM($F$21:M23)/SUM($F$17:M19),1)</f>
        <v>1</v>
      </c>
      <c r="N25" s="17">
        <f>IF(N$12&lt;=$J$6,SUM($F$21:N23)/SUM($F$17:N19),1)</f>
        <v>1</v>
      </c>
      <c r="O25" s="17">
        <f>IF(O$12&lt;=$J$6,SUM($F$21:O23)/SUM($F$17:O19),1)</f>
        <v>1</v>
      </c>
      <c r="P25" s="17">
        <f>IF(P$12&lt;=$J$6,SUM($F$21:P23)/SUM($F$17:P19),1)</f>
        <v>1</v>
      </c>
      <c r="Q25" s="17">
        <f>IF(Q$12&lt;=$J$6,SUM($F$21:Q23)/SUM($F$17:Q19),1)</f>
        <v>1</v>
      </c>
      <c r="R25" s="17">
        <f>IF(R$12&lt;=$J$6,SUM($F$21:R23)/SUM($F$17:R19),1)</f>
        <v>1</v>
      </c>
      <c r="S25" s="17">
        <f>IF(S$12&lt;=$J$6,SUM($F$21:S23)/SUM($F$17:S19),1)</f>
        <v>1</v>
      </c>
      <c r="T25" s="17">
        <f>IF(T$12&lt;=$J$6,SUM($F$21:T23)/SUM($F$17:T19),1)</f>
        <v>1</v>
      </c>
      <c r="U25" s="17">
        <f>IF(U$12&lt;=$J$6,SUM($F$21:U23)/SUM($F$17:U19),1)</f>
        <v>1</v>
      </c>
    </row>
    <row r="26" spans="2:26" ht="28.2" customHeight="1" x14ac:dyDescent="0.3"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</row>
    <row r="27" spans="2:26" ht="14.4" customHeight="1" x14ac:dyDescent="0.3">
      <c r="B27" s="46" t="s">
        <v>124</v>
      </c>
      <c r="C27" s="47"/>
      <c r="D27" s="48"/>
      <c r="E27" s="22" t="s">
        <v>48</v>
      </c>
      <c r="F27" s="24">
        <v>0</v>
      </c>
      <c r="G27" s="24">
        <v>1</v>
      </c>
      <c r="H27" s="24">
        <v>2</v>
      </c>
      <c r="I27" s="24">
        <v>3</v>
      </c>
      <c r="J27" s="24">
        <v>4</v>
      </c>
      <c r="K27" s="24">
        <v>5</v>
      </c>
      <c r="L27" s="24">
        <v>6</v>
      </c>
      <c r="M27" s="24">
        <v>7</v>
      </c>
      <c r="N27" s="24">
        <v>8</v>
      </c>
      <c r="O27" s="24">
        <v>9</v>
      </c>
      <c r="P27" s="24">
        <v>10</v>
      </c>
      <c r="Q27" s="24">
        <v>11</v>
      </c>
      <c r="R27" s="24">
        <v>12</v>
      </c>
      <c r="S27" s="24">
        <v>13</v>
      </c>
      <c r="T27" s="24">
        <v>14</v>
      </c>
      <c r="U27" s="24">
        <v>15</v>
      </c>
    </row>
    <row r="28" spans="2:26" ht="14.4" customHeight="1" x14ac:dyDescent="0.3">
      <c r="B28" s="49"/>
      <c r="C28" s="50"/>
      <c r="D28" s="51"/>
      <c r="E28" s="23" t="s">
        <v>49</v>
      </c>
      <c r="F28" s="25">
        <v>2025</v>
      </c>
      <c r="G28" s="25">
        <v>2026</v>
      </c>
      <c r="H28" s="25">
        <v>2027</v>
      </c>
      <c r="I28" s="25">
        <v>2028</v>
      </c>
      <c r="J28" s="25">
        <v>2029</v>
      </c>
      <c r="K28" s="25">
        <v>2030</v>
      </c>
      <c r="L28" s="25">
        <v>2031</v>
      </c>
      <c r="M28" s="25">
        <v>2032</v>
      </c>
      <c r="N28" s="25">
        <v>2033</v>
      </c>
      <c r="O28" s="25">
        <v>2034</v>
      </c>
      <c r="P28" s="25">
        <v>2035</v>
      </c>
      <c r="Q28" s="25">
        <v>2036</v>
      </c>
      <c r="R28" s="25">
        <v>2037</v>
      </c>
      <c r="S28" s="25">
        <v>2038</v>
      </c>
      <c r="T28" s="25">
        <v>2039</v>
      </c>
      <c r="U28" s="25">
        <v>2040</v>
      </c>
      <c r="W28" s="40" t="s">
        <v>179</v>
      </c>
      <c r="X28" s="40" t="s">
        <v>180</v>
      </c>
      <c r="Y28" s="1" t="s">
        <v>181</v>
      </c>
      <c r="Z28" s="41" t="s">
        <v>182</v>
      </c>
    </row>
    <row r="29" spans="2:26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2:26" x14ac:dyDescent="0.3">
      <c r="B30" s="52" t="s">
        <v>118</v>
      </c>
      <c r="C30" s="44" t="s">
        <v>57</v>
      </c>
      <c r="D30" s="45"/>
      <c r="E30" s="45"/>
      <c r="F30" s="8">
        <v>0</v>
      </c>
      <c r="G30" s="8">
        <f>((-CB_SMI_Mixto!C7)*G21)/1000000</f>
        <v>-1.3126390558649617</v>
      </c>
      <c r="H30" s="8">
        <f>((-CB_SMI_Mixto!D7)*H21)/1000000</f>
        <v>-1.3126390558649617</v>
      </c>
      <c r="I30" s="8">
        <f>((-CB_SMI_Mixto!E7)*I21)/1000000</f>
        <v>-1.3068352568164021</v>
      </c>
      <c r="J30" s="8">
        <f>((-CB_SMI_Mixto!F7)*J21)/1000000</f>
        <v>-1.02840939203496E-2</v>
      </c>
      <c r="K30" s="8">
        <f>((-CB_SMI_Mixto!G7)*K21)/1000000</f>
        <v>-1.0747048837098113E-2</v>
      </c>
      <c r="L30" s="8">
        <f>((-CB_SMI_Mixto!H7)*L21)/1000000</f>
        <v>-1.0747048837098113E-2</v>
      </c>
      <c r="M30" s="8">
        <f>((-CB_SMI_Mixto!I7)*M21)/1000000</f>
        <v>-1.0747048837098113E-2</v>
      </c>
      <c r="N30" s="8">
        <f>((-CB_SMI_Mixto!J7)*N21)/1000000</f>
        <v>-1.0747048837098113E-2</v>
      </c>
      <c r="O30" s="8">
        <f>((-CB_SMI_Mixto!K7)*O21)/1000000</f>
        <v>-1.0747048837098113E-2</v>
      </c>
      <c r="P30" s="8">
        <f>((-CB_SMI_Mixto!L7)*P21)/1000000</f>
        <v>-1.0747048837098113E-2</v>
      </c>
      <c r="Q30" s="8">
        <f>((-CB_SMI_Mixto!M7)*Q21)/1000000</f>
        <v>-1.0747048837098113E-2</v>
      </c>
      <c r="R30" s="8">
        <f>((-CB_SMI_Mixto!N7)*R21)/1000000</f>
        <v>-1.0747048837098113E-2</v>
      </c>
      <c r="S30" s="8">
        <f>((-CB_SMI_Mixto!O7)*S21)/1000000</f>
        <v>-1.0932483753846624E-2</v>
      </c>
      <c r="T30" s="8">
        <f>((-CB_SMI_Mixto!P7)*T21)/1000000</f>
        <v>-1.1117918670595129E-2</v>
      </c>
      <c r="U30" s="8">
        <f>((-CB_SMI_Mixto!Q7)*U21)/1000000</f>
        <v>-1.1117918670595129E-2</v>
      </c>
      <c r="W30" s="42">
        <f t="shared" ref="W30:W36" si="5">NPV($D$67,G30:U30)+F30</f>
        <v>-3.5795169468651156</v>
      </c>
      <c r="X30" s="42">
        <f t="shared" ref="X30:X36" si="6">PMT($D$67,15,-W30)</f>
        <v>-0.36855695847411452</v>
      </c>
      <c r="Y30" s="42">
        <f>W30*1000000/7744865</f>
        <v>-0.46217938554966626</v>
      </c>
      <c r="Z30" s="30">
        <f t="shared" ref="Z30:Z36" si="7">W30/$W$36</f>
        <v>2.2701611788412165E-2</v>
      </c>
    </row>
    <row r="31" spans="2:26" x14ac:dyDescent="0.3">
      <c r="B31" s="53"/>
      <c r="C31" s="44" t="s">
        <v>58</v>
      </c>
      <c r="D31" s="45"/>
      <c r="E31" s="45"/>
      <c r="F31" s="8">
        <v>0</v>
      </c>
      <c r="G31" s="8">
        <f>((-CB_SMI_Mixto!C8)*G22)/1000000</f>
        <v>0</v>
      </c>
      <c r="H31" s="8">
        <f>((-CB_SMI_Mixto!D8)*H22)/1000000</f>
        <v>0</v>
      </c>
      <c r="I31" s="8">
        <f>((-CB_SMI_Mixto!E8)*I22)/1000000</f>
        <v>0</v>
      </c>
      <c r="J31" s="8">
        <f>((-CB_SMI_Mixto!F8)*J22)/1000000</f>
        <v>0</v>
      </c>
      <c r="K31" s="8">
        <f>((-CB_SMI_Mixto!G8)*K22)/1000000</f>
        <v>0</v>
      </c>
      <c r="L31" s="8">
        <f>((-CB_SMI_Mixto!H8)*L22)/1000000</f>
        <v>0</v>
      </c>
      <c r="M31" s="8">
        <f>((-CB_SMI_Mixto!I8)*M22)/1000000</f>
        <v>0</v>
      </c>
      <c r="N31" s="8">
        <f>((-CB_SMI_Mixto!J8)*N22)/1000000</f>
        <v>0</v>
      </c>
      <c r="O31" s="8">
        <f>((-CB_SMI_Mixto!K8)*O22)/1000000</f>
        <v>0</v>
      </c>
      <c r="P31" s="8">
        <f>((-CB_SMI_Mixto!L8)*P22)/1000000</f>
        <v>0</v>
      </c>
      <c r="Q31" s="8">
        <f>((-CB_SMI_Mixto!M8)*Q22)/1000000</f>
        <v>0</v>
      </c>
      <c r="R31" s="8">
        <f>((-CB_SMI_Mixto!N8)*R22)/1000000</f>
        <v>0</v>
      </c>
      <c r="S31" s="8">
        <f>((-CB_SMI_Mixto!O8)*S22)/1000000</f>
        <v>0</v>
      </c>
      <c r="T31" s="8">
        <f>((-CB_SMI_Mixto!P8)*T22)/1000000</f>
        <v>0</v>
      </c>
      <c r="U31" s="8">
        <f>((-CB_SMI_Mixto!Q8)*U22)/1000000</f>
        <v>0</v>
      </c>
      <c r="W31" s="42">
        <f t="shared" si="5"/>
        <v>0</v>
      </c>
      <c r="X31" s="42">
        <f t="shared" si="6"/>
        <v>0</v>
      </c>
      <c r="Y31" s="42">
        <f t="shared" ref="Y31:Y56" si="8">W31*1000000/7744865</f>
        <v>0</v>
      </c>
      <c r="Z31" s="30">
        <f t="shared" si="7"/>
        <v>0</v>
      </c>
    </row>
    <row r="32" spans="2:26" x14ac:dyDescent="0.3">
      <c r="B32" s="53"/>
      <c r="C32" s="44" t="s">
        <v>59</v>
      </c>
      <c r="D32" s="45"/>
      <c r="E32" s="45"/>
      <c r="F32" s="8">
        <v>0</v>
      </c>
      <c r="G32" s="8">
        <f>((-CB_SMI_Mixto!C9)*G23)/1000000</f>
        <v>-54.340840407216206</v>
      </c>
      <c r="H32" s="8">
        <f>((-CB_SMI_Mixto!D9)*H23)/1000000</f>
        <v>-54.340840407216206</v>
      </c>
      <c r="I32" s="8">
        <f>((-CB_SMI_Mixto!E9)*I23)/1000000</f>
        <v>-54.332156330718838</v>
      </c>
      <c r="J32" s="8">
        <f>((-CB_SMI_Mixto!F9)*J23)/1000000</f>
        <v>-0.55402420844473876</v>
      </c>
      <c r="K32" s="8">
        <f>((-CB_SMI_Mixto!G9)*K23)/1000000</f>
        <v>-0.56091832086197835</v>
      </c>
      <c r="L32" s="8">
        <f>((-CB_SMI_Mixto!H9)*L23)/1000000</f>
        <v>-0.56091832086197835</v>
      </c>
      <c r="M32" s="8">
        <f>((-CB_SMI_Mixto!I9)*M23)/1000000</f>
        <v>-0.56469304561222389</v>
      </c>
      <c r="N32" s="8">
        <f>((-CB_SMI_Mixto!J9)*N23)/1000000</f>
        <v>-0.56612822961222387</v>
      </c>
      <c r="O32" s="8">
        <f>((-CB_SMI_Mixto!K9)*O23)/1000000</f>
        <v>-0.56612822961222387</v>
      </c>
      <c r="P32" s="8">
        <f>((-CB_SMI_Mixto!L9)*P23)/1000000</f>
        <v>-0.56612822961222387</v>
      </c>
      <c r="Q32" s="8">
        <f>((-CB_SMI_Mixto!M9)*Q23)/1000000</f>
        <v>-0.56990295436246952</v>
      </c>
      <c r="R32" s="8">
        <f>((-CB_SMI_Mixto!N9)*R23)/1000000</f>
        <v>-0.57445752602946354</v>
      </c>
      <c r="S32" s="8">
        <f>((-CB_SMI_Mixto!O9)*S23)/1000000</f>
        <v>-0.57894984277970907</v>
      </c>
      <c r="T32" s="8">
        <f>((-CB_SMI_Mixto!P9)*T23)/1000000</f>
        <v>-0.5833799046132061</v>
      </c>
      <c r="U32" s="8">
        <f>((-CB_SMI_Mixto!Q9)*U23)/1000000</f>
        <v>-0.58924515044670311</v>
      </c>
      <c r="W32" s="42">
        <f t="shared" si="5"/>
        <v>-149.2428427832161</v>
      </c>
      <c r="X32" s="42">
        <f t="shared" si="6"/>
        <v>-15.366455593508125</v>
      </c>
      <c r="Y32" s="42">
        <f t="shared" si="8"/>
        <v>-19.269908872939183</v>
      </c>
      <c r="Z32" s="30">
        <f t="shared" si="7"/>
        <v>0.94651125538902825</v>
      </c>
    </row>
    <row r="33" spans="2:26" x14ac:dyDescent="0.3">
      <c r="B33" s="53"/>
      <c r="C33" s="44" t="s">
        <v>60</v>
      </c>
      <c r="D33" s="45"/>
      <c r="E33" s="45"/>
      <c r="F33" s="8">
        <f>((-CB_SMI_Mixto!B10)*CB_SMI_Mixto!B6)/1000000</f>
        <v>0</v>
      </c>
      <c r="G33" s="8">
        <f>((-CB_SMI_Mixto!C10)*CB_SMI_Mixto!C6)/1000000</f>
        <v>0</v>
      </c>
      <c r="H33" s="8">
        <f>((-CB_SMI_Mixto!D10)*CB_SMI_Mixto!D6)/1000000</f>
        <v>0</v>
      </c>
      <c r="I33" s="8">
        <f>((-CB_SMI_Mixto!E10)*CB_SMI_Mixto!E6)/1000000</f>
        <v>0</v>
      </c>
      <c r="J33" s="8">
        <f>((-CB_SMI_Mixto!F10)*CB_SMI_Mixto!F6)/1000000</f>
        <v>0</v>
      </c>
      <c r="K33" s="8">
        <f>((-CB_SMI_Mixto!G10)*CB_SMI_Mixto!G6)/1000000</f>
        <v>0</v>
      </c>
      <c r="L33" s="8">
        <f>((-CB_SMI_Mixto!H10)*CB_SMI_Mixto!H6)/1000000</f>
        <v>0</v>
      </c>
      <c r="M33" s="8">
        <f>((-CB_SMI_Mixto!I10)*CB_SMI_Mixto!I6)/1000000</f>
        <v>0</v>
      </c>
      <c r="N33" s="8">
        <f>((-CB_SMI_Mixto!J10)*CB_SMI_Mixto!J6)/1000000</f>
        <v>0</v>
      </c>
      <c r="O33" s="8">
        <f>((-CB_SMI_Mixto!K10)*CB_SMI_Mixto!K6)/1000000</f>
        <v>0</v>
      </c>
      <c r="P33" s="8">
        <f>((-CB_SMI_Mixto!L10)*CB_SMI_Mixto!L6)/1000000</f>
        <v>0</v>
      </c>
      <c r="Q33" s="8">
        <f>((-CB_SMI_Mixto!M10)*CB_SMI_Mixto!M6)/1000000</f>
        <v>0</v>
      </c>
      <c r="R33" s="8">
        <f>((-CB_SMI_Mixto!N10)*CB_SMI_Mixto!N6)/1000000</f>
        <v>0</v>
      </c>
      <c r="S33" s="8">
        <f>((-CB_SMI_Mixto!O10)*CB_SMI_Mixto!O6)/1000000</f>
        <v>0</v>
      </c>
      <c r="T33" s="8">
        <f>((-CB_SMI_Mixto!P10)*CB_SMI_Mixto!P6)/1000000</f>
        <v>0</v>
      </c>
      <c r="U33" s="8">
        <f>((-CB_SMI_Mixto!Q10)*CB_SMI_Mixto!Q6)/1000000</f>
        <v>0</v>
      </c>
      <c r="W33" s="42">
        <f t="shared" si="5"/>
        <v>0</v>
      </c>
      <c r="X33" s="42">
        <f t="shared" si="6"/>
        <v>0</v>
      </c>
      <c r="Y33" s="42">
        <f t="shared" si="8"/>
        <v>0</v>
      </c>
      <c r="Z33" s="30">
        <f t="shared" si="7"/>
        <v>0</v>
      </c>
    </row>
    <row r="34" spans="2:26" x14ac:dyDescent="0.3">
      <c r="B34" s="53"/>
      <c r="C34" s="44" t="s">
        <v>145</v>
      </c>
      <c r="D34" s="45"/>
      <c r="E34" s="45"/>
      <c r="F34" s="8">
        <f>(-CB_SMI_Mixto!B11)/1000000</f>
        <v>-4.3701254909999996</v>
      </c>
      <c r="G34" s="8">
        <f>(-CB_SMI_Mixto!C11)/1000000</f>
        <v>-1.4533992000000001E-2</v>
      </c>
      <c r="H34" s="8">
        <f>(-CB_SMI_Mixto!D11)/1000000</f>
        <v>-1.4533992000000001E-2</v>
      </c>
      <c r="I34" s="8">
        <f>(-CB_SMI_Mixto!E11)/1000000</f>
        <v>-1.4644097999999999E-2</v>
      </c>
      <c r="J34" s="8">
        <f>(-CB_SMI_Mixto!F11)/1000000</f>
        <v>-1.4680799999999999E-2</v>
      </c>
      <c r="K34" s="8">
        <f>(-CB_SMI_Mixto!G11)/1000000</f>
        <v>-1.4901012E-2</v>
      </c>
      <c r="L34" s="8">
        <f>(-CB_SMI_Mixto!H11)/1000000</f>
        <v>-1.4901012E-2</v>
      </c>
      <c r="M34" s="8">
        <f>(-CB_SMI_Mixto!I11)/1000000</f>
        <v>-1.4992767000000001E-2</v>
      </c>
      <c r="N34" s="8">
        <f>(-CB_SMI_Mixto!J11)/1000000</f>
        <v>-1.5029468999999998E-2</v>
      </c>
      <c r="O34" s="8">
        <f>(-CB_SMI_Mixto!K11)/1000000</f>
        <v>-1.5029468999999998E-2</v>
      </c>
      <c r="P34" s="8">
        <f>(-CB_SMI_Mixto!L11)/1000000</f>
        <v>-1.5029468999999998E-2</v>
      </c>
      <c r="Q34" s="8">
        <f>(-CB_SMI_Mixto!M11)/1000000</f>
        <v>-1.5121224000000001E-2</v>
      </c>
      <c r="R34" s="8">
        <f>(-CB_SMI_Mixto!N11)/1000000</f>
        <v>-1.523133E-2</v>
      </c>
      <c r="S34" s="8">
        <f>(-CB_SMI_Mixto!O11)/1000000</f>
        <v>-1.5359787E-2</v>
      </c>
      <c r="T34" s="8">
        <f>(-CB_SMI_Mixto!P11)/1000000</f>
        <v>-1.5488244E-2</v>
      </c>
      <c r="U34" s="8">
        <f>(-CB_SMI_Mixto!Q11)/1000000</f>
        <v>-1.5635052E-2</v>
      </c>
      <c r="W34" s="42">
        <f t="shared" si="5"/>
        <v>-4.5151354575121729</v>
      </c>
      <c r="X34" s="42">
        <f t="shared" si="6"/>
        <v>-0.4648908263380887</v>
      </c>
      <c r="Y34" s="42">
        <f t="shared" si="8"/>
        <v>-0.58298439772832356</v>
      </c>
      <c r="Z34" s="30">
        <f t="shared" si="7"/>
        <v>2.8635386799412899E-2</v>
      </c>
    </row>
    <row r="35" spans="2:26" x14ac:dyDescent="0.3">
      <c r="B35" s="53"/>
      <c r="C35" s="44" t="s">
        <v>143</v>
      </c>
      <c r="D35" s="45"/>
      <c r="E35" s="45"/>
      <c r="F35" s="8">
        <f>(-CB_SMI_Mixto!B12)/1000000</f>
        <v>-0.32838390526315792</v>
      </c>
      <c r="G35" s="8">
        <f>(-CB_SMI_Mixto!C12)/1000000</f>
        <v>-1.0921263157894739E-3</v>
      </c>
      <c r="H35" s="8">
        <f>(-CB_SMI_Mixto!D12)/1000000</f>
        <v>-1.0921263157894739E-3</v>
      </c>
      <c r="I35" s="8">
        <f>(-CB_SMI_Mixto!E12)/1000000</f>
        <v>-1.1004000000000001E-3</v>
      </c>
      <c r="J35" s="8">
        <f>(-CB_SMI_Mixto!F12)/1000000</f>
        <v>-1.1031578947368421E-3</v>
      </c>
      <c r="K35" s="8">
        <f>(-CB_SMI_Mixto!G12)/1000000</f>
        <v>-1.1197052631578949E-3</v>
      </c>
      <c r="L35" s="8">
        <f>(-CB_SMI_Mixto!H12)/1000000</f>
        <v>-1.1197052631578949E-3</v>
      </c>
      <c r="M35" s="8">
        <f>(-CB_SMI_Mixto!I12)/1000000</f>
        <v>-1.1266E-3</v>
      </c>
      <c r="N35" s="8">
        <f>(-CB_SMI_Mixto!J12)/1000000</f>
        <v>-1.1293578947368418E-3</v>
      </c>
      <c r="O35" s="8">
        <f>(-CB_SMI_Mixto!K12)/1000000</f>
        <v>-1.1293578947368418E-3</v>
      </c>
      <c r="P35" s="8">
        <f>(-CB_SMI_Mixto!L12)/1000000</f>
        <v>-1.1293578947368418E-3</v>
      </c>
      <c r="Q35" s="8">
        <f>(-CB_SMI_Mixto!M12)/1000000</f>
        <v>-1.136252631578947E-3</v>
      </c>
      <c r="R35" s="8">
        <f>(-CB_SMI_Mixto!N12)/1000000</f>
        <v>-1.1445263157894741E-3</v>
      </c>
      <c r="S35" s="8">
        <f>(-CB_SMI_Mixto!O12)/1000000</f>
        <v>-1.154178947368421E-3</v>
      </c>
      <c r="T35" s="8">
        <f>(-CB_SMI_Mixto!P12)/1000000</f>
        <v>-1.1638315789473691E-3</v>
      </c>
      <c r="U35" s="8">
        <f>(-CB_SMI_Mixto!Q12)/1000000</f>
        <v>-1.1748631578947369E-3</v>
      </c>
      <c r="W35" s="42">
        <f t="shared" si="5"/>
        <v>-0.33928037475892303</v>
      </c>
      <c r="X35" s="42">
        <f t="shared" si="6"/>
        <v>-3.4933245140973027E-2</v>
      </c>
      <c r="Y35" s="42">
        <f t="shared" si="8"/>
        <v>-4.3807138634298082E-2</v>
      </c>
      <c r="Z35" s="30">
        <f t="shared" si="7"/>
        <v>2.1517460231469331E-3</v>
      </c>
    </row>
    <row r="36" spans="2:26" x14ac:dyDescent="0.3">
      <c r="B36" s="54"/>
      <c r="C36" s="55" t="s">
        <v>123</v>
      </c>
      <c r="D36" s="55"/>
      <c r="E36" s="55"/>
      <c r="F36" s="15">
        <f>SUM(F30:F35)</f>
        <v>-4.6985093962631579</v>
      </c>
      <c r="G36" s="15">
        <f t="shared" ref="G36:U36" si="9">SUM(G30:G35)</f>
        <v>-55.669105581396956</v>
      </c>
      <c r="H36" s="15">
        <f t="shared" si="9"/>
        <v>-55.669105581396956</v>
      </c>
      <c r="I36" s="15">
        <f t="shared" si="9"/>
        <v>-55.654736085535234</v>
      </c>
      <c r="J36" s="15">
        <f t="shared" si="9"/>
        <v>-0.58009226025982519</v>
      </c>
      <c r="K36" s="15">
        <f t="shared" si="9"/>
        <v>-0.58768608696223434</v>
      </c>
      <c r="L36" s="15">
        <f t="shared" si="9"/>
        <v>-0.58768608696223434</v>
      </c>
      <c r="M36" s="15">
        <f t="shared" si="9"/>
        <v>-0.59155946144932192</v>
      </c>
      <c r="N36" s="15">
        <f t="shared" si="9"/>
        <v>-0.59303410534405887</v>
      </c>
      <c r="O36" s="15">
        <f t="shared" si="9"/>
        <v>-0.59303410534405887</v>
      </c>
      <c r="P36" s="15">
        <f t="shared" si="9"/>
        <v>-0.59303410534405887</v>
      </c>
      <c r="Q36" s="15">
        <f t="shared" si="9"/>
        <v>-0.59690747983114656</v>
      </c>
      <c r="R36" s="15">
        <f t="shared" si="9"/>
        <v>-0.60158043118235105</v>
      </c>
      <c r="S36" s="15">
        <f t="shared" si="9"/>
        <v>-0.60639629248092408</v>
      </c>
      <c r="T36" s="15">
        <f t="shared" si="9"/>
        <v>-0.61114989886274862</v>
      </c>
      <c r="U36" s="15">
        <f t="shared" si="9"/>
        <v>-0.61717298427519296</v>
      </c>
      <c r="W36" s="42">
        <f t="shared" si="5"/>
        <v>-157.67677556235228</v>
      </c>
      <c r="X36" s="42">
        <f t="shared" si="6"/>
        <v>-16.234836623461295</v>
      </c>
      <c r="Y36" s="42">
        <f t="shared" si="8"/>
        <v>-20.358879794851461</v>
      </c>
      <c r="Z36" s="30">
        <f t="shared" si="7"/>
        <v>1</v>
      </c>
    </row>
    <row r="37" spans="2:26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W37" s="42"/>
      <c r="X37" s="42"/>
      <c r="Y37" s="42"/>
    </row>
    <row r="38" spans="2:26" x14ac:dyDescent="0.3">
      <c r="B38" s="52" t="s">
        <v>119</v>
      </c>
      <c r="C38" s="44" t="s">
        <v>100</v>
      </c>
      <c r="D38" s="45"/>
      <c r="E38" s="45"/>
      <c r="F38" s="8">
        <v>0</v>
      </c>
      <c r="G38" s="8">
        <f>(-CB_SMI_Mixto!C13/1000000)*G$25</f>
        <v>0</v>
      </c>
      <c r="H38" s="8">
        <f>(-CB_SMI_Mixto!D13/1000000)*H$25</f>
        <v>0</v>
      </c>
      <c r="I38" s="8">
        <f>(-CB_SMI_Mixto!E13/1000000)*I$25</f>
        <v>0</v>
      </c>
      <c r="J38" s="8">
        <f>(-CB_SMI_Mixto!F13/1000000)*J$25</f>
        <v>0</v>
      </c>
      <c r="K38" s="8">
        <f>(-CB_SMI_Mixto!G13/1000000)*K$25</f>
        <v>0</v>
      </c>
      <c r="L38" s="8">
        <f>(-CB_SMI_Mixto!H13/1000000)*L$25</f>
        <v>0</v>
      </c>
      <c r="M38" s="8">
        <f>(-CB_SMI_Mixto!I13/1000000)*M$25</f>
        <v>0</v>
      </c>
      <c r="N38" s="8">
        <f>(-CB_SMI_Mixto!J13/1000000)*N$25</f>
        <v>0</v>
      </c>
      <c r="O38" s="8">
        <f>(-CB_SMI_Mixto!K13/1000000)*O$25</f>
        <v>0</v>
      </c>
      <c r="P38" s="8">
        <f>(-CB_SMI_Mixto!L13/1000000)*P$25</f>
        <v>0</v>
      </c>
      <c r="Q38" s="8">
        <f>(-CB_SMI_Mixto!M13/1000000)*Q$25</f>
        <v>0</v>
      </c>
      <c r="R38" s="8">
        <f>(-CB_SMI_Mixto!N13/1000000)*R$25</f>
        <v>0</v>
      </c>
      <c r="S38" s="8">
        <f>(-CB_SMI_Mixto!O13/1000000)*S$25</f>
        <v>0</v>
      </c>
      <c r="T38" s="8">
        <f>(-CB_SMI_Mixto!P13/1000000)*T$25</f>
        <v>0</v>
      </c>
      <c r="U38" s="8">
        <f>(-CB_SMI_Mixto!Q13/1000000)*U$25</f>
        <v>0</v>
      </c>
      <c r="W38" s="42">
        <f t="shared" ref="W38:W43" si="10">NPV($D$67,G38:U38)+F38</f>
        <v>0</v>
      </c>
      <c r="X38" s="42">
        <f t="shared" ref="X38:X43" si="11">PMT($D$67,15,-W38)</f>
        <v>0</v>
      </c>
      <c r="Y38" s="42">
        <f t="shared" si="8"/>
        <v>0</v>
      </c>
      <c r="Z38" s="30">
        <f t="shared" ref="Z38:Z43" si="12">W38/$W$43</f>
        <v>0</v>
      </c>
    </row>
    <row r="39" spans="2:26" x14ac:dyDescent="0.3">
      <c r="B39" s="53"/>
      <c r="C39" s="44" t="s">
        <v>101</v>
      </c>
      <c r="D39" s="45"/>
      <c r="E39" s="45"/>
      <c r="F39" s="8">
        <v>0</v>
      </c>
      <c r="G39" s="8">
        <f>(-CB_SMI_Mixto!C14/1000000)*G$25</f>
        <v>-1.3433596586896179</v>
      </c>
      <c r="H39" s="8">
        <f>(-CB_SMI_Mixto!D14/1000000)*H$25</f>
        <v>-2.6778429728204109</v>
      </c>
      <c r="I39" s="8">
        <f>(-CB_SMI_Mixto!E14/1000000)*I$25</f>
        <v>-4.0034377585056706</v>
      </c>
      <c r="J39" s="8">
        <f>(-CB_SMI_Mixto!F14/1000000)*J$25</f>
        <v>-4.0034377585056706</v>
      </c>
      <c r="K39" s="8">
        <f>(-CB_SMI_Mixto!G14/1000000)*K$25</f>
        <v>-4.0034377585056706</v>
      </c>
      <c r="L39" s="8">
        <f>(-CB_SMI_Mixto!H14/1000000)*L$25</f>
        <v>-4.0034377585056706</v>
      </c>
      <c r="M39" s="8">
        <f>(-CB_SMI_Mixto!I14/1000000)*M$25</f>
        <v>-4.0034377585056706</v>
      </c>
      <c r="N39" s="8">
        <f>(-CB_SMI_Mixto!J14/1000000)*N$25</f>
        <v>-4.0034377585056706</v>
      </c>
      <c r="O39" s="8">
        <f>(-CB_SMI_Mixto!K14/1000000)*O$25</f>
        <v>-4.0034377585056706</v>
      </c>
      <c r="P39" s="8">
        <f>(-CB_SMI_Mixto!L14/1000000)*P$25</f>
        <v>-4.0034377585056706</v>
      </c>
      <c r="Q39" s="8">
        <f>(-CB_SMI_Mixto!M14/1000000)*Q$25</f>
        <v>-4.0034377585056706</v>
      </c>
      <c r="R39" s="8">
        <f>(-CB_SMI_Mixto!N14/1000000)*R$25</f>
        <v>-4.0034377585056706</v>
      </c>
      <c r="S39" s="8">
        <f>(-CB_SMI_Mixto!O14/1000000)*S$25</f>
        <v>-4.0034377585056706</v>
      </c>
      <c r="T39" s="8">
        <f>(-CB_SMI_Mixto!P14/1000000)*T$25</f>
        <v>-4.0034377585056706</v>
      </c>
      <c r="U39" s="8">
        <f>(-CB_SMI_Mixto!Q14/1000000)*U$25</f>
        <v>-4.0034377585056706</v>
      </c>
      <c r="W39" s="42">
        <f t="shared" si="10"/>
        <v>-35.193102036033515</v>
      </c>
      <c r="X39" s="42">
        <f t="shared" si="11"/>
        <v>-3.6235790577913543</v>
      </c>
      <c r="Y39" s="42">
        <f t="shared" si="8"/>
        <v>-4.544056227711331</v>
      </c>
      <c r="Z39" s="30">
        <f t="shared" si="12"/>
        <v>0.61274697213636742</v>
      </c>
    </row>
    <row r="40" spans="2:26" x14ac:dyDescent="0.3">
      <c r="B40" s="53"/>
      <c r="C40" s="44" t="s">
        <v>146</v>
      </c>
      <c r="D40" s="45"/>
      <c r="E40" s="45"/>
      <c r="F40" s="8">
        <v>0</v>
      </c>
      <c r="G40" s="8">
        <f>(-CB_SMI_Mixto!C15/1000000)*G$25</f>
        <v>-0.64021799199466334</v>
      </c>
      <c r="H40" s="8">
        <f>(-CB_SMI_Mixto!D15/1000000)*H$25</f>
        <v>-1.2804359839893269</v>
      </c>
      <c r="I40" s="8">
        <f>(-CB_SMI_Mixto!E15/1000000)*I$25</f>
        <v>-1.9206539759839898</v>
      </c>
      <c r="J40" s="8">
        <f>(-CB_SMI_Mixto!F15/1000000)*J$25</f>
        <v>-1.9270422348232159</v>
      </c>
      <c r="K40" s="8">
        <f>(-CB_SMI_Mixto!G15/1000000)*K$25</f>
        <v>-1.9335263175450301</v>
      </c>
      <c r="L40" s="8">
        <f>(-CB_SMI_Mixto!H15/1000000)*L$25</f>
        <v>-1.940010400266845</v>
      </c>
      <c r="M40" s="8">
        <f>(-CB_SMI_Mixto!I15/1000000)*M$25</f>
        <v>-1.946534409606405</v>
      </c>
      <c r="N40" s="8">
        <f>(-CB_SMI_Mixto!J15/1000000)*N$25</f>
        <v>-1.953074389593062</v>
      </c>
      <c r="O40" s="8">
        <f>(-CB_SMI_Mixto!K15/1000000)*O$25</f>
        <v>-1.9596143695797201</v>
      </c>
      <c r="P40" s="8">
        <f>(-CB_SMI_Mixto!L15/1000000)*P$25</f>
        <v>-1.966154349566378</v>
      </c>
      <c r="Q40" s="8">
        <f>(-CB_SMI_Mixto!M15/1000000)*Q$25</f>
        <v>-1.972734256170781</v>
      </c>
      <c r="R40" s="8">
        <f>(-CB_SMI_Mixto!N15/1000000)*R$25</f>
        <v>-1.979362074716478</v>
      </c>
      <c r="S40" s="8">
        <f>(-CB_SMI_Mixto!O15/1000000)*S$25</f>
        <v>-1.9860457905270181</v>
      </c>
      <c r="T40" s="8">
        <f>(-CB_SMI_Mixto!P15/1000000)*T$25</f>
        <v>-1.992785403602402</v>
      </c>
      <c r="U40" s="8">
        <f>(-CB_SMI_Mixto!Q15/1000000)*U$25</f>
        <v>-1.9995888992661781</v>
      </c>
      <c r="W40" s="42">
        <f t="shared" si="10"/>
        <v>-17.142574893449677</v>
      </c>
      <c r="X40" s="42">
        <f t="shared" si="11"/>
        <v>-1.7650468923405289</v>
      </c>
      <c r="Y40" s="42">
        <f t="shared" si="8"/>
        <v>-2.2134117113015752</v>
      </c>
      <c r="Z40" s="30">
        <f t="shared" si="12"/>
        <v>0.29846930940692018</v>
      </c>
    </row>
    <row r="41" spans="2:26" x14ac:dyDescent="0.3">
      <c r="B41" s="53"/>
      <c r="C41" s="44" t="s">
        <v>144</v>
      </c>
      <c r="D41" s="45"/>
      <c r="E41" s="45"/>
      <c r="F41" s="8">
        <v>0</v>
      </c>
      <c r="G41" s="8">
        <f>(-CB_SMI_Mixto!C16/1000000)*G$25</f>
        <v>-9.0864947728070175E-2</v>
      </c>
      <c r="H41" s="8">
        <f>(-CB_SMI_Mixto!D16/1000000)*H$25</f>
        <v>-0.18172989545614038</v>
      </c>
      <c r="I41" s="8">
        <f>(-CB_SMI_Mixto!E16/1000000)*I$25</f>
        <v>-0.27259484318421046</v>
      </c>
      <c r="J41" s="8">
        <f>(-CB_SMI_Mixto!F16/1000000)*J$25</f>
        <v>-0.27350151686842111</v>
      </c>
      <c r="K41" s="8">
        <f>(-CB_SMI_Mixto!G16/1000000)*K$25</f>
        <v>-0.27442179065789468</v>
      </c>
      <c r="L41" s="8">
        <f>(-CB_SMI_Mixto!H16/1000000)*L$25</f>
        <v>-0.27534206444736836</v>
      </c>
      <c r="M41" s="8">
        <f>(-CB_SMI_Mixto!I16/1000000)*M$25</f>
        <v>-0.27626800494736842</v>
      </c>
      <c r="N41" s="8">
        <f>(-CB_SMI_Mixto!J16/1000000)*N$25</f>
        <v>-0.27719621213157886</v>
      </c>
      <c r="O41" s="8">
        <f>(-CB_SMI_Mixto!K16/1000000)*O$25</f>
        <v>-0.27812441931578946</v>
      </c>
      <c r="P41" s="8">
        <f>(-CB_SMI_Mixto!L16/1000000)*P$25</f>
        <v>-0.27905262650000001</v>
      </c>
      <c r="Q41" s="8">
        <f>(-CB_SMI_Mixto!M16/1000000)*Q$25</f>
        <v>-0.27998650039473683</v>
      </c>
      <c r="R41" s="8">
        <f>(-CB_SMI_Mixto!N16/1000000)*R$25</f>
        <v>-0.28092717434210523</v>
      </c>
      <c r="S41" s="8">
        <f>(-CB_SMI_Mixto!O16/1000000)*S$25</f>
        <v>-0.28187578168421051</v>
      </c>
      <c r="T41" s="8">
        <f>(-CB_SMI_Mixto!P16/1000000)*T$25</f>
        <v>-0.28283232242105261</v>
      </c>
      <c r="U41" s="8">
        <f>(-CB_SMI_Mixto!Q16/1000000)*U$25</f>
        <v>-0.2837979298947369</v>
      </c>
      <c r="W41" s="42">
        <f t="shared" si="10"/>
        <v>-2.4330137407803707</v>
      </c>
      <c r="X41" s="42">
        <f t="shared" si="11"/>
        <v>-0.25050981949200168</v>
      </c>
      <c r="Y41" s="42">
        <f t="shared" si="8"/>
        <v>-0.31414540353903792</v>
      </c>
      <c r="Z41" s="30">
        <f t="shared" si="12"/>
        <v>4.2361193432250616E-2</v>
      </c>
    </row>
    <row r="42" spans="2:26" x14ac:dyDescent="0.3">
      <c r="B42" s="53"/>
      <c r="C42" s="44" t="s">
        <v>61</v>
      </c>
      <c r="D42" s="45"/>
      <c r="E42" s="45"/>
      <c r="F42" s="8">
        <v>0</v>
      </c>
      <c r="G42" s="8">
        <f>(-CB_SMI_Mixto!C17/1000000)*G$25</f>
        <v>-9.9576522000000028E-2</v>
      </c>
      <c r="H42" s="8">
        <f>(-CB_SMI_Mixto!D17/1000000)*H$25</f>
        <v>-0.19915304400000014</v>
      </c>
      <c r="I42" s="8">
        <f>(-CB_SMI_Mixto!E17/1000000)*I$25</f>
        <v>-0.298729566</v>
      </c>
      <c r="J42" s="8">
        <f>(-CB_SMI_Mixto!F17/1000000)*J$25</f>
        <v>-0.2997231660000001</v>
      </c>
      <c r="K42" s="8">
        <f>(-CB_SMI_Mixto!G17/1000000)*K$25</f>
        <v>-0.30073167000000001</v>
      </c>
      <c r="L42" s="8">
        <f>(-CB_SMI_Mixto!H17/1000000)*L$25</f>
        <v>-0.30174017400000014</v>
      </c>
      <c r="M42" s="8">
        <f>(-CB_SMI_Mixto!I17/1000000)*M$25</f>
        <v>-0.302754888</v>
      </c>
      <c r="N42" s="8">
        <f>(-CB_SMI_Mixto!J17/1000000)*N$25</f>
        <v>-0.303772086</v>
      </c>
      <c r="O42" s="8">
        <f>(-CB_SMI_Mixto!K17/1000000)*O$25</f>
        <v>-0.30478928399999999</v>
      </c>
      <c r="P42" s="8">
        <f>(-CB_SMI_Mixto!L17/1000000)*P$25</f>
        <v>-0.3058064820000001</v>
      </c>
      <c r="Q42" s="8">
        <f>(-CB_SMI_Mixto!M17/1000000)*Q$25</f>
        <v>-0.30682988999999999</v>
      </c>
      <c r="R42" s="8">
        <f>(-CB_SMI_Mixto!N17/1000000)*R$25</f>
        <v>-0.30786075000000013</v>
      </c>
      <c r="S42" s="8">
        <f>(-CB_SMI_Mixto!O17/1000000)*S$25</f>
        <v>-0.30890030400000001</v>
      </c>
      <c r="T42" s="8">
        <f>(-CB_SMI_Mixto!P17/1000000)*T$25</f>
        <v>-0.30994855200000004</v>
      </c>
      <c r="U42" s="8">
        <f>(-CB_SMI_Mixto!Q17/1000000)*U$25</f>
        <v>-0.31100673599999995</v>
      </c>
      <c r="W42" s="42">
        <f t="shared" si="10"/>
        <v>-2.6662761861720212</v>
      </c>
      <c r="X42" s="42">
        <f t="shared" si="11"/>
        <v>-0.2745271655965012</v>
      </c>
      <c r="Y42" s="42">
        <f t="shared" si="8"/>
        <v>-0.34426373941598998</v>
      </c>
      <c r="Z42" s="30">
        <f t="shared" si="12"/>
        <v>4.6422525024461911E-2</v>
      </c>
    </row>
    <row r="43" spans="2:26" x14ac:dyDescent="0.3">
      <c r="B43" s="54"/>
      <c r="C43" s="55" t="s">
        <v>131</v>
      </c>
      <c r="D43" s="55"/>
      <c r="E43" s="55"/>
      <c r="F43" s="15">
        <f>SUM(F38:F42)</f>
        <v>0</v>
      </c>
      <c r="G43" s="15">
        <f>SUM(G38:G42)</f>
        <v>-2.1740191204123516</v>
      </c>
      <c r="H43" s="15">
        <f t="shared" ref="H43:T43" si="13">SUM(H38:H42)</f>
        <v>-4.3391618962658782</v>
      </c>
      <c r="I43" s="15">
        <f t="shared" si="13"/>
        <v>-6.4954161436738715</v>
      </c>
      <c r="J43" s="15">
        <f t="shared" si="13"/>
        <v>-6.5037046761973079</v>
      </c>
      <c r="K43" s="15">
        <f t="shared" si="13"/>
        <v>-6.5121175367085957</v>
      </c>
      <c r="L43" s="15">
        <f t="shared" si="13"/>
        <v>-6.5205303972198836</v>
      </c>
      <c r="M43" s="15">
        <f t="shared" si="13"/>
        <v>-6.5289950610594447</v>
      </c>
      <c r="N43" s="15">
        <f t="shared" si="13"/>
        <v>-6.5374804462303118</v>
      </c>
      <c r="O43" s="15">
        <f t="shared" si="13"/>
        <v>-6.5459658314011797</v>
      </c>
      <c r="P43" s="15">
        <f t="shared" si="13"/>
        <v>-6.5544512165720494</v>
      </c>
      <c r="Q43" s="15">
        <f t="shared" si="13"/>
        <v>-6.5629884050711889</v>
      </c>
      <c r="R43" s="15">
        <f t="shared" si="13"/>
        <v>-6.5715877575642541</v>
      </c>
      <c r="S43" s="15">
        <f t="shared" si="13"/>
        <v>-6.5802596347168985</v>
      </c>
      <c r="T43" s="15">
        <f t="shared" si="13"/>
        <v>-6.5890040365291247</v>
      </c>
      <c r="U43" s="15">
        <f>SUM(U38:U42)</f>
        <v>-6.5978313236665862</v>
      </c>
      <c r="W43" s="42">
        <f t="shared" si="10"/>
        <v>-57.43496685643558</v>
      </c>
      <c r="X43" s="42">
        <f t="shared" si="11"/>
        <v>-5.9136629352203851</v>
      </c>
      <c r="Y43" s="42">
        <f t="shared" si="8"/>
        <v>-7.4158770819679338</v>
      </c>
      <c r="Z43" s="30">
        <f t="shared" si="12"/>
        <v>1</v>
      </c>
    </row>
    <row r="44" spans="2:26" x14ac:dyDescent="0.3"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W44" s="42"/>
      <c r="X44" s="42"/>
      <c r="Y44" s="42"/>
    </row>
    <row r="45" spans="2:26" x14ac:dyDescent="0.3">
      <c r="B45" s="88" t="s">
        <v>155</v>
      </c>
      <c r="C45" s="55"/>
      <c r="D45" s="55"/>
      <c r="E45" s="55"/>
      <c r="F45" s="15">
        <f>F36+F43</f>
        <v>-4.6985093962631579</v>
      </c>
      <c r="G45" s="15">
        <f t="shared" ref="G45:U45" si="14">G36+G43</f>
        <v>-57.843124701809309</v>
      </c>
      <c r="H45" s="15">
        <f t="shared" si="14"/>
        <v>-60.008267477662834</v>
      </c>
      <c r="I45" s="15">
        <f t="shared" si="14"/>
        <v>-62.150152229209105</v>
      </c>
      <c r="J45" s="15">
        <f t="shared" si="14"/>
        <v>-7.0837969364571327</v>
      </c>
      <c r="K45" s="15">
        <f t="shared" si="14"/>
        <v>-7.0998036236708302</v>
      </c>
      <c r="L45" s="15">
        <f t="shared" si="14"/>
        <v>-7.108216484182118</v>
      </c>
      <c r="M45" s="15">
        <f t="shared" si="14"/>
        <v>-7.1205545225087663</v>
      </c>
      <c r="N45" s="15">
        <f t="shared" si="14"/>
        <v>-7.1305145515743709</v>
      </c>
      <c r="O45" s="15">
        <f t="shared" si="14"/>
        <v>-7.1389999367452388</v>
      </c>
      <c r="P45" s="15">
        <f t="shared" si="14"/>
        <v>-7.1474853219161085</v>
      </c>
      <c r="Q45" s="15">
        <f t="shared" si="14"/>
        <v>-7.1598958849023351</v>
      </c>
      <c r="R45" s="15">
        <f t="shared" si="14"/>
        <v>-7.1731681887466054</v>
      </c>
      <c r="S45" s="15">
        <f t="shared" si="14"/>
        <v>-7.1866559271978225</v>
      </c>
      <c r="T45" s="15">
        <f t="shared" si="14"/>
        <v>-7.2001539353918735</v>
      </c>
      <c r="U45" s="15">
        <f t="shared" si="14"/>
        <v>-7.2150043079417792</v>
      </c>
      <c r="W45" s="42">
        <f>NPV($D$67,G45:U45)+F45</f>
        <v>-215.11174241878794</v>
      </c>
      <c r="X45" s="42">
        <f>PMT($D$67,15,-W45)</f>
        <v>-22.148499558681692</v>
      </c>
      <c r="Y45" s="42">
        <f t="shared" si="8"/>
        <v>-27.774756876819406</v>
      </c>
    </row>
    <row r="46" spans="2:26" x14ac:dyDescent="0.3">
      <c r="B46" s="9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W46" s="42"/>
      <c r="X46" s="42"/>
      <c r="Y46" s="42"/>
    </row>
    <row r="47" spans="2:26" x14ac:dyDescent="0.3">
      <c r="B47" s="74" t="s">
        <v>120</v>
      </c>
      <c r="C47" s="44" t="s">
        <v>112</v>
      </c>
      <c r="D47" s="45"/>
      <c r="E47" s="45"/>
      <c r="F47" s="8">
        <v>0</v>
      </c>
      <c r="G47" s="8">
        <f>(CB_SMI_Mixto!C18/1000000)*G$25</f>
        <v>0</v>
      </c>
      <c r="H47" s="8">
        <f>(CB_SMI_Mixto!D18/1000000)*H$25</f>
        <v>0</v>
      </c>
      <c r="I47" s="8">
        <f>(CB_SMI_Mixto!E18/1000000)*I$25</f>
        <v>0</v>
      </c>
      <c r="J47" s="8">
        <f>(CB_SMI_Mixto!F18/1000000)*J$25</f>
        <v>0</v>
      </c>
      <c r="K47" s="8">
        <f>(CB_SMI_Mixto!G18/1000000)*K$25</f>
        <v>0</v>
      </c>
      <c r="L47" s="8">
        <f>(CB_SMI_Mixto!H18/1000000)*L$25</f>
        <v>0</v>
      </c>
      <c r="M47" s="8">
        <f>(CB_SMI_Mixto!I18/1000000)*M$25</f>
        <v>0</v>
      </c>
      <c r="N47" s="8">
        <f>(CB_SMI_Mixto!J18/1000000)*N$25</f>
        <v>0</v>
      </c>
      <c r="O47" s="8">
        <f>(CB_SMI_Mixto!K18/1000000)*O$25</f>
        <v>0</v>
      </c>
      <c r="P47" s="8">
        <f>(CB_SMI_Mixto!L18/1000000)*P$25</f>
        <v>0</v>
      </c>
      <c r="Q47" s="8">
        <f>(CB_SMI_Mixto!M18/1000000)*Q$25</f>
        <v>0</v>
      </c>
      <c r="R47" s="8">
        <f>(CB_SMI_Mixto!N18/1000000)*R$25</f>
        <v>0</v>
      </c>
      <c r="S47" s="8">
        <f>(CB_SMI_Mixto!O18/1000000)*S$25</f>
        <v>0</v>
      </c>
      <c r="T47" s="8">
        <f>(CB_SMI_Mixto!P18/1000000)*T$25</f>
        <v>0</v>
      </c>
      <c r="U47" s="8">
        <f>(CB_SMI_Mixto!Q18/1000000)*U$25</f>
        <v>0</v>
      </c>
      <c r="V47" s="30"/>
      <c r="W47" s="42">
        <f>NPV($D$67,G47:U47)+F47</f>
        <v>0</v>
      </c>
      <c r="X47" s="42">
        <f t="shared" ref="X47:X56" si="15">PMT($D$67,15,-W47)</f>
        <v>0</v>
      </c>
      <c r="Y47" s="42">
        <f>W47*1000000/7744865</f>
        <v>0</v>
      </c>
      <c r="Z47" s="30">
        <f>W47/$W$56</f>
        <v>0</v>
      </c>
    </row>
    <row r="48" spans="2:26" x14ac:dyDescent="0.3">
      <c r="B48" s="75"/>
      <c r="C48" s="44" t="s">
        <v>62</v>
      </c>
      <c r="D48" s="45"/>
      <c r="E48" s="45"/>
      <c r="F48" s="8">
        <v>0</v>
      </c>
      <c r="G48" s="8">
        <f>(CB_SMI_Mixto!C19/1000000)*G$25</f>
        <v>0</v>
      </c>
      <c r="H48" s="8">
        <f>(CB_SMI_Mixto!D19/1000000)*H$25</f>
        <v>0</v>
      </c>
      <c r="I48" s="8">
        <f>(CB_SMI_Mixto!E19/1000000)*I$25</f>
        <v>0</v>
      </c>
      <c r="J48" s="8">
        <f>(CB_SMI_Mixto!F19/1000000)*J$25</f>
        <v>0</v>
      </c>
      <c r="K48" s="8">
        <f>(CB_SMI_Mixto!G19/1000000)*K$25</f>
        <v>0</v>
      </c>
      <c r="L48" s="8">
        <f>(CB_SMI_Mixto!H19/1000000)*L$25</f>
        <v>0</v>
      </c>
      <c r="M48" s="8">
        <f>(CB_SMI_Mixto!I19/1000000)*M$25</f>
        <v>0</v>
      </c>
      <c r="N48" s="8">
        <f>(CB_SMI_Mixto!J19/1000000)*N$25</f>
        <v>0</v>
      </c>
      <c r="O48" s="8">
        <f>(CB_SMI_Mixto!K19/1000000)*O$25</f>
        <v>0</v>
      </c>
      <c r="P48" s="8">
        <f>(CB_SMI_Mixto!L19/1000000)*P$25</f>
        <v>0</v>
      </c>
      <c r="Q48" s="8">
        <f>(CB_SMI_Mixto!M19/1000000)*Q$25</f>
        <v>0</v>
      </c>
      <c r="R48" s="8">
        <f>(CB_SMI_Mixto!N19/1000000)*R$25</f>
        <v>0</v>
      </c>
      <c r="S48" s="8">
        <f>(CB_SMI_Mixto!O19/1000000)*S$25</f>
        <v>0</v>
      </c>
      <c r="T48" s="8">
        <f>(CB_SMI_Mixto!P19/1000000)*T$25</f>
        <v>0</v>
      </c>
      <c r="U48" s="8">
        <f>(CB_SMI_Mixto!Q19/1000000)*U$25</f>
        <v>0</v>
      </c>
      <c r="V48" s="30"/>
      <c r="W48" s="42">
        <f t="shared" ref="W48:W55" si="16">NPV($D$67,G48:U48)+F48</f>
        <v>0</v>
      </c>
      <c r="X48" s="42">
        <f t="shared" si="15"/>
        <v>0</v>
      </c>
      <c r="Y48" s="42">
        <f t="shared" si="8"/>
        <v>0</v>
      </c>
      <c r="Z48" s="30">
        <f t="shared" ref="Z48:Z56" si="17">W48/$W$56</f>
        <v>0</v>
      </c>
    </row>
    <row r="49" spans="2:26" x14ac:dyDescent="0.3">
      <c r="B49" s="75"/>
      <c r="C49" s="44" t="s">
        <v>153</v>
      </c>
      <c r="D49" s="45"/>
      <c r="E49" s="45"/>
      <c r="F49" s="8">
        <v>0</v>
      </c>
      <c r="G49" s="8">
        <f>(CB_SMI_Mixto!C20/1000000)*G$25</f>
        <v>0</v>
      </c>
      <c r="H49" s="8">
        <f>(CB_SMI_Mixto!D20/1000000)*H$25</f>
        <v>0</v>
      </c>
      <c r="I49" s="8">
        <f>(CB_SMI_Mixto!E20/1000000)*I$25</f>
        <v>0</v>
      </c>
      <c r="J49" s="8">
        <f>(CB_SMI_Mixto!F20/1000000)*J$25</f>
        <v>0</v>
      </c>
      <c r="K49" s="8">
        <f>(CB_SMI_Mixto!G20/1000000)*K$25</f>
        <v>0</v>
      </c>
      <c r="L49" s="8">
        <f>(CB_SMI_Mixto!H20/1000000)*L$25</f>
        <v>0</v>
      </c>
      <c r="M49" s="8">
        <f>(CB_SMI_Mixto!I20/1000000)*M$25</f>
        <v>0</v>
      </c>
      <c r="N49" s="8">
        <f>(CB_SMI_Mixto!J20/1000000)*N$25</f>
        <v>0</v>
      </c>
      <c r="O49" s="8">
        <f>(CB_SMI_Mixto!K20/1000000)*O$25</f>
        <v>0</v>
      </c>
      <c r="P49" s="8">
        <f>(CB_SMI_Mixto!L20/1000000)*P$25</f>
        <v>0</v>
      </c>
      <c r="Q49" s="8">
        <f>(CB_SMI_Mixto!M20/1000000)*Q$25</f>
        <v>0</v>
      </c>
      <c r="R49" s="8">
        <f>(CB_SMI_Mixto!N20/1000000)*R$25</f>
        <v>0</v>
      </c>
      <c r="S49" s="8">
        <f>(CB_SMI_Mixto!O20/1000000)*S$25</f>
        <v>0</v>
      </c>
      <c r="T49" s="8">
        <f>(CB_SMI_Mixto!P20/1000000)*T$25</f>
        <v>0</v>
      </c>
      <c r="U49" s="8">
        <f>(CB_SMI_Mixto!Q20/1000000)*U$25</f>
        <v>0</v>
      </c>
      <c r="V49" s="30"/>
      <c r="W49" s="42">
        <f t="shared" si="16"/>
        <v>0</v>
      </c>
      <c r="X49" s="42">
        <f t="shared" si="15"/>
        <v>0</v>
      </c>
      <c r="Y49" s="42">
        <f t="shared" si="8"/>
        <v>0</v>
      </c>
      <c r="Z49" s="30">
        <f t="shared" si="17"/>
        <v>0</v>
      </c>
    </row>
    <row r="50" spans="2:26" x14ac:dyDescent="0.3">
      <c r="B50" s="75"/>
      <c r="C50" s="44" t="s">
        <v>96</v>
      </c>
      <c r="D50" s="45"/>
      <c r="E50" s="45"/>
      <c r="F50" s="8">
        <v>0</v>
      </c>
      <c r="G50" s="8">
        <f>(CB_SMI_Mixto!C21/1000000)*G$25</f>
        <v>0.71829259343440299</v>
      </c>
      <c r="H50" s="8">
        <f>(CB_SMI_Mixto!D21/1000000)*H$25</f>
        <v>1.431839017432994</v>
      </c>
      <c r="I50" s="8">
        <f>(CB_SMI_Mixto!E21/1000000)*I$25</f>
        <v>2.1406327572880208</v>
      </c>
      <c r="J50" s="8">
        <f>(CB_SMI_Mixto!F21/1000000)*J$25</f>
        <v>2.1406327572880208</v>
      </c>
      <c r="K50" s="8">
        <f>(CB_SMI_Mixto!G21/1000000)*K$25</f>
        <v>2.1406327572880208</v>
      </c>
      <c r="L50" s="8">
        <f>(CB_SMI_Mixto!H21/1000000)*L$25</f>
        <v>2.1406327572880208</v>
      </c>
      <c r="M50" s="8">
        <f>(CB_SMI_Mixto!I21/1000000)*M$25</f>
        <v>2.1406327572880208</v>
      </c>
      <c r="N50" s="8">
        <f>(CB_SMI_Mixto!J21/1000000)*N$25</f>
        <v>2.1406327572880208</v>
      </c>
      <c r="O50" s="8">
        <f>(CB_SMI_Mixto!K21/1000000)*O$25</f>
        <v>2.1406327572880208</v>
      </c>
      <c r="P50" s="8">
        <f>(CB_SMI_Mixto!L21/1000000)*P$25</f>
        <v>2.1406327572880208</v>
      </c>
      <c r="Q50" s="8">
        <f>(CB_SMI_Mixto!M21/1000000)*Q$25</f>
        <v>2.1406327572880208</v>
      </c>
      <c r="R50" s="8">
        <f>(CB_SMI_Mixto!N21/1000000)*R$25</f>
        <v>2.1406327572880208</v>
      </c>
      <c r="S50" s="8">
        <f>(CB_SMI_Mixto!O21/1000000)*S$25</f>
        <v>2.1406327572880208</v>
      </c>
      <c r="T50" s="8">
        <f>(CB_SMI_Mixto!P21/1000000)*T$25</f>
        <v>2.1406327572880208</v>
      </c>
      <c r="U50" s="8">
        <f>(CB_SMI_Mixto!Q21/1000000)*U$25</f>
        <v>2.1406327572880208</v>
      </c>
      <c r="V50" s="30"/>
      <c r="W50" s="42">
        <f t="shared" si="16"/>
        <v>18.817704081662285</v>
      </c>
      <c r="X50" s="42">
        <f t="shared" si="15"/>
        <v>1.9375228235411184</v>
      </c>
      <c r="Y50" s="42">
        <f t="shared" si="8"/>
        <v>2.4297007219186244</v>
      </c>
      <c r="Z50" s="30">
        <f t="shared" si="17"/>
        <v>0.1228787844009936</v>
      </c>
    </row>
    <row r="51" spans="2:26" x14ac:dyDescent="0.3">
      <c r="B51" s="75"/>
      <c r="C51" s="44" t="s">
        <v>154</v>
      </c>
      <c r="D51" s="45"/>
      <c r="E51" s="45"/>
      <c r="F51" s="8">
        <v>0</v>
      </c>
      <c r="G51" s="8">
        <f>(CB_SMI_Mixto!C22/1000000)*G$25</f>
        <v>0</v>
      </c>
      <c r="H51" s="8">
        <f>(CB_SMI_Mixto!D22/1000000)*H$25</f>
        <v>0</v>
      </c>
      <c r="I51" s="8">
        <f>(CB_SMI_Mixto!E22/1000000)*I$25</f>
        <v>0</v>
      </c>
      <c r="J51" s="8">
        <f>(CB_SMI_Mixto!F22/1000000)*J$25</f>
        <v>0</v>
      </c>
      <c r="K51" s="8">
        <f>(CB_SMI_Mixto!G22/1000000)*K$25</f>
        <v>0</v>
      </c>
      <c r="L51" s="8">
        <f>(CB_SMI_Mixto!H22/1000000)*L$25</f>
        <v>0</v>
      </c>
      <c r="M51" s="8">
        <f>(CB_SMI_Mixto!I22/1000000)*M$25</f>
        <v>0</v>
      </c>
      <c r="N51" s="8">
        <f>(CB_SMI_Mixto!J22/1000000)*N$25</f>
        <v>0</v>
      </c>
      <c r="O51" s="8">
        <f>(CB_SMI_Mixto!K22/1000000)*O$25</f>
        <v>0</v>
      </c>
      <c r="P51" s="8">
        <f>(CB_SMI_Mixto!L22/1000000)*P$25</f>
        <v>0</v>
      </c>
      <c r="Q51" s="8">
        <f>(CB_SMI_Mixto!M22/1000000)*Q$25</f>
        <v>0</v>
      </c>
      <c r="R51" s="8">
        <f>(CB_SMI_Mixto!N22/1000000)*R$25</f>
        <v>0</v>
      </c>
      <c r="S51" s="8">
        <f>(CB_SMI_Mixto!O22/1000000)*S$25</f>
        <v>0</v>
      </c>
      <c r="T51" s="8">
        <f>(CB_SMI_Mixto!P22/1000000)*T$25</f>
        <v>0</v>
      </c>
      <c r="U51" s="8">
        <f>(CB_SMI_Mixto!Q22/1000000)*U$25</f>
        <v>0</v>
      </c>
      <c r="V51" s="30"/>
      <c r="W51" s="42">
        <f t="shared" si="16"/>
        <v>0</v>
      </c>
      <c r="X51" s="42">
        <f t="shared" si="15"/>
        <v>0</v>
      </c>
      <c r="Y51" s="42">
        <f t="shared" si="8"/>
        <v>0</v>
      </c>
      <c r="Z51" s="30">
        <f t="shared" si="17"/>
        <v>0</v>
      </c>
    </row>
    <row r="52" spans="2:26" x14ac:dyDescent="0.3">
      <c r="B52" s="75"/>
      <c r="C52" s="44" t="s">
        <v>98</v>
      </c>
      <c r="D52" s="45"/>
      <c r="E52" s="45"/>
      <c r="F52" s="8">
        <v>0</v>
      </c>
      <c r="G52" s="8">
        <f>(CB_SMI_Mixto!C23/1000000)*G$25</f>
        <v>0</v>
      </c>
      <c r="H52" s="8">
        <f>(CB_SMI_Mixto!D23/1000000)*H$25</f>
        <v>0</v>
      </c>
      <c r="I52" s="8">
        <f>(CB_SMI_Mixto!E23/1000000)*I$25</f>
        <v>0</v>
      </c>
      <c r="J52" s="8">
        <f>(CB_SMI_Mixto!F23/1000000)*J$25</f>
        <v>0</v>
      </c>
      <c r="K52" s="8">
        <f>(CB_SMI_Mixto!G23/1000000)*K$25</f>
        <v>0</v>
      </c>
      <c r="L52" s="8">
        <f>(CB_SMI_Mixto!H23/1000000)*L$25</f>
        <v>0</v>
      </c>
      <c r="M52" s="8">
        <f>(CB_SMI_Mixto!I23/1000000)*M$25</f>
        <v>0</v>
      </c>
      <c r="N52" s="8">
        <f>(CB_SMI_Mixto!J23/1000000)*N$25</f>
        <v>0</v>
      </c>
      <c r="O52" s="8">
        <f>(CB_SMI_Mixto!K23/1000000)*O$25</f>
        <v>0</v>
      </c>
      <c r="P52" s="8">
        <f>(CB_SMI_Mixto!L23/1000000)*P$25</f>
        <v>0</v>
      </c>
      <c r="Q52" s="8">
        <f>(CB_SMI_Mixto!M23/1000000)*Q$25</f>
        <v>0</v>
      </c>
      <c r="R52" s="8">
        <f>(CB_SMI_Mixto!N23/1000000)*R$25</f>
        <v>0</v>
      </c>
      <c r="S52" s="8">
        <f>(CB_SMI_Mixto!O23/1000000)*S$25</f>
        <v>0</v>
      </c>
      <c r="T52" s="8">
        <f>(CB_SMI_Mixto!P23/1000000)*T$25</f>
        <v>0</v>
      </c>
      <c r="U52" s="8">
        <f>(CB_SMI_Mixto!Q23/1000000)*U$25</f>
        <v>0</v>
      </c>
      <c r="V52" s="30"/>
      <c r="W52" s="42">
        <f t="shared" si="16"/>
        <v>0</v>
      </c>
      <c r="X52" s="42">
        <f t="shared" si="15"/>
        <v>0</v>
      </c>
      <c r="Y52" s="42">
        <f t="shared" si="8"/>
        <v>0</v>
      </c>
      <c r="Z52" s="30">
        <f t="shared" si="17"/>
        <v>0</v>
      </c>
    </row>
    <row r="53" spans="2:26" x14ac:dyDescent="0.3">
      <c r="B53" s="75"/>
      <c r="C53" s="44" t="s">
        <v>63</v>
      </c>
      <c r="D53" s="45"/>
      <c r="E53" s="45"/>
      <c r="F53" s="8">
        <v>0</v>
      </c>
      <c r="G53" s="8">
        <f>(CB_SMI_Mixto!C24/1000000)*G$25</f>
        <v>0</v>
      </c>
      <c r="H53" s="8">
        <f>(CB_SMI_Mixto!D24/1000000)*H$25</f>
        <v>0</v>
      </c>
      <c r="I53" s="8">
        <f>(CB_SMI_Mixto!E24/1000000)*I$25</f>
        <v>0</v>
      </c>
      <c r="J53" s="8">
        <f>(CB_SMI_Mixto!F24/1000000)*J$25</f>
        <v>0</v>
      </c>
      <c r="K53" s="8">
        <f>(CB_SMI_Mixto!G24/1000000)*K$25</f>
        <v>0</v>
      </c>
      <c r="L53" s="8">
        <f>(CB_SMI_Mixto!H24/1000000)*L$25</f>
        <v>0</v>
      </c>
      <c r="M53" s="8">
        <f>(CB_SMI_Mixto!I24/1000000)*M$25</f>
        <v>0</v>
      </c>
      <c r="N53" s="8">
        <f>(CB_SMI_Mixto!J24/1000000)*N$25</f>
        <v>0</v>
      </c>
      <c r="O53" s="8">
        <f>(CB_SMI_Mixto!K24/1000000)*O$25</f>
        <v>0</v>
      </c>
      <c r="P53" s="8">
        <f>(CB_SMI_Mixto!L24/1000000)*P$25</f>
        <v>0</v>
      </c>
      <c r="Q53" s="8">
        <f>(CB_SMI_Mixto!M24/1000000)*Q$25</f>
        <v>0</v>
      </c>
      <c r="R53" s="8">
        <f>(CB_SMI_Mixto!N24/1000000)*R$25</f>
        <v>0</v>
      </c>
      <c r="S53" s="8">
        <f>(CB_SMI_Mixto!O24/1000000)*S$25</f>
        <v>0</v>
      </c>
      <c r="T53" s="8">
        <f>(CB_SMI_Mixto!P24/1000000)*T$25</f>
        <v>0</v>
      </c>
      <c r="U53" s="8">
        <f>(CB_SMI_Mixto!Q24/1000000)*U$25</f>
        <v>0</v>
      </c>
      <c r="V53" s="30"/>
      <c r="W53" s="42">
        <f t="shared" si="16"/>
        <v>0</v>
      </c>
      <c r="X53" s="42">
        <f t="shared" si="15"/>
        <v>0</v>
      </c>
      <c r="Y53" s="42">
        <f t="shared" si="8"/>
        <v>0</v>
      </c>
      <c r="Z53" s="30">
        <f t="shared" si="17"/>
        <v>0</v>
      </c>
    </row>
    <row r="54" spans="2:26" x14ac:dyDescent="0.3">
      <c r="B54" s="75"/>
      <c r="C54" s="44" t="s">
        <v>99</v>
      </c>
      <c r="D54" s="45"/>
      <c r="E54" s="45"/>
      <c r="F54" s="8">
        <v>0</v>
      </c>
      <c r="G54" s="8">
        <f>(CB_SMI_Mixto!C25/1000000)*G$25</f>
        <v>0</v>
      </c>
      <c r="H54" s="8">
        <f>(CB_SMI_Mixto!D25/1000000)*H$25</f>
        <v>0</v>
      </c>
      <c r="I54" s="8">
        <f>(CB_SMI_Mixto!E25/1000000)*I$25</f>
        <v>0</v>
      </c>
      <c r="J54" s="8">
        <f>(CB_SMI_Mixto!F25/1000000)*J$25</f>
        <v>0</v>
      </c>
      <c r="K54" s="8">
        <f>(CB_SMI_Mixto!G25/1000000)*K$25</f>
        <v>0</v>
      </c>
      <c r="L54" s="8">
        <f>(CB_SMI_Mixto!H25/1000000)*L$25</f>
        <v>0</v>
      </c>
      <c r="M54" s="8">
        <f>(CB_SMI_Mixto!I25/1000000)*M$25</f>
        <v>0</v>
      </c>
      <c r="N54" s="8">
        <f>(CB_SMI_Mixto!J25/1000000)*N$25</f>
        <v>0</v>
      </c>
      <c r="O54" s="8">
        <f>(CB_SMI_Mixto!K25/1000000)*O$25</f>
        <v>0</v>
      </c>
      <c r="P54" s="8">
        <f>(CB_SMI_Mixto!L25/1000000)*P$25</f>
        <v>0</v>
      </c>
      <c r="Q54" s="8">
        <f>(CB_SMI_Mixto!M25/1000000)*Q$25</f>
        <v>0</v>
      </c>
      <c r="R54" s="8">
        <f>(CB_SMI_Mixto!N25/1000000)*R$25</f>
        <v>0</v>
      </c>
      <c r="S54" s="8">
        <f>(CB_SMI_Mixto!O25/1000000)*S$25</f>
        <v>0</v>
      </c>
      <c r="T54" s="8">
        <f>(CB_SMI_Mixto!P25/1000000)*T$25</f>
        <v>0</v>
      </c>
      <c r="U54" s="8">
        <f>(CB_SMI_Mixto!Q25/1000000)*U$25</f>
        <v>0</v>
      </c>
      <c r="V54" s="30"/>
      <c r="W54" s="42">
        <f t="shared" si="16"/>
        <v>0</v>
      </c>
      <c r="X54" s="42">
        <f t="shared" si="15"/>
        <v>0</v>
      </c>
      <c r="Y54" s="42">
        <f t="shared" si="8"/>
        <v>0</v>
      </c>
      <c r="Z54" s="30">
        <f t="shared" si="17"/>
        <v>0</v>
      </c>
    </row>
    <row r="55" spans="2:26" x14ac:dyDescent="0.3">
      <c r="B55" s="75"/>
      <c r="C55" s="44" t="s">
        <v>97</v>
      </c>
      <c r="D55" s="45"/>
      <c r="E55" s="45"/>
      <c r="F55" s="8">
        <v>0</v>
      </c>
      <c r="G55" s="8">
        <f>(CB_SMI_Mixto!C26/1000000)*G$25</f>
        <v>5.0164844188723405</v>
      </c>
      <c r="H55" s="8">
        <f>(CB_SMI_Mixto!D26/1000000)*H$25</f>
        <v>10.007386456826573</v>
      </c>
      <c r="I55" s="8">
        <f>(CB_SMI_Mixto!E26/1000000)*I$25</f>
        <v>15.126163725</v>
      </c>
      <c r="J55" s="8">
        <f>(CB_SMI_Mixto!F26/1000000)*J$25</f>
        <v>15.161638425000001</v>
      </c>
      <c r="K55" s="8">
        <f>(CB_SMI_Mixto!G26/1000000)*K$25</f>
        <v>15.184728375000001</v>
      </c>
      <c r="L55" s="8">
        <f>(CB_SMI_Mixto!H26/1000000)*L$25</f>
        <v>15.2013525</v>
      </c>
      <c r="M55" s="8">
        <f>(CB_SMI_Mixto!I26/1000000)*M$25</f>
        <v>15.217575974999999</v>
      </c>
      <c r="N55" s="8">
        <f>(CB_SMI_Mixto!J26/1000000)*N$25</f>
        <v>15.343356974999999</v>
      </c>
      <c r="O55" s="8">
        <f>(CB_SMI_Mixto!K26/1000000)*O$25</f>
        <v>15.375860550000001</v>
      </c>
      <c r="P55" s="8">
        <f>(CB_SMI_Mixto!L26/1000000)*P$25</f>
        <v>15.401599574999999</v>
      </c>
      <c r="Q55" s="8">
        <f>(CB_SMI_Mixto!M26/1000000)*Q$25</f>
        <v>15.427400775000001</v>
      </c>
      <c r="R55" s="8">
        <f>(CB_SMI_Mixto!N26/1000000)*R$25</f>
        <v>15.4579956</v>
      </c>
      <c r="S55" s="8">
        <f>(CB_SMI_Mixto!O26/1000000)*S$25</f>
        <v>15.503510175000001</v>
      </c>
      <c r="T55" s="8">
        <f>(CB_SMI_Mixto!P26/1000000)*T$25</f>
        <v>15.549158775</v>
      </c>
      <c r="U55" s="8">
        <f>(CB_SMI_Mixto!Q26/1000000)*U$25</f>
        <v>15.5949417</v>
      </c>
      <c r="V55" s="30"/>
      <c r="W55" s="42">
        <f t="shared" si="16"/>
        <v>134.32267872236974</v>
      </c>
      <c r="X55" s="42">
        <f t="shared" si="15"/>
        <v>13.83023426313666</v>
      </c>
      <c r="Y55" s="42">
        <f t="shared" si="8"/>
        <v>17.343449979098374</v>
      </c>
      <c r="Z55" s="30">
        <f t="shared" si="17"/>
        <v>0.87712121559900613</v>
      </c>
    </row>
    <row r="56" spans="2:26" x14ac:dyDescent="0.3">
      <c r="B56" s="76"/>
      <c r="C56" s="77" t="s">
        <v>132</v>
      </c>
      <c r="D56" s="77"/>
      <c r="E56" s="77"/>
      <c r="F56" s="14">
        <f t="shared" ref="F56:T56" si="18">SUM(F47:F55)</f>
        <v>0</v>
      </c>
      <c r="G56" s="14">
        <f t="shared" si="18"/>
        <v>5.7347770123067434</v>
      </c>
      <c r="H56" s="14">
        <f t="shared" si="18"/>
        <v>11.439225474259567</v>
      </c>
      <c r="I56" s="14">
        <f t="shared" si="18"/>
        <v>17.266796482288022</v>
      </c>
      <c r="J56" s="14">
        <f t="shared" si="18"/>
        <v>17.302271182288024</v>
      </c>
      <c r="K56" s="14">
        <f t="shared" si="18"/>
        <v>17.325361132288023</v>
      </c>
      <c r="L56" s="14">
        <f t="shared" si="18"/>
        <v>17.341985257288023</v>
      </c>
      <c r="M56" s="14">
        <f t="shared" si="18"/>
        <v>17.35820873228802</v>
      </c>
      <c r="N56" s="14">
        <f t="shared" si="18"/>
        <v>17.48398973228802</v>
      </c>
      <c r="O56" s="14">
        <f t="shared" si="18"/>
        <v>17.516493307288023</v>
      </c>
      <c r="P56" s="14">
        <f t="shared" si="18"/>
        <v>17.54223233228802</v>
      </c>
      <c r="Q56" s="14">
        <f t="shared" si="18"/>
        <v>17.56803353228802</v>
      </c>
      <c r="R56" s="14">
        <f t="shared" si="18"/>
        <v>17.598628357288021</v>
      </c>
      <c r="S56" s="14">
        <f t="shared" si="18"/>
        <v>17.64414293228802</v>
      </c>
      <c r="T56" s="14">
        <f t="shared" si="18"/>
        <v>17.689791532288019</v>
      </c>
      <c r="U56" s="14">
        <f>SUM(U47:U55)</f>
        <v>17.735574457288021</v>
      </c>
      <c r="W56" s="42">
        <f>NPV($D$67,G56:U56)+F56</f>
        <v>153.14038280403207</v>
      </c>
      <c r="X56" s="42">
        <f t="shared" si="15"/>
        <v>15.767757086677783</v>
      </c>
      <c r="Y56" s="42">
        <f t="shared" si="8"/>
        <v>19.773150701017006</v>
      </c>
      <c r="Z56" s="30">
        <f t="shared" si="17"/>
        <v>1</v>
      </c>
    </row>
    <row r="58" spans="2:26" x14ac:dyDescent="0.3">
      <c r="B58" s="72" t="s">
        <v>64</v>
      </c>
      <c r="C58" s="73"/>
      <c r="D58" s="73"/>
      <c r="E58" s="73"/>
      <c r="F58" s="31">
        <f>F45+F56</f>
        <v>-4.6985093962631579</v>
      </c>
      <c r="G58" s="31">
        <f>G45+G56</f>
        <v>-52.108347689502565</v>
      </c>
      <c r="H58" s="31">
        <f t="shared" ref="H58:U58" si="19">H45+H56</f>
        <v>-48.569042003403268</v>
      </c>
      <c r="I58" s="31">
        <f t="shared" si="19"/>
        <v>-44.883355746921083</v>
      </c>
      <c r="J58" s="31">
        <f t="shared" si="19"/>
        <v>10.21847424583089</v>
      </c>
      <c r="K58" s="31">
        <f t="shared" si="19"/>
        <v>10.225557508617193</v>
      </c>
      <c r="L58" s="31">
        <f t="shared" si="19"/>
        <v>10.233768773105904</v>
      </c>
      <c r="M58" s="31">
        <f t="shared" si="19"/>
        <v>10.237654209779254</v>
      </c>
      <c r="N58" s="31">
        <f t="shared" si="19"/>
        <v>10.353475180713648</v>
      </c>
      <c r="O58" s="31">
        <f t="shared" si="19"/>
        <v>10.377493370542783</v>
      </c>
      <c r="P58" s="31">
        <f t="shared" si="19"/>
        <v>10.394747010371912</v>
      </c>
      <c r="Q58" s="31">
        <f t="shared" si="19"/>
        <v>10.408137647385685</v>
      </c>
      <c r="R58" s="31">
        <f t="shared" si="19"/>
        <v>10.425460168541417</v>
      </c>
      <c r="S58" s="31">
        <f t="shared" si="19"/>
        <v>10.457487005090197</v>
      </c>
      <c r="T58" s="31">
        <f t="shared" si="19"/>
        <v>10.489637596896145</v>
      </c>
      <c r="U58" s="31">
        <f t="shared" si="19"/>
        <v>10.520570149346241</v>
      </c>
    </row>
    <row r="60" spans="2:26" x14ac:dyDescent="0.3">
      <c r="B60" s="72" t="s">
        <v>156</v>
      </c>
      <c r="C60" s="73"/>
      <c r="D60" s="73"/>
      <c r="E60" s="73"/>
      <c r="F60" s="31">
        <v>0</v>
      </c>
      <c r="G60" s="31">
        <f>F61</f>
        <v>-4.6985093962631579</v>
      </c>
      <c r="H60" s="31">
        <f t="shared" ref="H60:U60" si="20">G61</f>
        <v>-56.806857085765721</v>
      </c>
      <c r="I60" s="31">
        <f t="shared" si="20"/>
        <v>-105.375899089169</v>
      </c>
      <c r="J60" s="31">
        <f t="shared" si="20"/>
        <v>-150.25925483609007</v>
      </c>
      <c r="K60" s="31">
        <f t="shared" si="20"/>
        <v>-140.04078059025917</v>
      </c>
      <c r="L60" s="31">
        <f>K61</f>
        <v>-129.81522308164199</v>
      </c>
      <c r="M60" s="31">
        <f t="shared" si="20"/>
        <v>-119.58145430853608</v>
      </c>
      <c r="N60" s="31">
        <f t="shared" si="20"/>
        <v>-109.34380009875683</v>
      </c>
      <c r="O60" s="31">
        <f t="shared" si="20"/>
        <v>-98.990324918043186</v>
      </c>
      <c r="P60" s="31">
        <f t="shared" si="20"/>
        <v>-88.612831547500406</v>
      </c>
      <c r="Q60" s="31">
        <f t="shared" si="20"/>
        <v>-78.21808453712849</v>
      </c>
      <c r="R60" s="31">
        <f t="shared" si="20"/>
        <v>-67.809946889742804</v>
      </c>
      <c r="S60" s="31">
        <f t="shared" si="20"/>
        <v>-57.384486721201384</v>
      </c>
      <c r="T60" s="31">
        <f t="shared" si="20"/>
        <v>-46.926999716111183</v>
      </c>
      <c r="U60" s="31">
        <f t="shared" si="20"/>
        <v>-36.437362119215038</v>
      </c>
    </row>
    <row r="61" spans="2:26" x14ac:dyDescent="0.3">
      <c r="B61" s="72" t="s">
        <v>109</v>
      </c>
      <c r="C61" s="73"/>
      <c r="D61" s="73"/>
      <c r="E61" s="73"/>
      <c r="F61" s="31">
        <f>F58+F60</f>
        <v>-4.6985093962631579</v>
      </c>
      <c r="G61" s="31">
        <f>G58+G60</f>
        <v>-56.806857085765721</v>
      </c>
      <c r="H61" s="31">
        <f t="shared" ref="H61:U61" si="21">H58+H60</f>
        <v>-105.375899089169</v>
      </c>
      <c r="I61" s="31">
        <f t="shared" si="21"/>
        <v>-150.25925483609007</v>
      </c>
      <c r="J61" s="31">
        <f t="shared" si="21"/>
        <v>-140.04078059025917</v>
      </c>
      <c r="K61" s="31">
        <f t="shared" si="21"/>
        <v>-129.81522308164199</v>
      </c>
      <c r="L61" s="31">
        <f t="shared" si="21"/>
        <v>-119.58145430853608</v>
      </c>
      <c r="M61" s="31">
        <f t="shared" si="21"/>
        <v>-109.34380009875683</v>
      </c>
      <c r="N61" s="31">
        <f t="shared" si="21"/>
        <v>-98.990324918043186</v>
      </c>
      <c r="O61" s="31">
        <f t="shared" si="21"/>
        <v>-88.612831547500406</v>
      </c>
      <c r="P61" s="31">
        <f t="shared" si="21"/>
        <v>-78.21808453712849</v>
      </c>
      <c r="Q61" s="31">
        <f t="shared" si="21"/>
        <v>-67.809946889742804</v>
      </c>
      <c r="R61" s="31">
        <f t="shared" si="21"/>
        <v>-57.384486721201384</v>
      </c>
      <c r="S61" s="31">
        <f t="shared" si="21"/>
        <v>-46.926999716111183</v>
      </c>
      <c r="T61" s="31">
        <f t="shared" si="21"/>
        <v>-36.437362119215038</v>
      </c>
      <c r="U61" s="31">
        <f t="shared" si="21"/>
        <v>-25.916791969868797</v>
      </c>
    </row>
    <row r="62" spans="2:26" x14ac:dyDescent="0.3"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</row>
    <row r="63" spans="2:26" x14ac:dyDescent="0.3">
      <c r="B63" s="78" t="s">
        <v>157</v>
      </c>
      <c r="C63" s="79"/>
      <c r="D63" s="79"/>
      <c r="E63" s="79"/>
      <c r="F63" s="33">
        <f>F58/(1+0.06)^F27</f>
        <v>-4.6985093962631579</v>
      </c>
      <c r="G63" s="33">
        <f>G58/(1+0.06)^G27</f>
        <v>-49.158818575002421</v>
      </c>
      <c r="H63" s="33">
        <f t="shared" ref="H63:T63" si="22">H58/(1+0.06)^H27</f>
        <v>-43.226274477930993</v>
      </c>
      <c r="I63" s="33">
        <f t="shared" si="22"/>
        <v>-37.684930972313616</v>
      </c>
      <c r="J63" s="33">
        <f t="shared" si="22"/>
        <v>8.0939886980835585</v>
      </c>
      <c r="K63" s="33">
        <f t="shared" si="22"/>
        <v>7.6411314204260723</v>
      </c>
      <c r="L63" s="33">
        <f t="shared" si="22"/>
        <v>7.2144031650234215</v>
      </c>
      <c r="M63" s="33">
        <f>M58/(1+0.06)^M27</f>
        <v>6.8086247590193487</v>
      </c>
      <c r="N63" s="33">
        <f t="shared" si="22"/>
        <v>6.4958984147602958</v>
      </c>
      <c r="O63" s="33">
        <f t="shared" si="22"/>
        <v>6.142422381317294</v>
      </c>
      <c r="P63" s="33">
        <f t="shared" si="22"/>
        <v>5.8043724379457124</v>
      </c>
      <c r="Q63" s="33">
        <f t="shared" si="22"/>
        <v>5.4828770752016682</v>
      </c>
      <c r="R63" s="33">
        <f t="shared" si="22"/>
        <v>5.1811343049573964</v>
      </c>
      <c r="S63" s="33">
        <f t="shared" si="22"/>
        <v>4.9028779825796489</v>
      </c>
      <c r="T63" s="33">
        <f t="shared" si="22"/>
        <v>4.6395768251004395</v>
      </c>
      <c r="U63" s="33">
        <f>U58/(1+0.06)^U27</f>
        <v>4.3898663423394719</v>
      </c>
    </row>
    <row r="64" spans="2:26" x14ac:dyDescent="0.3">
      <c r="B64" s="78" t="s">
        <v>158</v>
      </c>
      <c r="C64" s="79"/>
      <c r="D64" s="79"/>
      <c r="E64" s="79"/>
      <c r="F64" s="33">
        <f>F63</f>
        <v>-4.6985093962631579</v>
      </c>
      <c r="G64" s="33">
        <f>F64+G63</f>
        <v>-53.857327971265576</v>
      </c>
      <c r="H64" s="33">
        <f t="shared" ref="H64:U64" si="23">G64+H63</f>
        <v>-97.083602449196576</v>
      </c>
      <c r="I64" s="33">
        <f t="shared" si="23"/>
        <v>-134.7685334215102</v>
      </c>
      <c r="J64" s="33">
        <f t="shared" si="23"/>
        <v>-126.67454472342664</v>
      </c>
      <c r="K64" s="33">
        <f t="shared" si="23"/>
        <v>-119.03341330300056</v>
      </c>
      <c r="L64" s="33">
        <f t="shared" si="23"/>
        <v>-111.81901013797713</v>
      </c>
      <c r="M64" s="33">
        <f t="shared" si="23"/>
        <v>-105.01038537895778</v>
      </c>
      <c r="N64" s="33">
        <f t="shared" si="23"/>
        <v>-98.514486964197488</v>
      </c>
      <c r="O64" s="33">
        <f t="shared" si="23"/>
        <v>-92.372064582880199</v>
      </c>
      <c r="P64" s="33">
        <f t="shared" si="23"/>
        <v>-86.567692144934483</v>
      </c>
      <c r="Q64" s="33">
        <f t="shared" si="23"/>
        <v>-81.084815069732812</v>
      </c>
      <c r="R64" s="33">
        <f t="shared" si="23"/>
        <v>-75.903680764775416</v>
      </c>
      <c r="S64" s="33">
        <f t="shared" si="23"/>
        <v>-71.000802782195763</v>
      </c>
      <c r="T64" s="33">
        <f t="shared" si="23"/>
        <v>-66.361225957095328</v>
      </c>
      <c r="U64" s="33">
        <f t="shared" si="23"/>
        <v>-61.971359614755855</v>
      </c>
    </row>
    <row r="67" spans="2:20" x14ac:dyDescent="0.3">
      <c r="B67" s="85" t="s">
        <v>159</v>
      </c>
      <c r="C67" s="85"/>
      <c r="D67" s="34">
        <f>J4</f>
        <v>0.06</v>
      </c>
      <c r="H67" s="93" t="s">
        <v>160</v>
      </c>
      <c r="I67" s="93"/>
      <c r="J67" s="93" t="s">
        <v>161</v>
      </c>
      <c r="K67" s="93"/>
      <c r="L67" s="93" t="s">
        <v>162</v>
      </c>
      <c r="M67" s="93"/>
    </row>
    <row r="68" spans="2:20" x14ac:dyDescent="0.3">
      <c r="B68" s="62"/>
      <c r="C68" s="62"/>
      <c r="F68" s="100" t="s">
        <v>163</v>
      </c>
      <c r="G68" s="100"/>
      <c r="H68" s="94">
        <f>NPV(D67,G45:U45)+F45</f>
        <v>-215.11174241878794</v>
      </c>
      <c r="I68" s="94"/>
      <c r="J68" s="94">
        <f>H68*1000000/$D$79</f>
        <v>-27.788585033503754</v>
      </c>
      <c r="K68" s="94"/>
      <c r="L68" s="95">
        <f>J68*$S$4</f>
        <v>-26659.256937742161</v>
      </c>
      <c r="M68" s="95"/>
      <c r="S68" s="6"/>
      <c r="T68" s="6"/>
    </row>
    <row r="69" spans="2:20" x14ac:dyDescent="0.3">
      <c r="B69" s="80" t="s">
        <v>110</v>
      </c>
      <c r="C69" s="80"/>
      <c r="D69" s="36">
        <f>NPV(D67,G58:U58)+F58</f>
        <v>-61.971359614755855</v>
      </c>
      <c r="F69" s="101" t="s">
        <v>164</v>
      </c>
      <c r="G69" s="101"/>
      <c r="H69" s="89">
        <f>PMT(D67,15,-H68)</f>
        <v>-22.148499558681692</v>
      </c>
      <c r="I69" s="89"/>
      <c r="J69" s="89">
        <f>H69*1000000/$D$79</f>
        <v>-2.8611895214567831</v>
      </c>
      <c r="K69" s="89"/>
      <c r="L69" s="90">
        <f t="shared" ref="L69" si="24">J69*$S$4</f>
        <v>-2744.9107793047792</v>
      </c>
      <c r="M69" s="90"/>
    </row>
    <row r="70" spans="2:20" x14ac:dyDescent="0.3">
      <c r="B70" s="80" t="s">
        <v>111</v>
      </c>
      <c r="C70" s="80"/>
      <c r="D70" s="37">
        <f>IRR(F58:U58)</f>
        <v>-2.4041098720778531E-2</v>
      </c>
      <c r="F70" s="102" t="s">
        <v>165</v>
      </c>
      <c r="G70" s="102"/>
      <c r="H70" s="91">
        <f>H69/12</f>
        <v>-1.8457082965568077</v>
      </c>
      <c r="I70" s="91"/>
      <c r="J70" s="91">
        <f t="shared" ref="J70" si="25">J69/12</f>
        <v>-0.2384324601213986</v>
      </c>
      <c r="K70" s="91"/>
      <c r="L70" s="92">
        <f>L69/12</f>
        <v>-228.74256494206494</v>
      </c>
      <c r="M70" s="92"/>
    </row>
    <row r="71" spans="2:20" x14ac:dyDescent="0.3">
      <c r="B71" s="80" t="s">
        <v>166</v>
      </c>
      <c r="C71" s="80"/>
      <c r="D71" s="38">
        <f>NPV(D67,G56:U56)/-(F36+NPV(D67,G36:U36)+NPV(D67,G43:U43))</f>
        <v>0.71191084727440146</v>
      </c>
      <c r="F71" s="103"/>
      <c r="G71" s="103"/>
      <c r="L71" s="39"/>
      <c r="M71" s="39"/>
    </row>
    <row r="72" spans="2:20" x14ac:dyDescent="0.3">
      <c r="B72" s="62"/>
      <c r="C72" s="62"/>
      <c r="F72" s="104" t="s">
        <v>167</v>
      </c>
      <c r="G72" s="104"/>
      <c r="H72" s="94">
        <f>NPV(D67,G56:U56)+F56</f>
        <v>153.14038280403207</v>
      </c>
      <c r="I72" s="94"/>
      <c r="J72" s="94">
        <f>H72*1000000/$D$79</f>
        <v>19.7829951157584</v>
      </c>
      <c r="K72" s="94"/>
      <c r="L72" s="95">
        <f>J72*$S$4</f>
        <v>18979.014194253978</v>
      </c>
      <c r="M72" s="95"/>
    </row>
    <row r="73" spans="2:20" x14ac:dyDescent="0.3">
      <c r="B73" s="80" t="s">
        <v>168</v>
      </c>
      <c r="C73" s="80"/>
      <c r="D73" s="4">
        <v>2527114</v>
      </c>
      <c r="F73" s="105" t="s">
        <v>169</v>
      </c>
      <c r="G73" s="105"/>
      <c r="H73" s="89">
        <f>PMT(D67,15,-H72)</f>
        <v>15.767757086677783</v>
      </c>
      <c r="I73" s="89"/>
      <c r="J73" s="89">
        <f>H73*1000000/$D$79</f>
        <v>2.0369118564329365</v>
      </c>
      <c r="K73" s="89"/>
      <c r="L73" s="90">
        <f>J73*$S$4</f>
        <v>1954.131758587502</v>
      </c>
      <c r="M73" s="90"/>
    </row>
    <row r="74" spans="2:20" x14ac:dyDescent="0.3">
      <c r="B74" s="80" t="s">
        <v>170</v>
      </c>
      <c r="C74" s="80"/>
      <c r="D74" s="4">
        <v>2158536</v>
      </c>
      <c r="F74" s="106" t="s">
        <v>171</v>
      </c>
      <c r="G74" s="106"/>
      <c r="H74" s="96">
        <f>H73/12</f>
        <v>1.3139797572231486</v>
      </c>
      <c r="I74" s="96"/>
      <c r="J74" s="96">
        <f t="shared" ref="J74" si="26">J73/12</f>
        <v>0.16974265470274472</v>
      </c>
      <c r="K74" s="96"/>
      <c r="L74" s="97">
        <f>L73/12</f>
        <v>162.84431321562516</v>
      </c>
      <c r="M74" s="97"/>
    </row>
    <row r="75" spans="2:20" x14ac:dyDescent="0.3">
      <c r="B75" s="80" t="s">
        <v>172</v>
      </c>
      <c r="C75" s="80"/>
      <c r="D75" s="4">
        <v>1173397</v>
      </c>
      <c r="F75" s="103"/>
      <c r="G75" s="103"/>
      <c r="L75" s="39"/>
      <c r="M75" s="39"/>
    </row>
    <row r="76" spans="2:20" x14ac:dyDescent="0.3">
      <c r="B76" s="80" t="s">
        <v>173</v>
      </c>
      <c r="C76" s="80"/>
      <c r="D76" s="4">
        <v>1288141</v>
      </c>
      <c r="F76" s="107" t="s">
        <v>174</v>
      </c>
      <c r="G76" s="107"/>
      <c r="H76" s="94">
        <f>H72+H68</f>
        <v>-61.971359614755869</v>
      </c>
      <c r="I76" s="94"/>
      <c r="J76" s="94">
        <f>H76*1000000/$D$79</f>
        <v>-8.0055899177453522</v>
      </c>
      <c r="K76" s="94"/>
      <c r="L76" s="95">
        <f>J76*$S$4</f>
        <v>-7680.2427434881811</v>
      </c>
      <c r="M76" s="95"/>
    </row>
    <row r="77" spans="2:20" x14ac:dyDescent="0.3">
      <c r="B77" s="80" t="s">
        <v>175</v>
      </c>
      <c r="C77" s="80"/>
      <c r="D77" s="4">
        <v>593823</v>
      </c>
      <c r="F77" s="108" t="s">
        <v>176</v>
      </c>
      <c r="G77" s="108"/>
      <c r="H77" s="89">
        <f>PMT(D67,15,-H76)</f>
        <v>-6.3807424720039068</v>
      </c>
      <c r="I77" s="89"/>
      <c r="J77" s="89">
        <f>H77*1000000/$D$79</f>
        <v>-0.82427766502384603</v>
      </c>
      <c r="K77" s="89"/>
      <c r="L77" s="90">
        <f>J77*$S$4</f>
        <v>-790.77902071727692</v>
      </c>
      <c r="M77" s="90"/>
    </row>
    <row r="78" spans="2:20" x14ac:dyDescent="0.3">
      <c r="B78" s="62"/>
      <c r="C78" s="62"/>
      <c r="D78" s="35"/>
      <c r="F78" s="109" t="s">
        <v>177</v>
      </c>
      <c r="G78" s="109"/>
      <c r="H78" s="98">
        <f>H77/12</f>
        <v>-0.53172853933365893</v>
      </c>
      <c r="I78" s="98"/>
      <c r="J78" s="98">
        <f t="shared" ref="J78" si="27">J77/12</f>
        <v>-6.868980541865384E-2</v>
      </c>
      <c r="K78" s="98"/>
      <c r="L78" s="99">
        <f>L77/12</f>
        <v>-65.898251726439739</v>
      </c>
      <c r="M78" s="99"/>
    </row>
    <row r="79" spans="2:20" x14ac:dyDescent="0.3">
      <c r="B79" s="86" t="s">
        <v>178</v>
      </c>
      <c r="C79" s="86"/>
      <c r="D79" s="4">
        <f>SUM(D73:D77)</f>
        <v>7741011</v>
      </c>
    </row>
  </sheetData>
  <mergeCells count="131">
    <mergeCell ref="B79:C79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B77:C77"/>
    <mergeCell ref="B73:C73"/>
    <mergeCell ref="B69:C69"/>
    <mergeCell ref="H77:I77"/>
    <mergeCell ref="J77:K77"/>
    <mergeCell ref="L77:M77"/>
    <mergeCell ref="B78:C78"/>
    <mergeCell ref="H78:I78"/>
    <mergeCell ref="J78:K78"/>
    <mergeCell ref="L78:M78"/>
    <mergeCell ref="B75:C75"/>
    <mergeCell ref="B76:C76"/>
    <mergeCell ref="H76:I76"/>
    <mergeCell ref="J76:K76"/>
    <mergeCell ref="L76:M76"/>
    <mergeCell ref="H73:I73"/>
    <mergeCell ref="J73:K73"/>
    <mergeCell ref="L73:M73"/>
    <mergeCell ref="B74:C74"/>
    <mergeCell ref="H74:I74"/>
    <mergeCell ref="J74:K74"/>
    <mergeCell ref="L74:M74"/>
    <mergeCell ref="B71:C71"/>
    <mergeCell ref="B72:C72"/>
    <mergeCell ref="H72:I72"/>
    <mergeCell ref="J72:K72"/>
    <mergeCell ref="L72:M72"/>
    <mergeCell ref="H69:I69"/>
    <mergeCell ref="J69:K69"/>
    <mergeCell ref="L69:M69"/>
    <mergeCell ref="B70:C70"/>
    <mergeCell ref="H70:I70"/>
    <mergeCell ref="J70:K70"/>
    <mergeCell ref="L70:M70"/>
    <mergeCell ref="H67:I67"/>
    <mergeCell ref="J67:K67"/>
    <mergeCell ref="L67:M67"/>
    <mergeCell ref="B68:C68"/>
    <mergeCell ref="H68:I68"/>
    <mergeCell ref="J68:K68"/>
    <mergeCell ref="L68:M68"/>
    <mergeCell ref="B64:E64"/>
    <mergeCell ref="B67:C67"/>
    <mergeCell ref="G6:I6"/>
    <mergeCell ref="G7:I7"/>
    <mergeCell ref="G8:I8"/>
    <mergeCell ref="G9:I9"/>
    <mergeCell ref="C55:E55"/>
    <mergeCell ref="C50:E50"/>
    <mergeCell ref="C52:E52"/>
    <mergeCell ref="C53:E53"/>
    <mergeCell ref="B44:U44"/>
    <mergeCell ref="C51:E51"/>
    <mergeCell ref="C47:E47"/>
    <mergeCell ref="C48:E48"/>
    <mergeCell ref="C49:E49"/>
    <mergeCell ref="B45:E45"/>
    <mergeCell ref="C38:E38"/>
    <mergeCell ref="C40:E40"/>
    <mergeCell ref="C41:E41"/>
    <mergeCell ref="B37:U37"/>
    <mergeCell ref="B58:E58"/>
    <mergeCell ref="C33:E33"/>
    <mergeCell ref="C32:E32"/>
    <mergeCell ref="C35:E35"/>
    <mergeCell ref="G4:I4"/>
    <mergeCell ref="G2:K2"/>
    <mergeCell ref="L4:P4"/>
    <mergeCell ref="B26:U26"/>
    <mergeCell ref="B14:U14"/>
    <mergeCell ref="B5:C5"/>
    <mergeCell ref="B6:C6"/>
    <mergeCell ref="B7:C7"/>
    <mergeCell ref="B2:E2"/>
    <mergeCell ref="B4:C4"/>
    <mergeCell ref="B8:C8"/>
    <mergeCell ref="B9:C9"/>
    <mergeCell ref="D4:E4"/>
    <mergeCell ref="D6:E6"/>
    <mergeCell ref="D7:E7"/>
    <mergeCell ref="D8:E8"/>
    <mergeCell ref="B12:D13"/>
    <mergeCell ref="C17:E17"/>
    <mergeCell ref="L5:P5"/>
    <mergeCell ref="D5:E5"/>
    <mergeCell ref="G5:I5"/>
    <mergeCell ref="B38:B43"/>
    <mergeCell ref="C43:E43"/>
    <mergeCell ref="B60:E60"/>
    <mergeCell ref="B47:B56"/>
    <mergeCell ref="C56:E56"/>
    <mergeCell ref="C42:E42"/>
    <mergeCell ref="C39:E39"/>
    <mergeCell ref="B61:E61"/>
    <mergeCell ref="B63:E63"/>
    <mergeCell ref="C54:E54"/>
    <mergeCell ref="L6:P6"/>
    <mergeCell ref="L7:P7"/>
    <mergeCell ref="L8:P8"/>
    <mergeCell ref="C34:E34"/>
    <mergeCell ref="B27:D28"/>
    <mergeCell ref="B30:B36"/>
    <mergeCell ref="L9:P9"/>
    <mergeCell ref="C36:E36"/>
    <mergeCell ref="C22:E22"/>
    <mergeCell ref="C23:E23"/>
    <mergeCell ref="B21:B25"/>
    <mergeCell ref="C31:E31"/>
    <mergeCell ref="C18:E18"/>
    <mergeCell ref="C19:E19"/>
    <mergeCell ref="C25:E25"/>
    <mergeCell ref="C20:U20"/>
    <mergeCell ref="C21:E21"/>
    <mergeCell ref="B15:B19"/>
    <mergeCell ref="D9:E9"/>
    <mergeCell ref="C30:E30"/>
    <mergeCell ref="C15:E15"/>
    <mergeCell ref="C24:E24"/>
    <mergeCell ref="C16:U16"/>
  </mergeCells>
  <conditionalFormatting sqref="F30:U36">
    <cfRule type="cellIs" dxfId="47" priority="11" operator="lessThan">
      <formula>0</formula>
    </cfRule>
  </conditionalFormatting>
  <conditionalFormatting sqref="F38:U43">
    <cfRule type="cellIs" dxfId="46" priority="7" operator="lessThan">
      <formula>0</formula>
    </cfRule>
  </conditionalFormatting>
  <conditionalFormatting sqref="F45:U45">
    <cfRule type="cellIs" dxfId="45" priority="5" operator="lessThan">
      <formula>0</formula>
    </cfRule>
  </conditionalFormatting>
  <conditionalFormatting sqref="F47:U56">
    <cfRule type="cellIs" dxfId="44" priority="8" operator="lessThan">
      <formula>0</formula>
    </cfRule>
  </conditionalFormatting>
  <conditionalFormatting sqref="F58:U61">
    <cfRule type="cellIs" dxfId="43" priority="3" operator="lessThan">
      <formula>0</formula>
    </cfRule>
  </conditionalFormatting>
  <conditionalFormatting sqref="F63:U64">
    <cfRule type="cellIs" dxfId="42" priority="2" operator="lessThan">
      <formula>0</formula>
    </cfRule>
  </conditionalFormatting>
  <conditionalFormatting sqref="H68:M69 H70 J70 H72:M73 H74 J74 H76:M78">
    <cfRule type="cellIs" dxfId="41" priority="4" operator="lessThan">
      <formula>0</formula>
    </cfRule>
  </conditionalFormatting>
  <conditionalFormatting sqref="L70 L74">
    <cfRule type="cellIs" dxfId="40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BA3B-7F04-492E-9527-F1A998CFB1FE}">
  <sheetPr>
    <tabColor theme="3" tint="-0.249977111117893"/>
  </sheetPr>
  <dimension ref="A1:Q26"/>
  <sheetViews>
    <sheetView zoomScale="80" zoomScaleNormal="80" workbookViewId="0">
      <selection activeCell="E10" sqref="E10"/>
    </sheetView>
  </sheetViews>
  <sheetFormatPr baseColWidth="10" defaultRowHeight="14.4" x14ac:dyDescent="0.3"/>
  <cols>
    <col min="1" max="1" width="42.77734375" bestFit="1" customWidth="1"/>
    <col min="2" max="11" width="12" bestFit="1" customWidth="1"/>
    <col min="12" max="17" width="12.88671875" bestFit="1" customWidth="1"/>
  </cols>
  <sheetData>
    <row r="1" spans="1:17" x14ac:dyDescent="0.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</row>
    <row r="2" spans="1:17" x14ac:dyDescent="0.3">
      <c r="A2" t="s">
        <v>113</v>
      </c>
      <c r="B2">
        <v>11914418.734073861</v>
      </c>
      <c r="C2">
        <v>12274234.179842889</v>
      </c>
      <c r="D2">
        <v>12644916.05207414</v>
      </c>
      <c r="E2">
        <v>13026792.51684678</v>
      </c>
      <c r="F2">
        <v>13420201.650855551</v>
      </c>
      <c r="G2">
        <v>13825491.740711389</v>
      </c>
      <c r="H2">
        <v>14243021.591280879</v>
      </c>
      <c r="I2">
        <v>14673160.84333756</v>
      </c>
      <c r="J2">
        <v>15116290.300806349</v>
      </c>
      <c r="K2">
        <v>15572802.267890699</v>
      </c>
      <c r="L2">
        <v>16043100.896381</v>
      </c>
      <c r="M2">
        <v>16527602.54345171</v>
      </c>
      <c r="N2">
        <v>17026736.140263949</v>
      </c>
      <c r="O2">
        <v>17540943.571699921</v>
      </c>
      <c r="P2">
        <v>18070680.067565259</v>
      </c>
      <c r="Q2">
        <v>18616414.605605729</v>
      </c>
    </row>
    <row r="3" spans="1:17" x14ac:dyDescent="0.3">
      <c r="A3" t="s">
        <v>102</v>
      </c>
      <c r="B3">
        <v>1231</v>
      </c>
      <c r="C3">
        <v>1</v>
      </c>
      <c r="D3">
        <v>1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</row>
    <row r="4" spans="1:17" x14ac:dyDescent="0.3">
      <c r="A4" t="s">
        <v>103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">
      <c r="A5" t="s">
        <v>104</v>
      </c>
      <c r="B5">
        <v>42167</v>
      </c>
      <c r="C5">
        <v>147</v>
      </c>
      <c r="D5">
        <v>147</v>
      </c>
      <c r="E5">
        <v>148</v>
      </c>
      <c r="F5">
        <v>148</v>
      </c>
      <c r="G5">
        <v>148</v>
      </c>
      <c r="H5">
        <v>148</v>
      </c>
      <c r="I5">
        <v>150</v>
      </c>
      <c r="J5">
        <v>150</v>
      </c>
      <c r="K5">
        <v>150</v>
      </c>
      <c r="L5">
        <v>150</v>
      </c>
      <c r="M5">
        <v>150</v>
      </c>
      <c r="N5">
        <v>152</v>
      </c>
      <c r="O5">
        <v>152</v>
      </c>
      <c r="P5">
        <v>153</v>
      </c>
      <c r="Q5">
        <v>156</v>
      </c>
    </row>
    <row r="6" spans="1:17" x14ac:dyDescent="0.3">
      <c r="A6" t="s">
        <v>133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134</v>
      </c>
      <c r="B7">
        <v>129.40799999999999</v>
      </c>
      <c r="C7">
        <v>129.40799999999999</v>
      </c>
      <c r="D7">
        <v>129.40799999999999</v>
      </c>
      <c r="E7">
        <v>129.40799999999999</v>
      </c>
      <c r="F7">
        <v>129.40799999999999</v>
      </c>
      <c r="G7">
        <v>129.40799999999999</v>
      </c>
      <c r="H7">
        <v>129.40799999999999</v>
      </c>
      <c r="I7">
        <v>129.40799999999999</v>
      </c>
      <c r="J7">
        <v>129.40799999999999</v>
      </c>
      <c r="K7">
        <v>129.40799999999999</v>
      </c>
      <c r="L7">
        <v>129.40799999999999</v>
      </c>
      <c r="M7">
        <v>129.40799999999999</v>
      </c>
      <c r="N7">
        <v>129.40799999999999</v>
      </c>
      <c r="O7">
        <v>129.40799999999999</v>
      </c>
      <c r="P7">
        <v>129.40799999999999</v>
      </c>
      <c r="Q7">
        <v>129.40799999999999</v>
      </c>
    </row>
    <row r="8" spans="1:17" x14ac:dyDescent="0.3">
      <c r="A8" t="s">
        <v>135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">
      <c r="A9" t="s">
        <v>136</v>
      </c>
      <c r="B9">
        <v>717.59199999999998</v>
      </c>
      <c r="C9">
        <v>717.59199999999998</v>
      </c>
      <c r="D9">
        <v>717.59199999999998</v>
      </c>
      <c r="E9">
        <v>717.5920000000001</v>
      </c>
      <c r="F9">
        <v>717.5920000000001</v>
      </c>
      <c r="G9">
        <v>717.5920000000001</v>
      </c>
      <c r="H9">
        <v>717.5920000000001</v>
      </c>
      <c r="I9">
        <v>717.5920000000001</v>
      </c>
      <c r="J9">
        <v>717.5920000000001</v>
      </c>
      <c r="K9">
        <v>717.5920000000001</v>
      </c>
      <c r="L9">
        <v>717.5920000000001</v>
      </c>
      <c r="M9">
        <v>717.5920000000001</v>
      </c>
      <c r="N9">
        <v>717.5920000000001</v>
      </c>
      <c r="O9">
        <v>717.5920000000001</v>
      </c>
      <c r="P9">
        <v>717.59199999999998</v>
      </c>
      <c r="Q9">
        <v>717.5920000000001</v>
      </c>
    </row>
    <row r="10" spans="1:17" x14ac:dyDescent="0.3">
      <c r="A10" t="s">
        <v>137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">
      <c r="A11" t="s">
        <v>82</v>
      </c>
      <c r="B11">
        <v>796396.69799999986</v>
      </c>
      <c r="C11">
        <v>2715.9479999999999</v>
      </c>
      <c r="D11">
        <v>2715.9479999999999</v>
      </c>
      <c r="E11">
        <v>2752.65</v>
      </c>
      <c r="F11">
        <v>2752.65</v>
      </c>
      <c r="G11">
        <v>2752.65</v>
      </c>
      <c r="H11">
        <v>2752.65</v>
      </c>
      <c r="I11">
        <v>2789.3519999999999</v>
      </c>
      <c r="J11">
        <v>2789.3519999999999</v>
      </c>
      <c r="K11">
        <v>2789.3519999999999</v>
      </c>
      <c r="L11">
        <v>2789.3519999999999</v>
      </c>
      <c r="M11">
        <v>2789.3519999999999</v>
      </c>
      <c r="N11">
        <v>2826.0540000000001</v>
      </c>
      <c r="O11">
        <v>2826.0540000000001</v>
      </c>
      <c r="P11">
        <v>2844.4050000000002</v>
      </c>
      <c r="Q11">
        <v>2899.4580000000001</v>
      </c>
    </row>
    <row r="12" spans="1:17" x14ac:dyDescent="0.3">
      <c r="A12" t="s">
        <v>141</v>
      </c>
      <c r="B12">
        <v>59843.557894736849</v>
      </c>
      <c r="C12">
        <v>204.08421052631579</v>
      </c>
      <c r="D12">
        <v>204.08421052631579</v>
      </c>
      <c r="E12">
        <v>206.84210526315789</v>
      </c>
      <c r="F12">
        <v>206.84210526315789</v>
      </c>
      <c r="G12">
        <v>206.84210526315789</v>
      </c>
      <c r="H12">
        <v>206.84210526315789</v>
      </c>
      <c r="I12">
        <v>209.6</v>
      </c>
      <c r="J12">
        <v>209.6</v>
      </c>
      <c r="K12">
        <v>209.6</v>
      </c>
      <c r="L12">
        <v>209.6</v>
      </c>
      <c r="M12">
        <v>209.6</v>
      </c>
      <c r="N12">
        <v>212.3578947368421</v>
      </c>
      <c r="O12">
        <v>212.3578947368421</v>
      </c>
      <c r="P12">
        <v>213.73684210526321</v>
      </c>
      <c r="Q12">
        <v>217.87368421052631</v>
      </c>
    </row>
    <row r="13" spans="1:17" x14ac:dyDescent="0.3">
      <c r="A13" t="s">
        <v>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">
      <c r="A14" t="s">
        <v>84</v>
      </c>
      <c r="B14">
        <v>729572.78185456991</v>
      </c>
      <c r="C14">
        <v>729572.78185456991</v>
      </c>
      <c r="D14">
        <v>729572.78185456991</v>
      </c>
      <c r="E14">
        <v>729572.78185456991</v>
      </c>
      <c r="F14">
        <v>729572.78185456991</v>
      </c>
      <c r="G14">
        <v>729572.78185456991</v>
      </c>
      <c r="H14">
        <v>729572.78185456991</v>
      </c>
      <c r="I14">
        <v>729572.78185456991</v>
      </c>
      <c r="J14">
        <v>729572.78185456991</v>
      </c>
      <c r="K14">
        <v>729572.78185456991</v>
      </c>
      <c r="L14">
        <v>729572.78185456991</v>
      </c>
      <c r="M14">
        <v>729572.78185456991</v>
      </c>
      <c r="N14">
        <v>729572.78185456991</v>
      </c>
      <c r="O14">
        <v>729572.78185456991</v>
      </c>
      <c r="P14">
        <v>729572.78185456991</v>
      </c>
      <c r="Q14">
        <v>729572.78185456991</v>
      </c>
    </row>
    <row r="15" spans="1:17" x14ac:dyDescent="0.3">
      <c r="A15" t="s">
        <v>85</v>
      </c>
      <c r="B15">
        <v>346547.07138092059</v>
      </c>
      <c r="C15">
        <v>347728.89926617761</v>
      </c>
      <c r="D15">
        <v>348910.72715143429</v>
      </c>
      <c r="E15">
        <v>350108.52568378922</v>
      </c>
      <c r="F15">
        <v>351306.3242161441</v>
      </c>
      <c r="G15">
        <v>352504.12274849898</v>
      </c>
      <c r="H15">
        <v>353701.92128085392</v>
      </c>
      <c r="I15">
        <v>354915.69046030688</v>
      </c>
      <c r="J15">
        <v>356129.45963975991</v>
      </c>
      <c r="K15">
        <v>357343.22881921282</v>
      </c>
      <c r="L15">
        <v>358556.99799866579</v>
      </c>
      <c r="M15">
        <v>359770.76717811869</v>
      </c>
      <c r="N15">
        <v>361000.50700466981</v>
      </c>
      <c r="O15">
        <v>362230.24683122081</v>
      </c>
      <c r="P15">
        <v>363467.97198132088</v>
      </c>
      <c r="Q15">
        <v>364729.653102068</v>
      </c>
    </row>
    <row r="16" spans="1:17" x14ac:dyDescent="0.3">
      <c r="A16" t="s">
        <v>142</v>
      </c>
      <c r="B16">
        <v>49184.780684210527</v>
      </c>
      <c r="C16">
        <v>49352.515315789482</v>
      </c>
      <c r="D16">
        <v>49520.249947368429</v>
      </c>
      <c r="E16">
        <v>49690.251263157901</v>
      </c>
      <c r="F16">
        <v>49860.252578947373</v>
      </c>
      <c r="G16">
        <v>50030.253894736852</v>
      </c>
      <c r="H16">
        <v>50200.255210526331</v>
      </c>
      <c r="I16">
        <v>50372.523210526328</v>
      </c>
      <c r="J16">
        <v>50544.791210526331</v>
      </c>
      <c r="K16">
        <v>50717.059210526328</v>
      </c>
      <c r="L16">
        <v>50889.327210526331</v>
      </c>
      <c r="M16">
        <v>51061.595210526328</v>
      </c>
      <c r="N16">
        <v>51236.129894736863</v>
      </c>
      <c r="O16">
        <v>51410.664578947391</v>
      </c>
      <c r="P16">
        <v>51586.332605263182</v>
      </c>
      <c r="Q16">
        <v>51765.400657894759</v>
      </c>
    </row>
    <row r="17" spans="1:17" x14ac:dyDescent="0.3">
      <c r="A17" t="s">
        <v>86</v>
      </c>
      <c r="B17">
        <v>53900.316000000013</v>
      </c>
      <c r="C17">
        <v>54084.132000000012</v>
      </c>
      <c r="D17">
        <v>54267.948000000011</v>
      </c>
      <c r="E17">
        <v>54454.248000000007</v>
      </c>
      <c r="F17">
        <v>54640.54800000001</v>
      </c>
      <c r="G17">
        <v>54826.848000000013</v>
      </c>
      <c r="H17">
        <v>55013.148000000008</v>
      </c>
      <c r="I17">
        <v>55201.932000000023</v>
      </c>
      <c r="J17">
        <v>55390.716000000008</v>
      </c>
      <c r="K17">
        <v>55579.500000000007</v>
      </c>
      <c r="L17">
        <v>55768.284000000007</v>
      </c>
      <c r="M17">
        <v>55957.068000000007</v>
      </c>
      <c r="N17">
        <v>56148.33600000001</v>
      </c>
      <c r="O17">
        <v>56339.604000000007</v>
      </c>
      <c r="P17">
        <v>56532.114000000009</v>
      </c>
      <c r="Q17">
        <v>56728.350000000013</v>
      </c>
    </row>
    <row r="18" spans="1:17" x14ac:dyDescent="0.3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">
      <c r="A20" t="s">
        <v>89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t="s">
        <v>90</v>
      </c>
      <c r="B21">
        <v>137052.5777300116</v>
      </c>
      <c r="C21">
        <v>137052.5777300116</v>
      </c>
      <c r="D21">
        <v>137052.5777300116</v>
      </c>
      <c r="E21">
        <v>137052.5777300116</v>
      </c>
      <c r="F21">
        <v>137052.5777300116</v>
      </c>
      <c r="G21">
        <v>137052.5777300116</v>
      </c>
      <c r="H21">
        <v>137052.5777300116</v>
      </c>
      <c r="I21">
        <v>137052.5777300116</v>
      </c>
      <c r="J21">
        <v>137052.5777300116</v>
      </c>
      <c r="K21">
        <v>137052.5777300116</v>
      </c>
      <c r="L21">
        <v>137052.5777300116</v>
      </c>
      <c r="M21">
        <v>137052.5777300116</v>
      </c>
      <c r="N21">
        <v>137052.5777300116</v>
      </c>
      <c r="O21">
        <v>137052.5777300116</v>
      </c>
      <c r="P21">
        <v>137052.5777300116</v>
      </c>
      <c r="Q21">
        <v>137052.5777300116</v>
      </c>
    </row>
    <row r="22" spans="1:17" x14ac:dyDescent="0.3">
      <c r="A22" t="s">
        <v>139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91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">
      <c r="A24" t="s">
        <v>92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">
      <c r="A25" t="s">
        <v>93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">
      <c r="A26" t="s">
        <v>94</v>
      </c>
      <c r="B26">
        <v>1403357.282954545</v>
      </c>
      <c r="C26">
        <v>1404390.8793181819</v>
      </c>
      <c r="D26">
        <v>1405453.2352272731</v>
      </c>
      <c r="E26">
        <v>1420942.6529545451</v>
      </c>
      <c r="F26">
        <v>1424275.124772727</v>
      </c>
      <c r="G26">
        <v>1426444.1806818179</v>
      </c>
      <c r="H26">
        <v>1428005.8409090911</v>
      </c>
      <c r="I26">
        <v>1429529.864318182</v>
      </c>
      <c r="J26">
        <v>1441345.655227273</v>
      </c>
      <c r="K26">
        <v>1444399.021363636</v>
      </c>
      <c r="L26">
        <v>1446816.929772727</v>
      </c>
      <c r="M26">
        <v>1449240.678863636</v>
      </c>
      <c r="N26">
        <v>1452114.738181818</v>
      </c>
      <c r="O26">
        <v>1456390.3497727269</v>
      </c>
      <c r="P26">
        <v>1460678.551590909</v>
      </c>
      <c r="Q26">
        <v>1464979.3718181821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0CAD-4E7A-4B3A-8B69-31DCCCBFCBD9}">
  <sheetPr>
    <tabColor theme="3" tint="-0.249977111117893"/>
  </sheetPr>
  <dimension ref="B2:Z79"/>
  <sheetViews>
    <sheetView topLeftCell="F44" zoomScale="80" zoomScaleNormal="80" workbookViewId="0">
      <selection activeCell="Z59" sqref="Z59"/>
    </sheetView>
  </sheetViews>
  <sheetFormatPr baseColWidth="10" defaultRowHeight="14.4" x14ac:dyDescent="0.3"/>
  <cols>
    <col min="1" max="1" width="5.33203125" customWidth="1"/>
    <col min="2" max="2" width="17.33203125" customWidth="1"/>
    <col min="3" max="3" width="14" bestFit="1" customWidth="1"/>
    <col min="4" max="4" width="12.5546875" bestFit="1" customWidth="1"/>
    <col min="5" max="5" width="18.109375" customWidth="1"/>
    <col min="6" max="6" width="19.109375" bestFit="1" customWidth="1"/>
    <col min="7" max="11" width="12" bestFit="1" customWidth="1"/>
    <col min="12" max="21" width="12.5546875" bestFit="1" customWidth="1"/>
  </cols>
  <sheetData>
    <row r="2" spans="2:21" ht="18.600000000000001" thickBot="1" x14ac:dyDescent="0.4">
      <c r="B2" s="81" t="s">
        <v>50</v>
      </c>
      <c r="C2" s="81"/>
      <c r="D2" s="81"/>
      <c r="E2" s="81"/>
      <c r="G2" s="81" t="s">
        <v>41</v>
      </c>
      <c r="H2" s="81"/>
      <c r="I2" s="81"/>
      <c r="J2" s="81"/>
      <c r="K2" s="81"/>
      <c r="M2" s="28"/>
      <c r="N2" s="28"/>
      <c r="O2" s="28"/>
      <c r="P2" s="28"/>
      <c r="Q2" s="28"/>
    </row>
    <row r="3" spans="2:21" ht="15" customHeight="1" x14ac:dyDescent="0.35">
      <c r="G3" s="5"/>
      <c r="H3" s="5"/>
      <c r="I3" s="5"/>
      <c r="J3" s="5"/>
    </row>
    <row r="4" spans="2:21" x14ac:dyDescent="0.3">
      <c r="B4" s="80" t="s">
        <v>51</v>
      </c>
      <c r="C4" s="80"/>
      <c r="D4" s="80" t="s">
        <v>40</v>
      </c>
      <c r="E4" s="80"/>
      <c r="G4" s="80" t="s">
        <v>17</v>
      </c>
      <c r="H4" s="80"/>
      <c r="I4" s="80"/>
      <c r="J4" s="18">
        <v>0.06</v>
      </c>
      <c r="K4" s="16" t="s">
        <v>29</v>
      </c>
      <c r="L4" s="68"/>
      <c r="M4" s="68"/>
      <c r="N4" s="68"/>
      <c r="O4" s="68"/>
      <c r="P4" s="68"/>
      <c r="R4" s="26" t="s">
        <v>42</v>
      </c>
      <c r="S4" s="27">
        <v>959.36</v>
      </c>
      <c r="T4" s="20" t="s">
        <v>44</v>
      </c>
      <c r="U4" s="29">
        <v>45946</v>
      </c>
    </row>
    <row r="5" spans="2:21" x14ac:dyDescent="0.3">
      <c r="B5" s="68" t="s">
        <v>52</v>
      </c>
      <c r="C5" s="68"/>
      <c r="D5" s="68" t="s">
        <v>148</v>
      </c>
      <c r="E5" s="68"/>
      <c r="G5" s="80" t="s">
        <v>46</v>
      </c>
      <c r="H5" s="80"/>
      <c r="I5" s="80"/>
      <c r="J5" s="19">
        <v>15</v>
      </c>
      <c r="K5" s="20" t="s">
        <v>47</v>
      </c>
      <c r="L5" s="43"/>
      <c r="M5" s="43"/>
      <c r="N5" s="43"/>
      <c r="O5" s="43"/>
      <c r="P5" s="43"/>
      <c r="R5" s="26" t="s">
        <v>43</v>
      </c>
      <c r="S5" s="27">
        <v>39521.26</v>
      </c>
      <c r="T5" s="20" t="s">
        <v>45</v>
      </c>
      <c r="U5" s="29">
        <v>45946</v>
      </c>
    </row>
    <row r="6" spans="2:21" x14ac:dyDescent="0.3">
      <c r="B6" s="68" t="s">
        <v>53</v>
      </c>
      <c r="C6" s="68"/>
      <c r="D6" s="68" t="s">
        <v>148</v>
      </c>
      <c r="E6" s="68"/>
      <c r="G6" s="86" t="s">
        <v>106</v>
      </c>
      <c r="H6" s="86"/>
      <c r="I6" s="86"/>
      <c r="J6" s="20">
        <v>3</v>
      </c>
      <c r="K6" s="20" t="s">
        <v>47</v>
      </c>
      <c r="L6" s="43"/>
      <c r="M6" s="43"/>
      <c r="N6" s="43"/>
      <c r="O6" s="43"/>
      <c r="P6" s="43"/>
    </row>
    <row r="7" spans="2:21" x14ac:dyDescent="0.3">
      <c r="B7" s="68" t="s">
        <v>54</v>
      </c>
      <c r="C7" s="68"/>
      <c r="D7" s="68" t="s">
        <v>148</v>
      </c>
      <c r="E7" s="68"/>
      <c r="G7" s="86" t="s">
        <v>128</v>
      </c>
      <c r="H7" s="86"/>
      <c r="I7" s="86"/>
      <c r="J7" s="21">
        <f>(SUMIF($F$12:$U$12,"&lt;="&amp;$J$6,$F$17:$U$17)) / ($J$6)</f>
        <v>411.66666666666669</v>
      </c>
      <c r="K7" s="20" t="s">
        <v>107</v>
      </c>
      <c r="L7" s="43" t="str">
        <f>"Razonable para chile en torno a 1M y 1,5M por año."</f>
        <v>Razonable para chile en torno a 1M y 1,5M por año.</v>
      </c>
      <c r="M7" s="43"/>
      <c r="N7" s="43"/>
      <c r="O7" s="43"/>
      <c r="P7" s="43"/>
    </row>
    <row r="8" spans="2:21" x14ac:dyDescent="0.3">
      <c r="B8" s="68" t="s">
        <v>55</v>
      </c>
      <c r="C8" s="68"/>
      <c r="D8" s="68" t="s">
        <v>148</v>
      </c>
      <c r="E8" s="68"/>
      <c r="G8" s="86" t="s">
        <v>129</v>
      </c>
      <c r="H8" s="86"/>
      <c r="I8" s="86"/>
      <c r="J8" s="21">
        <f>(SUMIF($F$12:$U$12,"&lt;="&amp;$J$6,$F$18:$U$18)) / ($J$6)</f>
        <v>0</v>
      </c>
      <c r="K8" s="20" t="s">
        <v>107</v>
      </c>
      <c r="L8" s="43" t="str">
        <f t="shared" ref="L8:L9" si="0">"Razonable para chile en torno a 1M y 1,5M por año."</f>
        <v>Razonable para chile en torno a 1M y 1,5M por año.</v>
      </c>
      <c r="M8" s="43"/>
      <c r="N8" s="43"/>
      <c r="O8" s="43"/>
      <c r="P8" s="43"/>
    </row>
    <row r="9" spans="2:21" x14ac:dyDescent="0.3">
      <c r="B9" s="68" t="s">
        <v>56</v>
      </c>
      <c r="C9" s="68"/>
      <c r="D9" s="68" t="s">
        <v>148</v>
      </c>
      <c r="E9" s="68"/>
      <c r="G9" s="86" t="s">
        <v>130</v>
      </c>
      <c r="H9" s="86"/>
      <c r="I9" s="86"/>
      <c r="J9" s="21">
        <f>(SUMIF($F$12:$U$12,"&lt;="&amp;$J$6,$F$19:$U$19)) / ($J$6)</f>
        <v>14203</v>
      </c>
      <c r="K9" s="20" t="s">
        <v>107</v>
      </c>
      <c r="L9" s="43" t="str">
        <f t="shared" si="0"/>
        <v>Razonable para chile en torno a 1M y 1,5M por año.</v>
      </c>
      <c r="M9" s="43"/>
      <c r="N9" s="43"/>
      <c r="O9" s="43"/>
      <c r="P9" s="43"/>
    </row>
    <row r="12" spans="2:21" x14ac:dyDescent="0.3">
      <c r="B12" s="83" t="s">
        <v>121</v>
      </c>
      <c r="C12" s="83"/>
      <c r="D12" s="83"/>
      <c r="E12" s="22" t="s">
        <v>48</v>
      </c>
      <c r="F12" s="24">
        <v>0</v>
      </c>
      <c r="G12" s="24">
        <v>1</v>
      </c>
      <c r="H12" s="24">
        <v>2</v>
      </c>
      <c r="I12" s="24">
        <v>3</v>
      </c>
      <c r="J12" s="24">
        <v>4</v>
      </c>
      <c r="K12" s="24">
        <v>5</v>
      </c>
      <c r="L12" s="24">
        <v>6</v>
      </c>
      <c r="M12" s="24">
        <v>7</v>
      </c>
      <c r="N12" s="24">
        <v>8</v>
      </c>
      <c r="O12" s="24">
        <v>9</v>
      </c>
      <c r="P12" s="24">
        <v>10</v>
      </c>
      <c r="Q12" s="24">
        <v>11</v>
      </c>
      <c r="R12" s="24">
        <v>12</v>
      </c>
      <c r="S12" s="24">
        <v>13</v>
      </c>
      <c r="T12" s="24">
        <v>14</v>
      </c>
      <c r="U12" s="24">
        <v>15</v>
      </c>
    </row>
    <row r="13" spans="2:21" x14ac:dyDescent="0.3">
      <c r="B13" s="84"/>
      <c r="C13" s="84"/>
      <c r="D13" s="84"/>
      <c r="E13" s="23" t="s">
        <v>49</v>
      </c>
      <c r="F13" s="25">
        <v>2025</v>
      </c>
      <c r="G13" s="25">
        <v>2026</v>
      </c>
      <c r="H13" s="25">
        <v>2027</v>
      </c>
      <c r="I13" s="25">
        <v>2028</v>
      </c>
      <c r="J13" s="25">
        <v>2029</v>
      </c>
      <c r="K13" s="25">
        <v>2030</v>
      </c>
      <c r="L13" s="25">
        <v>2031</v>
      </c>
      <c r="M13" s="25">
        <v>2032</v>
      </c>
      <c r="N13" s="25">
        <v>2033</v>
      </c>
      <c r="O13" s="25">
        <v>2034</v>
      </c>
      <c r="P13" s="25">
        <v>2035</v>
      </c>
      <c r="Q13" s="25">
        <v>2036</v>
      </c>
      <c r="R13" s="25">
        <v>2037</v>
      </c>
      <c r="S13" s="25">
        <v>2038</v>
      </c>
      <c r="T13" s="25">
        <v>2039</v>
      </c>
      <c r="U13" s="25">
        <v>2040</v>
      </c>
    </row>
    <row r="14" spans="2:21" x14ac:dyDescent="0.3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</row>
    <row r="15" spans="2:21" x14ac:dyDescent="0.3">
      <c r="B15" s="65" t="s">
        <v>122</v>
      </c>
      <c r="C15" s="69" t="s">
        <v>138</v>
      </c>
      <c r="D15" s="70"/>
      <c r="E15" s="70"/>
      <c r="F15" s="4">
        <f>CB_SMI_Mixto_ALTA!B2/1000</f>
        <v>11914.418734073861</v>
      </c>
      <c r="G15" s="4">
        <f>CB_SMI_Mixto_ALTA!C2/1000</f>
        <v>12274.23417984289</v>
      </c>
      <c r="H15" s="4">
        <f>CB_SMI_Mixto_ALTA!D2/1000</f>
        <v>12644.916052074141</v>
      </c>
      <c r="I15" s="4">
        <f>CB_SMI_Mixto_ALTA!E2/1000</f>
        <v>13026.792516846779</v>
      </c>
      <c r="J15" s="4">
        <f>CB_SMI_Mixto_ALTA!F2/1000</f>
        <v>13420.20165085555</v>
      </c>
      <c r="K15" s="4">
        <f>CB_SMI_Mixto_ALTA!G2/1000</f>
        <v>13825.49174071139</v>
      </c>
      <c r="L15" s="4">
        <f>CB_SMI_Mixto_ALTA!H2/1000</f>
        <v>14243.02159128088</v>
      </c>
      <c r="M15" s="4">
        <f>CB_SMI_Mixto_ALTA!I2/1000</f>
        <v>14673.16084333756</v>
      </c>
      <c r="N15" s="4">
        <f>CB_SMI_Mixto_ALTA!J2/1000</f>
        <v>15116.290300806349</v>
      </c>
      <c r="O15" s="4">
        <f>CB_SMI_Mixto_ALTA!K2/1000</f>
        <v>15572.8022678907</v>
      </c>
      <c r="P15" s="4">
        <f>CB_SMI_Mixto_ALTA!L2/1000</f>
        <v>16043.100896381</v>
      </c>
      <c r="Q15" s="4">
        <f>CB_SMI_Mixto_ALTA!M2/1000</f>
        <v>16527.602543451711</v>
      </c>
      <c r="R15" s="4">
        <f>CB_SMI_Mixto_ALTA!N2/1000</f>
        <v>17026.736140263947</v>
      </c>
      <c r="S15" s="4">
        <f>CB_SMI_Mixto_ALTA!O2/1000</f>
        <v>17540.943571699921</v>
      </c>
      <c r="T15" s="4">
        <f>CB_SMI_Mixto_ALTA!P2/1000</f>
        <v>18070.680067565259</v>
      </c>
      <c r="U15" s="4">
        <f>CB_SMI_Mixto_ALTA!Q2/1000</f>
        <v>18616.414605605729</v>
      </c>
    </row>
    <row r="16" spans="2:21" x14ac:dyDescent="0.3">
      <c r="B16" s="66"/>
      <c r="C16" s="71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</row>
    <row r="17" spans="2:26" x14ac:dyDescent="0.3">
      <c r="B17" s="66"/>
      <c r="C17" s="61" t="s">
        <v>115</v>
      </c>
      <c r="D17" s="62"/>
      <c r="E17" s="62"/>
      <c r="F17" s="12">
        <f>CB_SMI_Mixto_ALTA!B3</f>
        <v>1231</v>
      </c>
      <c r="G17" s="12">
        <f>CB_SMI_Mixto_ALTA!C3</f>
        <v>1</v>
      </c>
      <c r="H17" s="12">
        <f>CB_SMI_Mixto_ALTA!D3</f>
        <v>1</v>
      </c>
      <c r="I17" s="12">
        <f>CB_SMI_Mixto_ALTA!E3</f>
        <v>2</v>
      </c>
      <c r="J17" s="12">
        <f>CB_SMI_Mixto_ALTA!F3</f>
        <v>2</v>
      </c>
      <c r="K17" s="12">
        <f>CB_SMI_Mixto_ALTA!G3</f>
        <v>2</v>
      </c>
      <c r="L17" s="12">
        <f>CB_SMI_Mixto_ALTA!H3</f>
        <v>2</v>
      </c>
      <c r="M17" s="12">
        <f>CB_SMI_Mixto_ALTA!I3</f>
        <v>2</v>
      </c>
      <c r="N17" s="12">
        <f>CB_SMI_Mixto_ALTA!J3</f>
        <v>2</v>
      </c>
      <c r="O17" s="12">
        <f>CB_SMI_Mixto_ALTA!K3</f>
        <v>2</v>
      </c>
      <c r="P17" s="12">
        <f>CB_SMI_Mixto_ALTA!L3</f>
        <v>2</v>
      </c>
      <c r="Q17" s="12">
        <f>CB_SMI_Mixto_ALTA!M3</f>
        <v>2</v>
      </c>
      <c r="R17" s="12">
        <f>CB_SMI_Mixto_ALTA!N3</f>
        <v>2</v>
      </c>
      <c r="S17" s="12">
        <f>CB_SMI_Mixto_ALTA!O3</f>
        <v>2</v>
      </c>
      <c r="T17" s="12">
        <f>CB_SMI_Mixto_ALTA!P3</f>
        <v>2</v>
      </c>
      <c r="U17" s="12">
        <f>CB_SMI_Mixto_ALTA!Q3</f>
        <v>2</v>
      </c>
    </row>
    <row r="18" spans="2:26" x14ac:dyDescent="0.3">
      <c r="B18" s="66"/>
      <c r="C18" s="61" t="s">
        <v>116</v>
      </c>
      <c r="D18" s="62"/>
      <c r="E18" s="62"/>
      <c r="F18" s="12">
        <f>CB_SMI_Mixto_ALTA!B4</f>
        <v>0</v>
      </c>
      <c r="G18" s="12">
        <f>CB_SMI_Mixto_ALTA!C4</f>
        <v>0</v>
      </c>
      <c r="H18" s="12">
        <f>CB_SMI_Mixto_ALTA!D4</f>
        <v>0</v>
      </c>
      <c r="I18" s="12">
        <f>CB_SMI_Mixto_ALTA!E4</f>
        <v>0</v>
      </c>
      <c r="J18" s="12">
        <f>CB_SMI_Mixto_ALTA!F4</f>
        <v>0</v>
      </c>
      <c r="K18" s="12">
        <f>CB_SMI_Mixto_ALTA!G4</f>
        <v>0</v>
      </c>
      <c r="L18" s="12">
        <f>CB_SMI_Mixto_ALTA!H4</f>
        <v>0</v>
      </c>
      <c r="M18" s="12">
        <f>CB_SMI_Mixto_ALTA!I4</f>
        <v>0</v>
      </c>
      <c r="N18" s="12">
        <f>CB_SMI_Mixto_ALTA!J4</f>
        <v>0</v>
      </c>
      <c r="O18" s="12">
        <f>CB_SMI_Mixto_ALTA!K4</f>
        <v>0</v>
      </c>
      <c r="P18" s="12">
        <f>CB_SMI_Mixto_ALTA!L4</f>
        <v>0</v>
      </c>
      <c r="Q18" s="12">
        <f>CB_SMI_Mixto_ALTA!M4</f>
        <v>0</v>
      </c>
      <c r="R18" s="12">
        <f>CB_SMI_Mixto_ALTA!N4</f>
        <v>0</v>
      </c>
      <c r="S18" s="12">
        <f>CB_SMI_Mixto_ALTA!O4</f>
        <v>0</v>
      </c>
      <c r="T18" s="12">
        <f>CB_SMI_Mixto_ALTA!P4</f>
        <v>0</v>
      </c>
      <c r="U18" s="12">
        <f>CB_SMI_Mixto_ALTA!Q4</f>
        <v>0</v>
      </c>
    </row>
    <row r="19" spans="2:26" x14ac:dyDescent="0.3">
      <c r="B19" s="67"/>
      <c r="C19" s="61" t="s">
        <v>117</v>
      </c>
      <c r="D19" s="62"/>
      <c r="E19" s="62"/>
      <c r="F19" s="13">
        <f>CB_SMI_Mixto_ALTA!B5</f>
        <v>42167</v>
      </c>
      <c r="G19" s="13">
        <f>CB_SMI_Mixto_ALTA!C5</f>
        <v>147</v>
      </c>
      <c r="H19" s="13">
        <f>CB_SMI_Mixto_ALTA!D5</f>
        <v>147</v>
      </c>
      <c r="I19" s="13">
        <f>CB_SMI_Mixto_ALTA!E5</f>
        <v>148</v>
      </c>
      <c r="J19" s="13">
        <f>CB_SMI_Mixto_ALTA!F5</f>
        <v>148</v>
      </c>
      <c r="K19" s="13">
        <f>CB_SMI_Mixto_ALTA!G5</f>
        <v>148</v>
      </c>
      <c r="L19" s="13">
        <f>CB_SMI_Mixto_ALTA!H5</f>
        <v>148</v>
      </c>
      <c r="M19" s="13">
        <f>CB_SMI_Mixto_ALTA!I5</f>
        <v>150</v>
      </c>
      <c r="N19" s="13">
        <f>CB_SMI_Mixto_ALTA!J5</f>
        <v>150</v>
      </c>
      <c r="O19" s="13">
        <f>CB_SMI_Mixto_ALTA!K5</f>
        <v>150</v>
      </c>
      <c r="P19" s="13">
        <f>CB_SMI_Mixto_ALTA!L5</f>
        <v>150</v>
      </c>
      <c r="Q19" s="13">
        <f>CB_SMI_Mixto_ALTA!M5</f>
        <v>150</v>
      </c>
      <c r="R19" s="13">
        <f>CB_SMI_Mixto_ALTA!N5</f>
        <v>152</v>
      </c>
      <c r="S19" s="13">
        <f>CB_SMI_Mixto_ALTA!O5</f>
        <v>152</v>
      </c>
      <c r="T19" s="13">
        <f>CB_SMI_Mixto_ALTA!P5</f>
        <v>153</v>
      </c>
      <c r="U19" s="13">
        <f>CB_SMI_Mixto_ALTA!Q5</f>
        <v>156</v>
      </c>
    </row>
    <row r="20" spans="2:26" x14ac:dyDescent="0.3">
      <c r="B20" s="10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</row>
    <row r="21" spans="2:26" x14ac:dyDescent="0.3">
      <c r="B21" s="58" t="s">
        <v>105</v>
      </c>
      <c r="C21" s="56" t="s">
        <v>125</v>
      </c>
      <c r="D21" s="57"/>
      <c r="E21" s="57"/>
      <c r="F21" s="9">
        <v>0</v>
      </c>
      <c r="G21" s="11">
        <f>IF(G$12&lt;=$J$6,$J7,G17)</f>
        <v>411.66666666666669</v>
      </c>
      <c r="H21" s="11">
        <f t="shared" ref="H21:U23" si="1">IF(H$12&lt;=$J$6,$J7,H17)</f>
        <v>411.66666666666669</v>
      </c>
      <c r="I21" s="11">
        <f t="shared" si="1"/>
        <v>411.66666666666669</v>
      </c>
      <c r="J21" s="11">
        <f t="shared" si="1"/>
        <v>2</v>
      </c>
      <c r="K21" s="11">
        <f t="shared" si="1"/>
        <v>2</v>
      </c>
      <c r="L21" s="11">
        <f t="shared" si="1"/>
        <v>2</v>
      </c>
      <c r="M21" s="11">
        <f t="shared" si="1"/>
        <v>2</v>
      </c>
      <c r="N21" s="11">
        <f t="shared" si="1"/>
        <v>2</v>
      </c>
      <c r="O21" s="11">
        <f t="shared" si="1"/>
        <v>2</v>
      </c>
      <c r="P21" s="11">
        <f t="shared" si="1"/>
        <v>2</v>
      </c>
      <c r="Q21" s="11">
        <f t="shared" si="1"/>
        <v>2</v>
      </c>
      <c r="R21" s="11">
        <f t="shared" si="1"/>
        <v>2</v>
      </c>
      <c r="S21" s="11">
        <f t="shared" si="1"/>
        <v>2</v>
      </c>
      <c r="T21" s="11">
        <f t="shared" si="1"/>
        <v>2</v>
      </c>
      <c r="U21" s="11">
        <f t="shared" si="1"/>
        <v>2</v>
      </c>
    </row>
    <row r="22" spans="2:26" x14ac:dyDescent="0.3">
      <c r="B22" s="59"/>
      <c r="C22" s="56" t="s">
        <v>126</v>
      </c>
      <c r="D22" s="57"/>
      <c r="E22" s="57"/>
      <c r="F22" s="9">
        <v>0</v>
      </c>
      <c r="G22" s="11">
        <f>IF(G$12&lt;=$J$6,$J8,G18)</f>
        <v>0</v>
      </c>
      <c r="H22" s="11">
        <f t="shared" si="1"/>
        <v>0</v>
      </c>
      <c r="I22" s="11">
        <f t="shared" si="1"/>
        <v>0</v>
      </c>
      <c r="J22" s="11">
        <f t="shared" si="1"/>
        <v>0</v>
      </c>
      <c r="K22" s="11">
        <f t="shared" si="1"/>
        <v>0</v>
      </c>
      <c r="L22" s="11">
        <f t="shared" si="1"/>
        <v>0</v>
      </c>
      <c r="M22" s="11">
        <f t="shared" si="1"/>
        <v>0</v>
      </c>
      <c r="N22" s="11">
        <f>IF(N$12&lt;=$J$6,$J8,N18)</f>
        <v>0</v>
      </c>
      <c r="O22" s="11">
        <f t="shared" si="1"/>
        <v>0</v>
      </c>
      <c r="P22" s="11">
        <f t="shared" si="1"/>
        <v>0</v>
      </c>
      <c r="Q22" s="11">
        <f t="shared" si="1"/>
        <v>0</v>
      </c>
      <c r="R22" s="11">
        <f t="shared" si="1"/>
        <v>0</v>
      </c>
      <c r="S22" s="11">
        <f t="shared" si="1"/>
        <v>0</v>
      </c>
      <c r="T22" s="11">
        <f t="shared" si="1"/>
        <v>0</v>
      </c>
      <c r="U22" s="11">
        <f t="shared" si="1"/>
        <v>0</v>
      </c>
    </row>
    <row r="23" spans="2:26" x14ac:dyDescent="0.3">
      <c r="B23" s="59"/>
      <c r="C23" s="56" t="s">
        <v>127</v>
      </c>
      <c r="D23" s="57"/>
      <c r="E23" s="57"/>
      <c r="F23" s="9">
        <v>0</v>
      </c>
      <c r="G23" s="11">
        <f>IF(G$12&lt;=$J$6,$J9,G19)</f>
        <v>14203</v>
      </c>
      <c r="H23" s="11">
        <f t="shared" si="1"/>
        <v>14203</v>
      </c>
      <c r="I23" s="11">
        <f t="shared" si="1"/>
        <v>14203</v>
      </c>
      <c r="J23" s="11">
        <f t="shared" si="1"/>
        <v>148</v>
      </c>
      <c r="K23" s="11">
        <f t="shared" si="1"/>
        <v>148</v>
      </c>
      <c r="L23" s="11">
        <f t="shared" si="1"/>
        <v>148</v>
      </c>
      <c r="M23" s="11">
        <f t="shared" si="1"/>
        <v>150</v>
      </c>
      <c r="N23" s="11">
        <f t="shared" si="1"/>
        <v>150</v>
      </c>
      <c r="O23" s="11">
        <f t="shared" si="1"/>
        <v>150</v>
      </c>
      <c r="P23" s="11">
        <f t="shared" si="1"/>
        <v>150</v>
      </c>
      <c r="Q23" s="11">
        <f t="shared" si="1"/>
        <v>150</v>
      </c>
      <c r="R23" s="11">
        <f t="shared" si="1"/>
        <v>152</v>
      </c>
      <c r="S23" s="11">
        <f t="shared" si="1"/>
        <v>152</v>
      </c>
      <c r="T23" s="11">
        <f t="shared" si="1"/>
        <v>153</v>
      </c>
      <c r="U23" s="11">
        <f t="shared" si="1"/>
        <v>156</v>
      </c>
    </row>
    <row r="24" spans="2:26" x14ac:dyDescent="0.3">
      <c r="B24" s="59"/>
      <c r="C24" s="71" t="s">
        <v>114</v>
      </c>
      <c r="D24" s="64"/>
      <c r="E24" s="64"/>
      <c r="F24" s="4">
        <f>SUM(F17:F19)</f>
        <v>43398</v>
      </c>
      <c r="G24" s="7">
        <f>SUM(F24,G17:G19)-SUM(G21:G23)</f>
        <v>28931.333333333336</v>
      </c>
      <c r="H24" s="7">
        <f t="shared" ref="H24:U24" si="2">SUM(G24,H17:H19)-SUM(H21:H23)</f>
        <v>14464.66666666667</v>
      </c>
      <c r="I24" s="7">
        <f t="shared" si="2"/>
        <v>0</v>
      </c>
      <c r="J24" s="7">
        <f t="shared" si="2"/>
        <v>0</v>
      </c>
      <c r="K24" s="7">
        <f t="shared" si="2"/>
        <v>0</v>
      </c>
      <c r="L24" s="7">
        <f t="shared" si="2"/>
        <v>0</v>
      </c>
      <c r="M24" s="7">
        <f t="shared" si="2"/>
        <v>0</v>
      </c>
      <c r="N24" s="7">
        <f t="shared" si="2"/>
        <v>0</v>
      </c>
      <c r="O24" s="7">
        <f t="shared" si="2"/>
        <v>0</v>
      </c>
      <c r="P24" s="7">
        <f>SUM(O24,P17:P19)-SUM(P21:P23)</f>
        <v>0</v>
      </c>
      <c r="Q24" s="7">
        <f>SUM(P24,Q17:Q19)-SUM(Q21:Q23)</f>
        <v>0</v>
      </c>
      <c r="R24" s="7">
        <f t="shared" si="2"/>
        <v>0</v>
      </c>
      <c r="S24" s="7">
        <f t="shared" si="2"/>
        <v>0</v>
      </c>
      <c r="T24" s="7">
        <f t="shared" si="2"/>
        <v>0</v>
      </c>
      <c r="U24" s="7">
        <f t="shared" si="2"/>
        <v>0</v>
      </c>
    </row>
    <row r="25" spans="2:26" x14ac:dyDescent="0.3">
      <c r="B25" s="60"/>
      <c r="C25" s="63" t="s">
        <v>108</v>
      </c>
      <c r="D25" s="63"/>
      <c r="E25" s="63"/>
      <c r="F25" s="17">
        <v>0</v>
      </c>
      <c r="G25" s="17">
        <f>IF(G$12&lt;=$J$6,SUM($F$21:G23)/SUM($F$17:G19),1)</f>
        <v>0.33561444602642415</v>
      </c>
      <c r="H25" s="17">
        <f>IF(H$12&lt;=$J$6,SUM($F$21:H23)/SUM($F$17:H19),1)</f>
        <v>0.66895531041638068</v>
      </c>
      <c r="I25" s="17">
        <f>IF(I$12&lt;=$J$6,SUM($F$21:I23)/SUM($F$17:I19),1)</f>
        <v>1</v>
      </c>
      <c r="J25" s="17">
        <f>IF(J$12&lt;=$J$6,SUM($F$21:J23)/SUM($F$17:J19),1)</f>
        <v>1</v>
      </c>
      <c r="K25" s="17">
        <f>IF(K$12&lt;=$J$6,SUM($F$21:K23)/SUM($F$17:K19),1)</f>
        <v>1</v>
      </c>
      <c r="L25" s="17">
        <f>IF(L$12&lt;=$J$6,SUM($F$21:L23)/SUM($F$17:L19),1)</f>
        <v>1</v>
      </c>
      <c r="M25" s="17">
        <f>IF(M$12&lt;=$J$6,SUM($F$21:M23)/SUM($F$17:M19),1)</f>
        <v>1</v>
      </c>
      <c r="N25" s="17">
        <f>IF(N$12&lt;=$J$6,SUM($F$21:N23)/SUM($F$17:N19),1)</f>
        <v>1</v>
      </c>
      <c r="O25" s="17">
        <f>IF(O$12&lt;=$J$6,SUM($F$21:O23)/SUM($F$17:O19),1)</f>
        <v>1</v>
      </c>
      <c r="P25" s="17">
        <f>IF(P$12&lt;=$J$6,SUM($F$21:P23)/SUM($F$17:P19),1)</f>
        <v>1</v>
      </c>
      <c r="Q25" s="17">
        <f>IF(Q$12&lt;=$J$6,SUM($F$21:Q23)/SUM($F$17:Q19),1)</f>
        <v>1</v>
      </c>
      <c r="R25" s="17">
        <f>IF(R$12&lt;=$J$6,SUM($F$21:R23)/SUM($F$17:R19),1)</f>
        <v>1</v>
      </c>
      <c r="S25" s="17">
        <f>IF(S$12&lt;=$J$6,SUM($F$21:S23)/SUM($F$17:S19),1)</f>
        <v>1</v>
      </c>
      <c r="T25" s="17">
        <f>IF(T$12&lt;=$J$6,SUM($F$21:T23)/SUM($F$17:T19),1)</f>
        <v>1</v>
      </c>
      <c r="U25" s="17">
        <f>IF(U$12&lt;=$J$6,SUM($F$21:U23)/SUM($F$17:U19),1)</f>
        <v>1</v>
      </c>
    </row>
    <row r="26" spans="2:26" ht="28.2" customHeight="1" x14ac:dyDescent="0.3"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</row>
    <row r="27" spans="2:26" x14ac:dyDescent="0.3">
      <c r="B27" s="46" t="s">
        <v>124</v>
      </c>
      <c r="C27" s="47"/>
      <c r="D27" s="48"/>
      <c r="E27" s="22" t="s">
        <v>48</v>
      </c>
      <c r="F27" s="24">
        <v>0</v>
      </c>
      <c r="G27" s="24">
        <v>1</v>
      </c>
      <c r="H27" s="24">
        <v>2</v>
      </c>
      <c r="I27" s="24">
        <v>3</v>
      </c>
      <c r="J27" s="24">
        <v>4</v>
      </c>
      <c r="K27" s="24">
        <v>5</v>
      </c>
      <c r="L27" s="24">
        <v>6</v>
      </c>
      <c r="M27" s="24">
        <v>7</v>
      </c>
      <c r="N27" s="24">
        <v>8</v>
      </c>
      <c r="O27" s="24">
        <v>9</v>
      </c>
      <c r="P27" s="24">
        <v>10</v>
      </c>
      <c r="Q27" s="24">
        <v>11</v>
      </c>
      <c r="R27" s="24">
        <v>12</v>
      </c>
      <c r="S27" s="24">
        <v>13</v>
      </c>
      <c r="T27" s="24">
        <v>14</v>
      </c>
      <c r="U27" s="24">
        <v>15</v>
      </c>
    </row>
    <row r="28" spans="2:26" x14ac:dyDescent="0.3">
      <c r="B28" s="49"/>
      <c r="C28" s="50"/>
      <c r="D28" s="51"/>
      <c r="E28" s="23" t="s">
        <v>49</v>
      </c>
      <c r="F28" s="25">
        <v>2025</v>
      </c>
      <c r="G28" s="25">
        <v>2026</v>
      </c>
      <c r="H28" s="25">
        <v>2027</v>
      </c>
      <c r="I28" s="25">
        <v>2028</v>
      </c>
      <c r="J28" s="25">
        <v>2029</v>
      </c>
      <c r="K28" s="25">
        <v>2030</v>
      </c>
      <c r="L28" s="25">
        <v>2031</v>
      </c>
      <c r="M28" s="25">
        <v>2032</v>
      </c>
      <c r="N28" s="25">
        <v>2033</v>
      </c>
      <c r="O28" s="25">
        <v>2034</v>
      </c>
      <c r="P28" s="25">
        <v>2035</v>
      </c>
      <c r="Q28" s="25">
        <v>2036</v>
      </c>
      <c r="R28" s="25">
        <v>2037</v>
      </c>
      <c r="S28" s="25">
        <v>2038</v>
      </c>
      <c r="T28" s="25">
        <v>2039</v>
      </c>
      <c r="U28" s="25">
        <v>2040</v>
      </c>
      <c r="W28" s="40" t="s">
        <v>179</v>
      </c>
      <c r="X28" s="40" t="s">
        <v>180</v>
      </c>
      <c r="Y28" s="1" t="s">
        <v>181</v>
      </c>
      <c r="Z28" s="41" t="s">
        <v>182</v>
      </c>
    </row>
    <row r="29" spans="2:26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2:26" x14ac:dyDescent="0.3">
      <c r="B30" s="52" t="s">
        <v>118</v>
      </c>
      <c r="C30" s="44" t="s">
        <v>57</v>
      </c>
      <c r="D30" s="45"/>
      <c r="E30" s="45"/>
      <c r="F30" s="8">
        <v>0</v>
      </c>
      <c r="G30" s="8">
        <f>((-CB_SMI_Mixto_ALTA!C7)*G21)/1000000</f>
        <v>-5.3272960000000001E-2</v>
      </c>
      <c r="H30" s="8">
        <f>((-CB_SMI_Mixto_ALTA!D7)*H21)/1000000</f>
        <v>-5.3272960000000001E-2</v>
      </c>
      <c r="I30" s="8">
        <f>((-CB_SMI_Mixto_ALTA!E7)*I21)/1000000</f>
        <v>-5.3272960000000001E-2</v>
      </c>
      <c r="J30" s="8">
        <f>((-CB_SMI_Mixto_ALTA!F7)*J21)/1000000</f>
        <v>-2.5881599999999998E-4</v>
      </c>
      <c r="K30" s="8">
        <f>((-CB_SMI_Mixto_ALTA!G7)*K21)/1000000</f>
        <v>-2.5881599999999998E-4</v>
      </c>
      <c r="L30" s="8">
        <f>((-CB_SMI_Mixto_ALTA!H7)*L21)/1000000</f>
        <v>-2.5881599999999998E-4</v>
      </c>
      <c r="M30" s="8">
        <f>((-CB_SMI_Mixto_ALTA!I7)*M21)/1000000</f>
        <v>-2.5881599999999998E-4</v>
      </c>
      <c r="N30" s="8">
        <f>((-CB_SMI_Mixto_ALTA!J7)*N21)/1000000</f>
        <v>-2.5881599999999998E-4</v>
      </c>
      <c r="O30" s="8">
        <f>((-CB_SMI_Mixto_ALTA!K7)*O21)/1000000</f>
        <v>-2.5881599999999998E-4</v>
      </c>
      <c r="P30" s="8">
        <f>((-CB_SMI_Mixto_ALTA!L7)*P21)/1000000</f>
        <v>-2.5881599999999998E-4</v>
      </c>
      <c r="Q30" s="8">
        <f>((-CB_SMI_Mixto_ALTA!M7)*Q21)/1000000</f>
        <v>-2.5881599999999998E-4</v>
      </c>
      <c r="R30" s="8">
        <f>((-CB_SMI_Mixto_ALTA!N7)*R21)/1000000</f>
        <v>-2.5881599999999998E-4</v>
      </c>
      <c r="S30" s="8">
        <f>((-CB_SMI_Mixto_ALTA!O7)*S21)/1000000</f>
        <v>-2.5881599999999998E-4</v>
      </c>
      <c r="T30" s="8">
        <f>((-CB_SMI_Mixto_ALTA!P7)*T21)/1000000</f>
        <v>-2.5881599999999998E-4</v>
      </c>
      <c r="U30" s="8">
        <f>((-CB_SMI_Mixto_ALTA!Q7)*U21)/1000000</f>
        <v>-2.5881599999999998E-4</v>
      </c>
      <c r="W30" s="42">
        <f t="shared" ref="W30:W36" si="3">NPV($D$67,G30:U30)+F30</f>
        <v>-0.14422112583649102</v>
      </c>
      <c r="X30" s="42">
        <f t="shared" ref="X30:X36" si="4">PMT($D$67,15,-W30)</f>
        <v>-1.4849405736872077E-2</v>
      </c>
      <c r="Y30" s="42">
        <f>W30*1000000/7744865</f>
        <v>-1.8621515783230701E-2</v>
      </c>
      <c r="Z30" s="30">
        <f t="shared" ref="Z30:Z36" si="5">W30/$W$36</f>
        <v>4.967785149433193E-3</v>
      </c>
    </row>
    <row r="31" spans="2:26" x14ac:dyDescent="0.3">
      <c r="B31" s="53"/>
      <c r="C31" s="44" t="s">
        <v>58</v>
      </c>
      <c r="D31" s="45"/>
      <c r="E31" s="45"/>
      <c r="F31" s="8">
        <v>0</v>
      </c>
      <c r="G31" s="8">
        <f>((-CB_SMI_Mixto_ALTA!C8)*G22)/1000000</f>
        <v>0</v>
      </c>
      <c r="H31" s="8">
        <f>((-CB_SMI_Mixto_ALTA!D8)*H22)/1000000</f>
        <v>0</v>
      </c>
      <c r="I31" s="8">
        <f>((-CB_SMI_Mixto_ALTA!E8)*I22)/1000000</f>
        <v>0</v>
      </c>
      <c r="J31" s="8">
        <f>((-CB_SMI_Mixto_ALTA!F8)*J22)/1000000</f>
        <v>0</v>
      </c>
      <c r="K31" s="8">
        <f>((-CB_SMI_Mixto_ALTA!G8)*K22)/1000000</f>
        <v>0</v>
      </c>
      <c r="L31" s="8">
        <f>((-CB_SMI_Mixto_ALTA!H8)*L22)/1000000</f>
        <v>0</v>
      </c>
      <c r="M31" s="8">
        <f>((-CB_SMI_Mixto_ALTA!I8)*M22)/1000000</f>
        <v>0</v>
      </c>
      <c r="N31" s="8">
        <f>((-CB_SMI_Mixto_ALTA!J8)*N22)/1000000</f>
        <v>0</v>
      </c>
      <c r="O31" s="8">
        <f>((-CB_SMI_Mixto_ALTA!K8)*O22)/1000000</f>
        <v>0</v>
      </c>
      <c r="P31" s="8">
        <f>((-CB_SMI_Mixto_ALTA!L8)*P22)/1000000</f>
        <v>0</v>
      </c>
      <c r="Q31" s="8">
        <f>((-CB_SMI_Mixto_ALTA!M8)*Q22)/1000000</f>
        <v>0</v>
      </c>
      <c r="R31" s="8">
        <f>((-CB_SMI_Mixto_ALTA!N8)*R22)/1000000</f>
        <v>0</v>
      </c>
      <c r="S31" s="8">
        <f>((-CB_SMI_Mixto_ALTA!O8)*S22)/1000000</f>
        <v>0</v>
      </c>
      <c r="T31" s="8">
        <f>((-CB_SMI_Mixto_ALTA!P8)*T22)/1000000</f>
        <v>0</v>
      </c>
      <c r="U31" s="8">
        <f>((-CB_SMI_Mixto_ALTA!Q8)*U22)/1000000</f>
        <v>0</v>
      </c>
      <c r="W31" s="42">
        <f t="shared" si="3"/>
        <v>0</v>
      </c>
      <c r="X31" s="42">
        <f t="shared" si="4"/>
        <v>0</v>
      </c>
      <c r="Y31" s="42">
        <f t="shared" ref="Y31:Y56" si="6">W31*1000000/7744865</f>
        <v>0</v>
      </c>
      <c r="Z31" s="30">
        <f t="shared" si="5"/>
        <v>0</v>
      </c>
    </row>
    <row r="32" spans="2:26" x14ac:dyDescent="0.3">
      <c r="B32" s="53"/>
      <c r="C32" s="44" t="s">
        <v>59</v>
      </c>
      <c r="D32" s="45"/>
      <c r="E32" s="45"/>
      <c r="F32" s="8">
        <v>0</v>
      </c>
      <c r="G32" s="8">
        <f>((-CB_SMI_Mixto_ALTA!C9)*G23)/1000000</f>
        <v>-10.191959175999999</v>
      </c>
      <c r="H32" s="8">
        <f>((-CB_SMI_Mixto_ALTA!D9)*H23)/1000000</f>
        <v>-10.191959175999999</v>
      </c>
      <c r="I32" s="8">
        <f>((-CB_SMI_Mixto_ALTA!E9)*I23)/1000000</f>
        <v>-10.191959176000001</v>
      </c>
      <c r="J32" s="8">
        <f>((-CB_SMI_Mixto_ALTA!F9)*J23)/1000000</f>
        <v>-0.10620361600000001</v>
      </c>
      <c r="K32" s="8">
        <f>((-CB_SMI_Mixto_ALTA!G9)*K23)/1000000</f>
        <v>-0.10620361600000001</v>
      </c>
      <c r="L32" s="8">
        <f>((-CB_SMI_Mixto_ALTA!H9)*L23)/1000000</f>
        <v>-0.10620361600000001</v>
      </c>
      <c r="M32" s="8">
        <f>((-CB_SMI_Mixto_ALTA!I9)*M23)/1000000</f>
        <v>-0.10763880000000002</v>
      </c>
      <c r="N32" s="8">
        <f>((-CB_SMI_Mixto_ALTA!J9)*N23)/1000000</f>
        <v>-0.10763880000000002</v>
      </c>
      <c r="O32" s="8">
        <f>((-CB_SMI_Mixto_ALTA!K9)*O23)/1000000</f>
        <v>-0.10763880000000002</v>
      </c>
      <c r="P32" s="8">
        <f>((-CB_SMI_Mixto_ALTA!L9)*P23)/1000000</f>
        <v>-0.10763880000000002</v>
      </c>
      <c r="Q32" s="8">
        <f>((-CB_SMI_Mixto_ALTA!M9)*Q23)/1000000</f>
        <v>-0.10763880000000002</v>
      </c>
      <c r="R32" s="8">
        <f>((-CB_SMI_Mixto_ALTA!N9)*R23)/1000000</f>
        <v>-0.10907398400000001</v>
      </c>
      <c r="S32" s="8">
        <f>((-CB_SMI_Mixto_ALTA!O9)*S23)/1000000</f>
        <v>-0.10907398400000001</v>
      </c>
      <c r="T32" s="8">
        <f>((-CB_SMI_Mixto_ALTA!P9)*T23)/1000000</f>
        <v>-0.109791576</v>
      </c>
      <c r="U32" s="8">
        <f>((-CB_SMI_Mixto_ALTA!Q9)*U23)/1000000</f>
        <v>-0.11194435200000001</v>
      </c>
      <c r="W32" s="42">
        <f t="shared" si="3"/>
        <v>-28.00183753643536</v>
      </c>
      <c r="X32" s="42">
        <f t="shared" si="4"/>
        <v>-2.8831465885790091</v>
      </c>
      <c r="Y32" s="42">
        <f t="shared" si="6"/>
        <v>-3.6155359113987604</v>
      </c>
      <c r="Z32" s="30">
        <f t="shared" si="5"/>
        <v>0.96454047119321173</v>
      </c>
    </row>
    <row r="33" spans="2:26" x14ac:dyDescent="0.3">
      <c r="B33" s="53"/>
      <c r="C33" s="44" t="s">
        <v>60</v>
      </c>
      <c r="D33" s="45"/>
      <c r="E33" s="45"/>
      <c r="F33" s="8">
        <f>((-CB_SMI_Mixto_ALTA!B10)*CB_SMI_Mixto_ALTA!B6)/1000000</f>
        <v>0</v>
      </c>
      <c r="G33" s="8">
        <f>((-CB_SMI_Mixto_ALTA!C10)*CB_SMI_Mixto_ALTA!C6)/1000000</f>
        <v>0</v>
      </c>
      <c r="H33" s="8">
        <f>((-CB_SMI_Mixto_ALTA!D10)*CB_SMI_Mixto_ALTA!D6)/1000000</f>
        <v>0</v>
      </c>
      <c r="I33" s="8">
        <f>((-CB_SMI_Mixto_ALTA!E10)*CB_SMI_Mixto_ALTA!E6)/1000000</f>
        <v>0</v>
      </c>
      <c r="J33" s="8">
        <f>((-CB_SMI_Mixto_ALTA!F10)*CB_SMI_Mixto_ALTA!F6)/1000000</f>
        <v>0</v>
      </c>
      <c r="K33" s="8">
        <f>((-CB_SMI_Mixto_ALTA!G10)*CB_SMI_Mixto_ALTA!G6)/1000000</f>
        <v>0</v>
      </c>
      <c r="L33" s="8">
        <f>((-CB_SMI_Mixto_ALTA!H10)*CB_SMI_Mixto_ALTA!H6)/1000000</f>
        <v>0</v>
      </c>
      <c r="M33" s="8">
        <f>((-CB_SMI_Mixto_ALTA!I10)*CB_SMI_Mixto_ALTA!I6)/1000000</f>
        <v>0</v>
      </c>
      <c r="N33" s="8">
        <f>((-CB_SMI_Mixto_ALTA!J10)*CB_SMI_Mixto_ALTA!J6)/1000000</f>
        <v>0</v>
      </c>
      <c r="O33" s="8">
        <f>((-CB_SMI_Mixto_ALTA!K10)*CB_SMI_Mixto_ALTA!K6)/1000000</f>
        <v>0</v>
      </c>
      <c r="P33" s="8">
        <f>((-CB_SMI_Mixto_ALTA!L10)*CB_SMI_Mixto_ALTA!L6)/1000000</f>
        <v>0</v>
      </c>
      <c r="Q33" s="8">
        <f>((-CB_SMI_Mixto_ALTA!M10)*CB_SMI_Mixto_ALTA!M6)/1000000</f>
        <v>0</v>
      </c>
      <c r="R33" s="8">
        <f>((-CB_SMI_Mixto_ALTA!N10)*CB_SMI_Mixto_ALTA!N6)/1000000</f>
        <v>0</v>
      </c>
      <c r="S33" s="8">
        <f>((-CB_SMI_Mixto_ALTA!O10)*CB_SMI_Mixto_ALTA!O6)/1000000</f>
        <v>0</v>
      </c>
      <c r="T33" s="8">
        <f>((-CB_SMI_Mixto_ALTA!P10)*CB_SMI_Mixto_ALTA!P6)/1000000</f>
        <v>0</v>
      </c>
      <c r="U33" s="8">
        <f>((-CB_SMI_Mixto_ALTA!Q10)*CB_SMI_Mixto_ALTA!Q6)/1000000</f>
        <v>0</v>
      </c>
      <c r="W33" s="42">
        <f t="shared" si="3"/>
        <v>0</v>
      </c>
      <c r="X33" s="42">
        <f t="shared" si="4"/>
        <v>0</v>
      </c>
      <c r="Y33" s="42">
        <f t="shared" si="6"/>
        <v>0</v>
      </c>
      <c r="Z33" s="30">
        <f t="shared" si="5"/>
        <v>0</v>
      </c>
    </row>
    <row r="34" spans="2:26" x14ac:dyDescent="0.3">
      <c r="B34" s="53"/>
      <c r="C34" s="44" t="s">
        <v>145</v>
      </c>
      <c r="D34" s="45"/>
      <c r="E34" s="45"/>
      <c r="F34" s="8">
        <f>(-CB_SMI_Mixto_ALTA!B11)/1000000</f>
        <v>-0.7963966979999999</v>
      </c>
      <c r="G34" s="8">
        <f>(-CB_SMI_Mixto_ALTA!C11)/1000000</f>
        <v>-2.7159479999999997E-3</v>
      </c>
      <c r="H34" s="8">
        <f>(-CB_SMI_Mixto_ALTA!D11)/1000000</f>
        <v>-2.7159479999999997E-3</v>
      </c>
      <c r="I34" s="8">
        <f>(-CB_SMI_Mixto_ALTA!E11)/1000000</f>
        <v>-2.7526500000000001E-3</v>
      </c>
      <c r="J34" s="8">
        <f>(-CB_SMI_Mixto_ALTA!F11)/1000000</f>
        <v>-2.7526500000000001E-3</v>
      </c>
      <c r="K34" s="8">
        <f>(-CB_SMI_Mixto_ALTA!G11)/1000000</f>
        <v>-2.7526500000000001E-3</v>
      </c>
      <c r="L34" s="8">
        <f>(-CB_SMI_Mixto_ALTA!H11)/1000000</f>
        <v>-2.7526500000000001E-3</v>
      </c>
      <c r="M34" s="8">
        <f>(-CB_SMI_Mixto_ALTA!I11)/1000000</f>
        <v>-2.7893519999999997E-3</v>
      </c>
      <c r="N34" s="8">
        <f>(-CB_SMI_Mixto_ALTA!J11)/1000000</f>
        <v>-2.7893519999999997E-3</v>
      </c>
      <c r="O34" s="8">
        <f>(-CB_SMI_Mixto_ALTA!K11)/1000000</f>
        <v>-2.7893519999999997E-3</v>
      </c>
      <c r="P34" s="8">
        <f>(-CB_SMI_Mixto_ALTA!L11)/1000000</f>
        <v>-2.7893519999999997E-3</v>
      </c>
      <c r="Q34" s="8">
        <f>(-CB_SMI_Mixto_ALTA!M11)/1000000</f>
        <v>-2.7893519999999997E-3</v>
      </c>
      <c r="R34" s="8">
        <f>(-CB_SMI_Mixto_ALTA!N11)/1000000</f>
        <v>-2.8260540000000002E-3</v>
      </c>
      <c r="S34" s="8">
        <f>(-CB_SMI_Mixto_ALTA!O11)/1000000</f>
        <v>-2.8260540000000002E-3</v>
      </c>
      <c r="T34" s="8">
        <f>(-CB_SMI_Mixto_ALTA!P11)/1000000</f>
        <v>-2.8444050000000004E-3</v>
      </c>
      <c r="U34" s="8">
        <f>(-CB_SMI_Mixto_ALTA!Q11)/1000000</f>
        <v>-2.8994580000000002E-3</v>
      </c>
      <c r="W34" s="42">
        <f t="shared" si="3"/>
        <v>-0.82334555480454252</v>
      </c>
      <c r="X34" s="42">
        <f t="shared" si="4"/>
        <v>-8.4773934012996099E-2</v>
      </c>
      <c r="Y34" s="42">
        <f t="shared" si="6"/>
        <v>-0.10630857410743022</v>
      </c>
      <c r="Z34" s="30">
        <f t="shared" si="5"/>
        <v>2.8360642702561199E-2</v>
      </c>
    </row>
    <row r="35" spans="2:26" x14ac:dyDescent="0.3">
      <c r="B35" s="53"/>
      <c r="C35" s="44" t="s">
        <v>143</v>
      </c>
      <c r="D35" s="45"/>
      <c r="E35" s="45"/>
      <c r="F35" s="8">
        <f>(-CB_SMI_Mixto_ALTA!B12)/1000000</f>
        <v>-5.9843557894736846E-2</v>
      </c>
      <c r="G35" s="8">
        <f>(-CB_SMI_Mixto_ALTA!C12)/1000000</f>
        <v>-2.0408421052631577E-4</v>
      </c>
      <c r="H35" s="8">
        <f>(-CB_SMI_Mixto_ALTA!D12)/1000000</f>
        <v>-2.0408421052631577E-4</v>
      </c>
      <c r="I35" s="8">
        <f>(-CB_SMI_Mixto_ALTA!E12)/1000000</f>
        <v>-2.0684210526315789E-4</v>
      </c>
      <c r="J35" s="8">
        <f>(-CB_SMI_Mixto_ALTA!F12)/1000000</f>
        <v>-2.0684210526315789E-4</v>
      </c>
      <c r="K35" s="8">
        <f>(-CB_SMI_Mixto_ALTA!G12)/1000000</f>
        <v>-2.0684210526315789E-4</v>
      </c>
      <c r="L35" s="8">
        <f>(-CB_SMI_Mixto_ALTA!H12)/1000000</f>
        <v>-2.0684210526315789E-4</v>
      </c>
      <c r="M35" s="8">
        <f>(-CB_SMI_Mixto_ALTA!I12)/1000000</f>
        <v>-2.096E-4</v>
      </c>
      <c r="N35" s="8">
        <f>(-CB_SMI_Mixto_ALTA!J12)/1000000</f>
        <v>-2.096E-4</v>
      </c>
      <c r="O35" s="8">
        <f>(-CB_SMI_Mixto_ALTA!K12)/1000000</f>
        <v>-2.096E-4</v>
      </c>
      <c r="P35" s="8">
        <f>(-CB_SMI_Mixto_ALTA!L12)/1000000</f>
        <v>-2.096E-4</v>
      </c>
      <c r="Q35" s="8">
        <f>(-CB_SMI_Mixto_ALTA!M12)/1000000</f>
        <v>-2.096E-4</v>
      </c>
      <c r="R35" s="8">
        <f>(-CB_SMI_Mixto_ALTA!N12)/1000000</f>
        <v>-2.1235789473684211E-4</v>
      </c>
      <c r="S35" s="8">
        <f>(-CB_SMI_Mixto_ALTA!O12)/1000000</f>
        <v>-2.1235789473684211E-4</v>
      </c>
      <c r="T35" s="8">
        <f>(-CB_SMI_Mixto_ALTA!P12)/1000000</f>
        <v>-2.1373684210526319E-4</v>
      </c>
      <c r="U35" s="8">
        <f>(-CB_SMI_Mixto_ALTA!Q12)/1000000</f>
        <v>-2.1787368421052631E-4</v>
      </c>
      <c r="W35" s="42">
        <f t="shared" si="3"/>
        <v>-6.1868573162165312E-2</v>
      </c>
      <c r="X35" s="42">
        <f t="shared" si="4"/>
        <v>-6.3701592947480214E-3</v>
      </c>
      <c r="Y35" s="42">
        <f t="shared" si="6"/>
        <v>-7.9883346142463826E-3</v>
      </c>
      <c r="Z35" s="30">
        <f t="shared" si="5"/>
        <v>2.1311009547940983E-3</v>
      </c>
    </row>
    <row r="36" spans="2:26" x14ac:dyDescent="0.3">
      <c r="B36" s="54"/>
      <c r="C36" s="55" t="s">
        <v>123</v>
      </c>
      <c r="D36" s="55"/>
      <c r="E36" s="55"/>
      <c r="F36" s="15">
        <f>SUM(F30:F35)</f>
        <v>-0.85624025589473673</v>
      </c>
      <c r="G36" s="15">
        <f t="shared" ref="G36:U36" si="7">SUM(G30:G35)</f>
        <v>-10.248152168210526</v>
      </c>
      <c r="H36" s="15">
        <f t="shared" si="7"/>
        <v>-10.248152168210526</v>
      </c>
      <c r="I36" s="15">
        <f t="shared" si="7"/>
        <v>-10.248191628105262</v>
      </c>
      <c r="J36" s="15">
        <f t="shared" si="7"/>
        <v>-0.10942192410526316</v>
      </c>
      <c r="K36" s="15">
        <f t="shared" si="7"/>
        <v>-0.10942192410526316</v>
      </c>
      <c r="L36" s="15">
        <f t="shared" si="7"/>
        <v>-0.10942192410526316</v>
      </c>
      <c r="M36" s="15">
        <f t="shared" si="7"/>
        <v>-0.11089656800000001</v>
      </c>
      <c r="N36" s="15">
        <f t="shared" si="7"/>
        <v>-0.11089656800000001</v>
      </c>
      <c r="O36" s="15">
        <f t="shared" si="7"/>
        <v>-0.11089656800000001</v>
      </c>
      <c r="P36" s="15">
        <f t="shared" si="7"/>
        <v>-0.11089656800000001</v>
      </c>
      <c r="Q36" s="15">
        <f t="shared" si="7"/>
        <v>-0.11089656800000001</v>
      </c>
      <c r="R36" s="15">
        <f t="shared" si="7"/>
        <v>-0.11237121189473684</v>
      </c>
      <c r="S36" s="15">
        <f t="shared" si="7"/>
        <v>-0.11237121189473684</v>
      </c>
      <c r="T36" s="15">
        <f t="shared" si="7"/>
        <v>-0.11310853384210526</v>
      </c>
      <c r="U36" s="15">
        <f t="shared" si="7"/>
        <v>-0.11532049968421053</v>
      </c>
      <c r="W36" s="42">
        <f t="shared" si="3"/>
        <v>-29.031272790238553</v>
      </c>
      <c r="X36" s="42">
        <f t="shared" si="4"/>
        <v>-2.9891400876236247</v>
      </c>
      <c r="Y36" s="42">
        <f t="shared" si="6"/>
        <v>-3.7484543359036668</v>
      </c>
      <c r="Z36" s="30">
        <f t="shared" si="5"/>
        <v>1</v>
      </c>
    </row>
    <row r="37" spans="2:26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W37" s="42"/>
      <c r="X37" s="42"/>
      <c r="Y37" s="42"/>
    </row>
    <row r="38" spans="2:26" x14ac:dyDescent="0.3">
      <c r="B38" s="52" t="s">
        <v>119</v>
      </c>
      <c r="C38" s="44" t="s">
        <v>100</v>
      </c>
      <c r="D38" s="45"/>
      <c r="E38" s="45"/>
      <c r="F38" s="8">
        <v>0</v>
      </c>
      <c r="G38" s="8">
        <f>(-CB_SMI_Mixto_ALTA!C13/1000000)*G$25</f>
        <v>0</v>
      </c>
      <c r="H38" s="8">
        <f>(-CB_SMI_Mixto_ALTA!D13/1000000)*H$25</f>
        <v>0</v>
      </c>
      <c r="I38" s="8">
        <f>(-CB_SMI_Mixto_ALTA!E13/1000000)*I$25</f>
        <v>0</v>
      </c>
      <c r="J38" s="8">
        <f>(-CB_SMI_Mixto_ALTA!F13/1000000)*J$25</f>
        <v>0</v>
      </c>
      <c r="K38" s="8">
        <f>(-CB_SMI_Mixto_ALTA!G13/1000000)*K$25</f>
        <v>0</v>
      </c>
      <c r="L38" s="8">
        <f>(-CB_SMI_Mixto_ALTA!H13/1000000)*L$25</f>
        <v>0</v>
      </c>
      <c r="M38" s="8">
        <f>(-CB_SMI_Mixto_ALTA!I13/1000000)*M$25</f>
        <v>0</v>
      </c>
      <c r="N38" s="8">
        <f>(-CB_SMI_Mixto_ALTA!J13/1000000)*N$25</f>
        <v>0</v>
      </c>
      <c r="O38" s="8">
        <f>(-CB_SMI_Mixto_ALTA!K13/1000000)*O$25</f>
        <v>0</v>
      </c>
      <c r="P38" s="8">
        <f>(-CB_SMI_Mixto_ALTA!L13/1000000)*P$25</f>
        <v>0</v>
      </c>
      <c r="Q38" s="8">
        <f>(-CB_SMI_Mixto_ALTA!M13/1000000)*Q$25</f>
        <v>0</v>
      </c>
      <c r="R38" s="8">
        <f>(-CB_SMI_Mixto_ALTA!N13/1000000)*R$25</f>
        <v>0</v>
      </c>
      <c r="S38" s="8">
        <f>(-CB_SMI_Mixto_ALTA!O13/1000000)*S$25</f>
        <v>0</v>
      </c>
      <c r="T38" s="8">
        <f>(-CB_SMI_Mixto_ALTA!P13/1000000)*T$25</f>
        <v>0</v>
      </c>
      <c r="U38" s="8">
        <f>(-CB_SMI_Mixto_ALTA!Q13/1000000)*U$25</f>
        <v>0</v>
      </c>
      <c r="W38" s="42">
        <f t="shared" ref="W38:W43" si="8">NPV($D$67,G38:U38)+F38</f>
        <v>0</v>
      </c>
      <c r="X38" s="42">
        <f t="shared" ref="X38:X43" si="9">PMT($D$67,15,-W38)</f>
        <v>0</v>
      </c>
      <c r="Y38" s="42">
        <f t="shared" si="6"/>
        <v>0</v>
      </c>
      <c r="Z38" s="30">
        <f t="shared" ref="Z38:Z43" si="10">W38/$W$43</f>
        <v>0</v>
      </c>
    </row>
    <row r="39" spans="2:26" x14ac:dyDescent="0.3">
      <c r="B39" s="53"/>
      <c r="C39" s="44" t="s">
        <v>101</v>
      </c>
      <c r="D39" s="45"/>
      <c r="E39" s="45"/>
      <c r="F39" s="8">
        <v>0</v>
      </c>
      <c r="G39" s="8">
        <f>(-CB_SMI_Mixto_ALTA!C14/1000000)*G$25</f>
        <v>-0.24485516501807866</v>
      </c>
      <c r="H39" s="8">
        <f>(-CB_SMI_Mixto_ALTA!D14/1000000)*H$25</f>
        <v>-0.48805158675686616</v>
      </c>
      <c r="I39" s="8">
        <f>(-CB_SMI_Mixto_ALTA!E14/1000000)*I$25</f>
        <v>-0.72957278185456986</v>
      </c>
      <c r="J39" s="8">
        <f>(-CB_SMI_Mixto_ALTA!F14/1000000)*J$25</f>
        <v>-0.72957278185456986</v>
      </c>
      <c r="K39" s="8">
        <f>(-CB_SMI_Mixto_ALTA!G14/1000000)*K$25</f>
        <v>-0.72957278185456986</v>
      </c>
      <c r="L39" s="8">
        <f>(-CB_SMI_Mixto_ALTA!H14/1000000)*L$25</f>
        <v>-0.72957278185456986</v>
      </c>
      <c r="M39" s="8">
        <f>(-CB_SMI_Mixto_ALTA!I14/1000000)*M$25</f>
        <v>-0.72957278185456986</v>
      </c>
      <c r="N39" s="8">
        <f>(-CB_SMI_Mixto_ALTA!J14/1000000)*N$25</f>
        <v>-0.72957278185456986</v>
      </c>
      <c r="O39" s="8">
        <f>(-CB_SMI_Mixto_ALTA!K14/1000000)*O$25</f>
        <v>-0.72957278185456986</v>
      </c>
      <c r="P39" s="8">
        <f>(-CB_SMI_Mixto_ALTA!L14/1000000)*P$25</f>
        <v>-0.72957278185456986</v>
      </c>
      <c r="Q39" s="8">
        <f>(-CB_SMI_Mixto_ALTA!M14/1000000)*Q$25</f>
        <v>-0.72957278185456986</v>
      </c>
      <c r="R39" s="8">
        <f>(-CB_SMI_Mixto_ALTA!N14/1000000)*R$25</f>
        <v>-0.72957278185456986</v>
      </c>
      <c r="S39" s="8">
        <f>(-CB_SMI_Mixto_ALTA!O14/1000000)*S$25</f>
        <v>-0.72957278185456986</v>
      </c>
      <c r="T39" s="8">
        <f>(-CB_SMI_Mixto_ALTA!P14/1000000)*T$25</f>
        <v>-0.72957278185456986</v>
      </c>
      <c r="U39" s="8">
        <f>(-CB_SMI_Mixto_ALTA!Q14/1000000)*U$25</f>
        <v>-0.72957278185456986</v>
      </c>
      <c r="W39" s="42">
        <f t="shared" si="8"/>
        <v>-6.4135587376250154</v>
      </c>
      <c r="X39" s="42">
        <f t="shared" si="9"/>
        <v>-0.66035773441561785</v>
      </c>
      <c r="Y39" s="42">
        <f t="shared" si="6"/>
        <v>-0.82810465225991869</v>
      </c>
      <c r="Z39" s="30">
        <f t="shared" si="10"/>
        <v>0.61261960392368542</v>
      </c>
    </row>
    <row r="40" spans="2:26" x14ac:dyDescent="0.3">
      <c r="B40" s="53"/>
      <c r="C40" s="44" t="s">
        <v>146</v>
      </c>
      <c r="D40" s="45"/>
      <c r="E40" s="45"/>
      <c r="F40" s="8">
        <v>0</v>
      </c>
      <c r="G40" s="8">
        <f>(-CB_SMI_Mixto_ALTA!C15/1000000)*G$25</f>
        <v>-0.11670284189459645</v>
      </c>
      <c r="H40" s="8">
        <f>(-CB_SMI_Mixto_ALTA!D15/1000000)*H$25</f>
        <v>-0.23340568378919282</v>
      </c>
      <c r="I40" s="8">
        <f>(-CB_SMI_Mixto_ALTA!E15/1000000)*I$25</f>
        <v>-0.3501085256837892</v>
      </c>
      <c r="J40" s="8">
        <f>(-CB_SMI_Mixto_ALTA!F15/1000000)*J$25</f>
        <v>-0.35130632421614411</v>
      </c>
      <c r="K40" s="8">
        <f>(-CB_SMI_Mixto_ALTA!G15/1000000)*K$25</f>
        <v>-0.35250412274849896</v>
      </c>
      <c r="L40" s="8">
        <f>(-CB_SMI_Mixto_ALTA!H15/1000000)*L$25</f>
        <v>-0.35370192128085393</v>
      </c>
      <c r="M40" s="8">
        <f>(-CB_SMI_Mixto_ALTA!I15/1000000)*M$25</f>
        <v>-0.35491569046030691</v>
      </c>
      <c r="N40" s="8">
        <f>(-CB_SMI_Mixto_ALTA!J15/1000000)*N$25</f>
        <v>-0.35612945963975989</v>
      </c>
      <c r="O40" s="8">
        <f>(-CB_SMI_Mixto_ALTA!K15/1000000)*O$25</f>
        <v>-0.35734322881921282</v>
      </c>
      <c r="P40" s="8">
        <f>(-CB_SMI_Mixto_ALTA!L15/1000000)*P$25</f>
        <v>-0.35855699799866581</v>
      </c>
      <c r="Q40" s="8">
        <f>(-CB_SMI_Mixto_ALTA!M15/1000000)*Q$25</f>
        <v>-0.35977076717811868</v>
      </c>
      <c r="R40" s="8">
        <f>(-CB_SMI_Mixto_ALTA!N15/1000000)*R$25</f>
        <v>-0.36100050700466979</v>
      </c>
      <c r="S40" s="8">
        <f>(-CB_SMI_Mixto_ALTA!O15/1000000)*S$25</f>
        <v>-0.36223024683122079</v>
      </c>
      <c r="T40" s="8">
        <f>(-CB_SMI_Mixto_ALTA!P15/1000000)*T$25</f>
        <v>-0.36346797198132086</v>
      </c>
      <c r="U40" s="8">
        <f>(-CB_SMI_Mixto_ALTA!Q15/1000000)*U$25</f>
        <v>-0.36472965310206801</v>
      </c>
      <c r="W40" s="42">
        <f t="shared" si="8"/>
        <v>-3.1257244061194944</v>
      </c>
      <c r="X40" s="42">
        <f t="shared" si="9"/>
        <v>-0.32183322421664146</v>
      </c>
      <c r="Y40" s="42">
        <f t="shared" si="6"/>
        <v>-0.40358668693637578</v>
      </c>
      <c r="Z40" s="30">
        <f t="shared" si="10"/>
        <v>0.29856747649599208</v>
      </c>
    </row>
    <row r="41" spans="2:26" x14ac:dyDescent="0.3">
      <c r="B41" s="53"/>
      <c r="C41" s="44" t="s">
        <v>144</v>
      </c>
      <c r="D41" s="45"/>
      <c r="E41" s="45"/>
      <c r="F41" s="8">
        <v>0</v>
      </c>
      <c r="G41" s="8">
        <f>(-CB_SMI_Mixto_ALTA!C16/1000000)*G$25</f>
        <v>-1.6563417087719301E-2</v>
      </c>
      <c r="H41" s="8">
        <f>(-CB_SMI_Mixto_ALTA!D16/1000000)*H$25</f>
        <v>-3.3126834175438609E-2</v>
      </c>
      <c r="I41" s="8">
        <f>(-CB_SMI_Mixto_ALTA!E16/1000000)*I$25</f>
        <v>-4.9690251263157903E-2</v>
      </c>
      <c r="J41" s="8">
        <f>(-CB_SMI_Mixto_ALTA!F16/1000000)*J$25</f>
        <v>-4.986025257894737E-2</v>
      </c>
      <c r="K41" s="8">
        <f>(-CB_SMI_Mixto_ALTA!G16/1000000)*K$25</f>
        <v>-5.0030253894736851E-2</v>
      </c>
      <c r="L41" s="8">
        <f>(-CB_SMI_Mixto_ALTA!H16/1000000)*L$25</f>
        <v>-5.0200255210526332E-2</v>
      </c>
      <c r="M41" s="8">
        <f>(-CB_SMI_Mixto_ALTA!I16/1000000)*M$25</f>
        <v>-5.0372523210526328E-2</v>
      </c>
      <c r="N41" s="8">
        <f>(-CB_SMI_Mixto_ALTA!J16/1000000)*N$25</f>
        <v>-5.0544791210526331E-2</v>
      </c>
      <c r="O41" s="8">
        <f>(-CB_SMI_Mixto_ALTA!K16/1000000)*O$25</f>
        <v>-5.0717059210526327E-2</v>
      </c>
      <c r="P41" s="8">
        <f>(-CB_SMI_Mixto_ALTA!L16/1000000)*P$25</f>
        <v>-5.0889327210526331E-2</v>
      </c>
      <c r="Q41" s="8">
        <f>(-CB_SMI_Mixto_ALTA!M16/1000000)*Q$25</f>
        <v>-5.1061595210526327E-2</v>
      </c>
      <c r="R41" s="8">
        <f>(-CB_SMI_Mixto_ALTA!N16/1000000)*R$25</f>
        <v>-5.1236129894736866E-2</v>
      </c>
      <c r="S41" s="8">
        <f>(-CB_SMI_Mixto_ALTA!O16/1000000)*S$25</f>
        <v>-5.1410664578947392E-2</v>
      </c>
      <c r="T41" s="8">
        <f>(-CB_SMI_Mixto_ALTA!P16/1000000)*T$25</f>
        <v>-5.1586332605263178E-2</v>
      </c>
      <c r="U41" s="8">
        <f>(-CB_SMI_Mixto_ALTA!Q16/1000000)*U$25</f>
        <v>-5.1765400657894763E-2</v>
      </c>
      <c r="W41" s="42">
        <f t="shared" si="8"/>
        <v>-0.44362824588779876</v>
      </c>
      <c r="X41" s="42">
        <f t="shared" si="9"/>
        <v>-4.5677190365254847E-2</v>
      </c>
      <c r="Y41" s="42">
        <f t="shared" si="6"/>
        <v>-5.7280307130956935E-2</v>
      </c>
      <c r="Z41" s="30">
        <f t="shared" si="10"/>
        <v>4.2375126104447727E-2</v>
      </c>
    </row>
    <row r="42" spans="2:26" x14ac:dyDescent="0.3">
      <c r="B42" s="53"/>
      <c r="C42" s="44" t="s">
        <v>61</v>
      </c>
      <c r="D42" s="45"/>
      <c r="E42" s="45"/>
      <c r="F42" s="8">
        <v>0</v>
      </c>
      <c r="G42" s="8">
        <f>(-CB_SMI_Mixto_ALTA!C17/1000000)*G$25</f>
        <v>-1.8151416000000004E-2</v>
      </c>
      <c r="H42" s="8">
        <f>(-CB_SMI_Mixto_ALTA!D17/1000000)*H$25</f>
        <v>-3.6302832000000014E-2</v>
      </c>
      <c r="I42" s="8">
        <f>(-CB_SMI_Mixto_ALTA!E17/1000000)*I$25</f>
        <v>-5.4454248000000004E-2</v>
      </c>
      <c r="J42" s="8">
        <f>(-CB_SMI_Mixto_ALTA!F17/1000000)*J$25</f>
        <v>-5.4640548000000011E-2</v>
      </c>
      <c r="K42" s="8">
        <f>(-CB_SMI_Mixto_ALTA!G17/1000000)*K$25</f>
        <v>-5.4826848000000011E-2</v>
      </c>
      <c r="L42" s="8">
        <f>(-CB_SMI_Mixto_ALTA!H17/1000000)*L$25</f>
        <v>-5.5013148000000012E-2</v>
      </c>
      <c r="M42" s="8">
        <f>(-CB_SMI_Mixto_ALTA!I17/1000000)*M$25</f>
        <v>-5.5201932000000023E-2</v>
      </c>
      <c r="N42" s="8">
        <f>(-CB_SMI_Mixto_ALTA!J17/1000000)*N$25</f>
        <v>-5.5390716000000007E-2</v>
      </c>
      <c r="O42" s="8">
        <f>(-CB_SMI_Mixto_ALTA!K17/1000000)*O$25</f>
        <v>-5.5579500000000004E-2</v>
      </c>
      <c r="P42" s="8">
        <f>(-CB_SMI_Mixto_ALTA!L17/1000000)*P$25</f>
        <v>-5.5768284000000008E-2</v>
      </c>
      <c r="Q42" s="8">
        <f>(-CB_SMI_Mixto_ALTA!M17/1000000)*Q$25</f>
        <v>-5.5957068000000006E-2</v>
      </c>
      <c r="R42" s="8">
        <f>(-CB_SMI_Mixto_ALTA!N17/1000000)*R$25</f>
        <v>-5.6148336000000007E-2</v>
      </c>
      <c r="S42" s="8">
        <f>(-CB_SMI_Mixto_ALTA!O17/1000000)*S$25</f>
        <v>-5.6339604000000008E-2</v>
      </c>
      <c r="T42" s="8">
        <f>(-CB_SMI_Mixto_ALTA!P17/1000000)*T$25</f>
        <v>-5.6532114000000008E-2</v>
      </c>
      <c r="U42" s="8">
        <f>(-CB_SMI_Mixto_ALTA!Q17/1000000)*U$25</f>
        <v>-5.6728350000000011E-2</v>
      </c>
      <c r="W42" s="42">
        <f t="shared" si="8"/>
        <v>-0.48616060308172265</v>
      </c>
      <c r="X42" s="42">
        <f t="shared" si="9"/>
        <v>-5.0056439419475879E-2</v>
      </c>
      <c r="Y42" s="42">
        <f t="shared" si="6"/>
        <v>-6.2771991904535793E-2</v>
      </c>
      <c r="Z42" s="30">
        <f t="shared" si="10"/>
        <v>4.6437793475875143E-2</v>
      </c>
    </row>
    <row r="43" spans="2:26" x14ac:dyDescent="0.3">
      <c r="B43" s="54"/>
      <c r="C43" s="55" t="s">
        <v>131</v>
      </c>
      <c r="D43" s="55"/>
      <c r="E43" s="55"/>
      <c r="F43" s="15">
        <f>SUM(F38:F42)</f>
        <v>0</v>
      </c>
      <c r="G43" s="15">
        <f>SUM(G38:G42)</f>
        <v>-0.39627284000039442</v>
      </c>
      <c r="H43" s="15">
        <f t="shared" ref="H43:T43" si="11">SUM(H38:H42)</f>
        <v>-0.79088693672149768</v>
      </c>
      <c r="I43" s="15">
        <f t="shared" si="11"/>
        <v>-1.1838258068015171</v>
      </c>
      <c r="J43" s="15">
        <f t="shared" si="11"/>
        <v>-1.1853799066496613</v>
      </c>
      <c r="K43" s="15">
        <f t="shared" si="11"/>
        <v>-1.1869340064978056</v>
      </c>
      <c r="L43" s="15">
        <f t="shared" si="11"/>
        <v>-1.18848810634595</v>
      </c>
      <c r="M43" s="15">
        <f t="shared" si="11"/>
        <v>-1.1900629275254033</v>
      </c>
      <c r="N43" s="15">
        <f t="shared" si="11"/>
        <v>-1.1916377487048562</v>
      </c>
      <c r="O43" s="15">
        <f t="shared" si="11"/>
        <v>-1.193212569884309</v>
      </c>
      <c r="P43" s="15">
        <f t="shared" si="11"/>
        <v>-1.1947873910637621</v>
      </c>
      <c r="Q43" s="15">
        <f t="shared" si="11"/>
        <v>-1.1963622122432149</v>
      </c>
      <c r="R43" s="15">
        <f t="shared" si="11"/>
        <v>-1.1979577547539764</v>
      </c>
      <c r="S43" s="15">
        <f t="shared" si="11"/>
        <v>-1.199553297264738</v>
      </c>
      <c r="T43" s="15">
        <f t="shared" si="11"/>
        <v>-1.201159200441154</v>
      </c>
      <c r="U43" s="15">
        <f>SUM(U38:U42)</f>
        <v>-1.2027961856145326</v>
      </c>
      <c r="W43" s="42">
        <f t="shared" si="8"/>
        <v>-10.469071992714028</v>
      </c>
      <c r="X43" s="42">
        <f t="shared" si="9"/>
        <v>-1.0779245884169897</v>
      </c>
      <c r="Y43" s="42">
        <f t="shared" si="6"/>
        <v>-1.3517436382317869</v>
      </c>
      <c r="Z43" s="30">
        <f t="shared" si="10"/>
        <v>1</v>
      </c>
    </row>
    <row r="44" spans="2:26" x14ac:dyDescent="0.3"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W44" s="42"/>
      <c r="X44" s="42"/>
      <c r="Y44" s="42"/>
    </row>
    <row r="45" spans="2:26" x14ac:dyDescent="0.3">
      <c r="B45" s="88" t="s">
        <v>155</v>
      </c>
      <c r="C45" s="55"/>
      <c r="D45" s="55"/>
      <c r="E45" s="55"/>
      <c r="F45" s="15">
        <f>F36+F43</f>
        <v>-0.85624025589473673</v>
      </c>
      <c r="G45" s="15">
        <f t="shared" ref="G45:U45" si="12">G36+G43</f>
        <v>-10.64442500821092</v>
      </c>
      <c r="H45" s="15">
        <f t="shared" si="12"/>
        <v>-11.039039104932023</v>
      </c>
      <c r="I45" s="15">
        <f t="shared" si="12"/>
        <v>-11.432017434906779</v>
      </c>
      <c r="J45" s="15">
        <f t="shared" si="12"/>
        <v>-1.2948018307549245</v>
      </c>
      <c r="K45" s="15">
        <f t="shared" si="12"/>
        <v>-1.2963559306030688</v>
      </c>
      <c r="L45" s="15">
        <f t="shared" si="12"/>
        <v>-1.2979100304512132</v>
      </c>
      <c r="M45" s="15">
        <f t="shared" si="12"/>
        <v>-1.3009594955254034</v>
      </c>
      <c r="N45" s="15">
        <f t="shared" si="12"/>
        <v>-1.3025343167048562</v>
      </c>
      <c r="O45" s="15">
        <f t="shared" si="12"/>
        <v>-1.304109137884309</v>
      </c>
      <c r="P45" s="15">
        <f t="shared" si="12"/>
        <v>-1.3056839590637621</v>
      </c>
      <c r="Q45" s="15">
        <f t="shared" si="12"/>
        <v>-1.307258780243215</v>
      </c>
      <c r="R45" s="15">
        <f t="shared" si="12"/>
        <v>-1.3103289666487132</v>
      </c>
      <c r="S45" s="15">
        <f t="shared" si="12"/>
        <v>-1.3119245091594749</v>
      </c>
      <c r="T45" s="15">
        <f t="shared" si="12"/>
        <v>-1.3142677342832592</v>
      </c>
      <c r="U45" s="15">
        <f t="shared" si="12"/>
        <v>-1.3181166852987432</v>
      </c>
      <c r="W45" s="42">
        <f>NPV($D$67,G45:U45)+F45</f>
        <v>-39.500344782952588</v>
      </c>
      <c r="X45" s="42">
        <f>PMT($D$67,15,-W45)</f>
        <v>-4.0670646760406148</v>
      </c>
      <c r="Y45" s="42">
        <f t="shared" si="6"/>
        <v>-5.1001979741354555</v>
      </c>
    </row>
    <row r="46" spans="2:26" x14ac:dyDescent="0.3">
      <c r="B46" s="9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W46" s="42"/>
      <c r="X46" s="42"/>
      <c r="Y46" s="42"/>
    </row>
    <row r="47" spans="2:26" x14ac:dyDescent="0.3">
      <c r="B47" s="74" t="s">
        <v>120</v>
      </c>
      <c r="C47" s="44" t="s">
        <v>112</v>
      </c>
      <c r="D47" s="45"/>
      <c r="E47" s="45"/>
      <c r="F47" s="8">
        <v>0</v>
      </c>
      <c r="G47" s="8">
        <f>(CB_SMI_Mixto_ALTA!C18/1000000)*G$25</f>
        <v>0</v>
      </c>
      <c r="H47" s="8">
        <f>(CB_SMI_Mixto_ALTA!D18/1000000)*H$25</f>
        <v>0</v>
      </c>
      <c r="I47" s="8">
        <f>(CB_SMI_Mixto_ALTA!E18/1000000)*I$25</f>
        <v>0</v>
      </c>
      <c r="J47" s="8">
        <f>(CB_SMI_Mixto_ALTA!F18/1000000)*J$25</f>
        <v>0</v>
      </c>
      <c r="K47" s="8">
        <f>(CB_SMI_Mixto_ALTA!G18/1000000)*K$25</f>
        <v>0</v>
      </c>
      <c r="L47" s="8">
        <f>(CB_SMI_Mixto_ALTA!H18/1000000)*L$25</f>
        <v>0</v>
      </c>
      <c r="M47" s="8">
        <f>(CB_SMI_Mixto_ALTA!I18/1000000)*M$25</f>
        <v>0</v>
      </c>
      <c r="N47" s="8">
        <f>(CB_SMI_Mixto_ALTA!J18/1000000)*N$25</f>
        <v>0</v>
      </c>
      <c r="O47" s="8">
        <f>(CB_SMI_Mixto_ALTA!K18/1000000)*O$25</f>
        <v>0</v>
      </c>
      <c r="P47" s="8">
        <f>(CB_SMI_Mixto_ALTA!L18/1000000)*P$25</f>
        <v>0</v>
      </c>
      <c r="Q47" s="8">
        <f>(CB_SMI_Mixto_ALTA!M18/1000000)*Q$25</f>
        <v>0</v>
      </c>
      <c r="R47" s="8">
        <f>(CB_SMI_Mixto_ALTA!N18/1000000)*R$25</f>
        <v>0</v>
      </c>
      <c r="S47" s="8">
        <f>(CB_SMI_Mixto_ALTA!O18/1000000)*S$25</f>
        <v>0</v>
      </c>
      <c r="T47" s="8">
        <f>(CB_SMI_Mixto_ALTA!P18/1000000)*T$25</f>
        <v>0</v>
      </c>
      <c r="U47" s="8">
        <f>(CB_SMI_Mixto_ALTA!Q18/1000000)*U$25</f>
        <v>0</v>
      </c>
      <c r="V47" s="30">
        <f>U47/$U$56</f>
        <v>0</v>
      </c>
      <c r="W47" s="42">
        <f>NPV($D$67,G47:U47)+F47</f>
        <v>0</v>
      </c>
      <c r="X47" s="42">
        <f t="shared" ref="X47:X56" si="13">PMT($D$67,15,-W47)</f>
        <v>0</v>
      </c>
      <c r="Y47" s="42">
        <f>W47*1000000/7744865</f>
        <v>0</v>
      </c>
      <c r="Z47" s="30">
        <f>W47/$W$56</f>
        <v>0</v>
      </c>
    </row>
    <row r="48" spans="2:26" x14ac:dyDescent="0.3">
      <c r="B48" s="75"/>
      <c r="C48" s="44" t="s">
        <v>62</v>
      </c>
      <c r="D48" s="45"/>
      <c r="E48" s="45"/>
      <c r="F48" s="8">
        <v>0</v>
      </c>
      <c r="G48" s="8">
        <f>(CB_SMI_Mixto_ALTA!C19/1000000)*G$25</f>
        <v>0</v>
      </c>
      <c r="H48" s="8">
        <f>(CB_SMI_Mixto_ALTA!D19/1000000)*H$25</f>
        <v>0</v>
      </c>
      <c r="I48" s="8">
        <f>(CB_SMI_Mixto_ALTA!E19/1000000)*I$25</f>
        <v>0</v>
      </c>
      <c r="J48" s="8">
        <f>(CB_SMI_Mixto_ALTA!F19/1000000)*J$25</f>
        <v>0</v>
      </c>
      <c r="K48" s="8">
        <f>(CB_SMI_Mixto_ALTA!G19/1000000)*K$25</f>
        <v>0</v>
      </c>
      <c r="L48" s="8">
        <f>(CB_SMI_Mixto_ALTA!H19/1000000)*L$25</f>
        <v>0</v>
      </c>
      <c r="M48" s="8">
        <f>(CB_SMI_Mixto_ALTA!I19/1000000)*M$25</f>
        <v>0</v>
      </c>
      <c r="N48" s="8">
        <f>(CB_SMI_Mixto_ALTA!J19/1000000)*N$25</f>
        <v>0</v>
      </c>
      <c r="O48" s="8">
        <f>(CB_SMI_Mixto_ALTA!K19/1000000)*O$25</f>
        <v>0</v>
      </c>
      <c r="P48" s="8">
        <f>(CB_SMI_Mixto_ALTA!L19/1000000)*P$25</f>
        <v>0</v>
      </c>
      <c r="Q48" s="8">
        <f>(CB_SMI_Mixto_ALTA!M19/1000000)*Q$25</f>
        <v>0</v>
      </c>
      <c r="R48" s="8">
        <f>(CB_SMI_Mixto_ALTA!N19/1000000)*R$25</f>
        <v>0</v>
      </c>
      <c r="S48" s="8">
        <f>(CB_SMI_Mixto_ALTA!O19/1000000)*S$25</f>
        <v>0</v>
      </c>
      <c r="T48" s="8">
        <f>(CB_SMI_Mixto_ALTA!P19/1000000)*T$25</f>
        <v>0</v>
      </c>
      <c r="U48" s="8">
        <f>(CB_SMI_Mixto_ALTA!Q19/1000000)*U$25</f>
        <v>0</v>
      </c>
      <c r="V48" s="30">
        <f t="shared" ref="V48:V55" si="14">U48/$U$56</f>
        <v>0</v>
      </c>
      <c r="W48" s="42">
        <f t="shared" ref="W48:W55" si="15">NPV($D$67,G48:U48)+F48</f>
        <v>0</v>
      </c>
      <c r="X48" s="42">
        <f t="shared" si="13"/>
        <v>0</v>
      </c>
      <c r="Y48" s="42">
        <f t="shared" si="6"/>
        <v>0</v>
      </c>
      <c r="Z48" s="30">
        <f t="shared" ref="Z48:Z56" si="16">W48/$W$56</f>
        <v>0</v>
      </c>
    </row>
    <row r="49" spans="2:26" x14ac:dyDescent="0.3">
      <c r="B49" s="75"/>
      <c r="C49" s="44" t="s">
        <v>95</v>
      </c>
      <c r="D49" s="45"/>
      <c r="E49" s="45"/>
      <c r="F49" s="8">
        <v>0</v>
      </c>
      <c r="G49" s="8">
        <f>(CB_SMI_Mixto_ALTA!C20/1000000)*G$25</f>
        <v>0</v>
      </c>
      <c r="H49" s="8">
        <f>(CB_SMI_Mixto_ALTA!D20/1000000)*H$25</f>
        <v>0</v>
      </c>
      <c r="I49" s="8">
        <f>(CB_SMI_Mixto_ALTA!E20/1000000)*I$25</f>
        <v>0</v>
      </c>
      <c r="J49" s="8">
        <f>(CB_SMI_Mixto_ALTA!F20/1000000)*J$25</f>
        <v>0</v>
      </c>
      <c r="K49" s="8">
        <f>(CB_SMI_Mixto_ALTA!G20/1000000)*K$25</f>
        <v>0</v>
      </c>
      <c r="L49" s="8">
        <f>(CB_SMI_Mixto_ALTA!H20/1000000)*L$25</f>
        <v>0</v>
      </c>
      <c r="M49" s="8">
        <f>(CB_SMI_Mixto_ALTA!I20/1000000)*M$25</f>
        <v>0</v>
      </c>
      <c r="N49" s="8">
        <f>(CB_SMI_Mixto_ALTA!J20/1000000)*N$25</f>
        <v>0</v>
      </c>
      <c r="O49" s="8">
        <f>(CB_SMI_Mixto_ALTA!K20/1000000)*O$25</f>
        <v>0</v>
      </c>
      <c r="P49" s="8">
        <f>(CB_SMI_Mixto_ALTA!L20/1000000)*P$25</f>
        <v>0</v>
      </c>
      <c r="Q49" s="8">
        <f>(CB_SMI_Mixto_ALTA!M20/1000000)*Q$25</f>
        <v>0</v>
      </c>
      <c r="R49" s="8">
        <f>(CB_SMI_Mixto_ALTA!N20/1000000)*R$25</f>
        <v>0</v>
      </c>
      <c r="S49" s="8">
        <f>(CB_SMI_Mixto_ALTA!O20/1000000)*S$25</f>
        <v>0</v>
      </c>
      <c r="T49" s="8">
        <f>(CB_SMI_Mixto_ALTA!P20/1000000)*T$25</f>
        <v>0</v>
      </c>
      <c r="U49" s="8">
        <f>(CB_SMI_Mixto_ALTA!Q20/1000000)*U$25</f>
        <v>0</v>
      </c>
      <c r="V49" s="30">
        <f t="shared" si="14"/>
        <v>0</v>
      </c>
      <c r="W49" s="42">
        <f t="shared" si="15"/>
        <v>0</v>
      </c>
      <c r="X49" s="42">
        <f t="shared" si="13"/>
        <v>0</v>
      </c>
      <c r="Y49" s="42">
        <f t="shared" si="6"/>
        <v>0</v>
      </c>
      <c r="Z49" s="30">
        <f t="shared" si="16"/>
        <v>0</v>
      </c>
    </row>
    <row r="50" spans="2:26" x14ac:dyDescent="0.3">
      <c r="B50" s="75"/>
      <c r="C50" s="44" t="s">
        <v>96</v>
      </c>
      <c r="D50" s="45"/>
      <c r="E50" s="45"/>
      <c r="F50" s="8">
        <v>0</v>
      </c>
      <c r="G50" s="8">
        <f>(CB_SMI_Mixto_ALTA!C21/1000000)*G$25</f>
        <v>4.5996824951351281E-2</v>
      </c>
      <c r="H50" s="8">
        <f>(CB_SMI_Mixto_ALTA!D21/1000000)*H$25</f>
        <v>9.1682049678745062E-2</v>
      </c>
      <c r="I50" s="8">
        <f>(CB_SMI_Mixto_ALTA!E21/1000000)*I$25</f>
        <v>0.13705257773001162</v>
      </c>
      <c r="J50" s="8">
        <f>(CB_SMI_Mixto_ALTA!F21/1000000)*J$25</f>
        <v>0.13705257773001162</v>
      </c>
      <c r="K50" s="8">
        <f>(CB_SMI_Mixto_ALTA!G21/1000000)*K$25</f>
        <v>0.13705257773001162</v>
      </c>
      <c r="L50" s="8">
        <f>(CB_SMI_Mixto_ALTA!H21/1000000)*L$25</f>
        <v>0.13705257773001162</v>
      </c>
      <c r="M50" s="8">
        <f>(CB_SMI_Mixto_ALTA!I21/1000000)*M$25</f>
        <v>0.13705257773001162</v>
      </c>
      <c r="N50" s="8">
        <f>(CB_SMI_Mixto_ALTA!J21/1000000)*N$25</f>
        <v>0.13705257773001162</v>
      </c>
      <c r="O50" s="8">
        <f>(CB_SMI_Mixto_ALTA!K21/1000000)*O$25</f>
        <v>0.13705257773001162</v>
      </c>
      <c r="P50" s="8">
        <f>(CB_SMI_Mixto_ALTA!L21/1000000)*P$25</f>
        <v>0.13705257773001162</v>
      </c>
      <c r="Q50" s="8">
        <f>(CB_SMI_Mixto_ALTA!M21/1000000)*Q$25</f>
        <v>0.13705257773001162</v>
      </c>
      <c r="R50" s="8">
        <f>(CB_SMI_Mixto_ALTA!N21/1000000)*R$25</f>
        <v>0.13705257773001162</v>
      </c>
      <c r="S50" s="8">
        <f>(CB_SMI_Mixto_ALTA!O21/1000000)*S$25</f>
        <v>0.13705257773001162</v>
      </c>
      <c r="T50" s="8">
        <f>(CB_SMI_Mixto_ALTA!P21/1000000)*T$25</f>
        <v>0.13705257773001162</v>
      </c>
      <c r="U50" s="8">
        <f>(CB_SMI_Mixto_ALTA!Q21/1000000)*U$25</f>
        <v>0.13705257773001162</v>
      </c>
      <c r="V50" s="30">
        <f t="shared" si="14"/>
        <v>8.5549216274159387E-2</v>
      </c>
      <c r="W50" s="42">
        <f t="shared" si="15"/>
        <v>1.2048074973136305</v>
      </c>
      <c r="X50" s="42">
        <f t="shared" si="13"/>
        <v>0.12405030995749439</v>
      </c>
      <c r="Y50" s="42">
        <f t="shared" si="6"/>
        <v>0.15556210435089968</v>
      </c>
      <c r="Z50" s="30">
        <f t="shared" si="16"/>
        <v>8.7158561107325103E-2</v>
      </c>
    </row>
    <row r="51" spans="2:26" x14ac:dyDescent="0.3">
      <c r="B51" s="75"/>
      <c r="C51" s="44" t="s">
        <v>140</v>
      </c>
      <c r="D51" s="45"/>
      <c r="E51" s="45"/>
      <c r="F51" s="8">
        <v>0</v>
      </c>
      <c r="G51" s="8">
        <f>(CB_SMI_Mixto_ALTA!C22/1000000)*G$25</f>
        <v>0</v>
      </c>
      <c r="H51" s="8">
        <f>(CB_SMI_Mixto_ALTA!D22/1000000)*H$25</f>
        <v>0</v>
      </c>
      <c r="I51" s="8">
        <f>(CB_SMI_Mixto_ALTA!E22/1000000)*I$25</f>
        <v>0</v>
      </c>
      <c r="J51" s="8">
        <f>(CB_SMI_Mixto_ALTA!F22/1000000)*J$25</f>
        <v>0</v>
      </c>
      <c r="K51" s="8">
        <f>(CB_SMI_Mixto_ALTA!G22/1000000)*K$25</f>
        <v>0</v>
      </c>
      <c r="L51" s="8">
        <f>(CB_SMI_Mixto_ALTA!H22/1000000)*L$25</f>
        <v>0</v>
      </c>
      <c r="M51" s="8">
        <f>(CB_SMI_Mixto_ALTA!I22/1000000)*M$25</f>
        <v>0</v>
      </c>
      <c r="N51" s="8">
        <f>(CB_SMI_Mixto_ALTA!J22/1000000)*N$25</f>
        <v>0</v>
      </c>
      <c r="O51" s="8">
        <f>(CB_SMI_Mixto_ALTA!K22/1000000)*O$25</f>
        <v>0</v>
      </c>
      <c r="P51" s="8">
        <f>(CB_SMI_Mixto_ALTA!L22/1000000)*P$25</f>
        <v>0</v>
      </c>
      <c r="Q51" s="8">
        <f>(CB_SMI_Mixto_ALTA!M22/1000000)*Q$25</f>
        <v>0</v>
      </c>
      <c r="R51" s="8">
        <f>(CB_SMI_Mixto_ALTA!N22/1000000)*R$25</f>
        <v>0</v>
      </c>
      <c r="S51" s="8">
        <f>(CB_SMI_Mixto_ALTA!O22/1000000)*S$25</f>
        <v>0</v>
      </c>
      <c r="T51" s="8">
        <f>(CB_SMI_Mixto_ALTA!P22/1000000)*T$25</f>
        <v>0</v>
      </c>
      <c r="U51" s="8">
        <f>(CB_SMI_Mixto_ALTA!Q22/1000000)*U$25</f>
        <v>0</v>
      </c>
      <c r="V51" s="30">
        <f t="shared" si="14"/>
        <v>0</v>
      </c>
      <c r="W51" s="42">
        <f t="shared" si="15"/>
        <v>0</v>
      </c>
      <c r="X51" s="42">
        <f t="shared" si="13"/>
        <v>0</v>
      </c>
      <c r="Y51" s="42">
        <f t="shared" si="6"/>
        <v>0</v>
      </c>
      <c r="Z51" s="30">
        <f t="shared" si="16"/>
        <v>0</v>
      </c>
    </row>
    <row r="52" spans="2:26" x14ac:dyDescent="0.3">
      <c r="B52" s="75"/>
      <c r="C52" s="44" t="s">
        <v>98</v>
      </c>
      <c r="D52" s="45"/>
      <c r="E52" s="45"/>
      <c r="F52" s="8">
        <v>0</v>
      </c>
      <c r="G52" s="8">
        <f>(CB_SMI_Mixto_ALTA!C23/1000000)*G$25</f>
        <v>0</v>
      </c>
      <c r="H52" s="8">
        <f>(CB_SMI_Mixto_ALTA!D23/1000000)*H$25</f>
        <v>0</v>
      </c>
      <c r="I52" s="8">
        <f>(CB_SMI_Mixto_ALTA!E23/1000000)*I$25</f>
        <v>0</v>
      </c>
      <c r="J52" s="8">
        <f>(CB_SMI_Mixto_ALTA!F23/1000000)*J$25</f>
        <v>0</v>
      </c>
      <c r="K52" s="8">
        <f>(CB_SMI_Mixto_ALTA!G23/1000000)*K$25</f>
        <v>0</v>
      </c>
      <c r="L52" s="8">
        <f>(CB_SMI_Mixto_ALTA!H23/1000000)*L$25</f>
        <v>0</v>
      </c>
      <c r="M52" s="8">
        <f>(CB_SMI_Mixto_ALTA!I23/1000000)*M$25</f>
        <v>0</v>
      </c>
      <c r="N52" s="8">
        <f>(CB_SMI_Mixto_ALTA!J23/1000000)*N$25</f>
        <v>0</v>
      </c>
      <c r="O52" s="8">
        <f>(CB_SMI_Mixto_ALTA!K23/1000000)*O$25</f>
        <v>0</v>
      </c>
      <c r="P52" s="8">
        <f>(CB_SMI_Mixto_ALTA!L23/1000000)*P$25</f>
        <v>0</v>
      </c>
      <c r="Q52" s="8">
        <f>(CB_SMI_Mixto_ALTA!M23/1000000)*Q$25</f>
        <v>0</v>
      </c>
      <c r="R52" s="8">
        <f>(CB_SMI_Mixto_ALTA!N23/1000000)*R$25</f>
        <v>0</v>
      </c>
      <c r="S52" s="8">
        <f>(CB_SMI_Mixto_ALTA!O23/1000000)*S$25</f>
        <v>0</v>
      </c>
      <c r="T52" s="8">
        <f>(CB_SMI_Mixto_ALTA!P23/1000000)*T$25</f>
        <v>0</v>
      </c>
      <c r="U52" s="8">
        <f>(CB_SMI_Mixto_ALTA!Q23/1000000)*U$25</f>
        <v>0</v>
      </c>
      <c r="V52" s="30">
        <f t="shared" si="14"/>
        <v>0</v>
      </c>
      <c r="W52" s="42">
        <f t="shared" si="15"/>
        <v>0</v>
      </c>
      <c r="X52" s="42">
        <f t="shared" si="13"/>
        <v>0</v>
      </c>
      <c r="Y52" s="42">
        <f t="shared" si="6"/>
        <v>0</v>
      </c>
      <c r="Z52" s="30">
        <f t="shared" si="16"/>
        <v>0</v>
      </c>
    </row>
    <row r="53" spans="2:26" x14ac:dyDescent="0.3">
      <c r="B53" s="75"/>
      <c r="C53" s="44" t="s">
        <v>63</v>
      </c>
      <c r="D53" s="45"/>
      <c r="E53" s="45"/>
      <c r="F53" s="8">
        <v>0</v>
      </c>
      <c r="G53" s="8">
        <f>(CB_SMI_Mixto_ALTA!C24/1000000)*G$25</f>
        <v>0</v>
      </c>
      <c r="H53" s="8">
        <f>(CB_SMI_Mixto_ALTA!D24/1000000)*H$25</f>
        <v>0</v>
      </c>
      <c r="I53" s="8">
        <f>(CB_SMI_Mixto_ALTA!E24/1000000)*I$25</f>
        <v>0</v>
      </c>
      <c r="J53" s="8">
        <f>(CB_SMI_Mixto_ALTA!F24/1000000)*J$25</f>
        <v>0</v>
      </c>
      <c r="K53" s="8">
        <f>(CB_SMI_Mixto_ALTA!G24/1000000)*K$25</f>
        <v>0</v>
      </c>
      <c r="L53" s="8">
        <f>(CB_SMI_Mixto_ALTA!H24/1000000)*L$25</f>
        <v>0</v>
      </c>
      <c r="M53" s="8">
        <f>(CB_SMI_Mixto_ALTA!I24/1000000)*M$25</f>
        <v>0</v>
      </c>
      <c r="N53" s="8">
        <f>(CB_SMI_Mixto_ALTA!J24/1000000)*N$25</f>
        <v>0</v>
      </c>
      <c r="O53" s="8">
        <f>(CB_SMI_Mixto_ALTA!K24/1000000)*O$25</f>
        <v>0</v>
      </c>
      <c r="P53" s="8">
        <f>(CB_SMI_Mixto_ALTA!L24/1000000)*P$25</f>
        <v>0</v>
      </c>
      <c r="Q53" s="8">
        <f>(CB_SMI_Mixto_ALTA!M24/1000000)*Q$25</f>
        <v>0</v>
      </c>
      <c r="R53" s="8">
        <f>(CB_SMI_Mixto_ALTA!N24/1000000)*R$25</f>
        <v>0</v>
      </c>
      <c r="S53" s="8">
        <f>(CB_SMI_Mixto_ALTA!O24/1000000)*S$25</f>
        <v>0</v>
      </c>
      <c r="T53" s="8">
        <f>(CB_SMI_Mixto_ALTA!P24/1000000)*T$25</f>
        <v>0</v>
      </c>
      <c r="U53" s="8">
        <f>(CB_SMI_Mixto_ALTA!Q24/1000000)*U$25</f>
        <v>0</v>
      </c>
      <c r="V53" s="30">
        <f t="shared" si="14"/>
        <v>0</v>
      </c>
      <c r="W53" s="42">
        <f t="shared" si="15"/>
        <v>0</v>
      </c>
      <c r="X53" s="42">
        <f t="shared" si="13"/>
        <v>0</v>
      </c>
      <c r="Y53" s="42">
        <f t="shared" si="6"/>
        <v>0</v>
      </c>
      <c r="Z53" s="30">
        <f t="shared" si="16"/>
        <v>0</v>
      </c>
    </row>
    <row r="54" spans="2:26" x14ac:dyDescent="0.3">
      <c r="B54" s="75"/>
      <c r="C54" s="44" t="s">
        <v>99</v>
      </c>
      <c r="D54" s="45"/>
      <c r="E54" s="45"/>
      <c r="F54" s="8">
        <v>0</v>
      </c>
      <c r="G54" s="8">
        <f>(CB_SMI_Mixto_ALTA!C25/1000000)*G$25</f>
        <v>0</v>
      </c>
      <c r="H54" s="8">
        <f>(CB_SMI_Mixto_ALTA!D25/1000000)*H$25</f>
        <v>0</v>
      </c>
      <c r="I54" s="8">
        <f>(CB_SMI_Mixto_ALTA!E25/1000000)*I$25</f>
        <v>0</v>
      </c>
      <c r="J54" s="8">
        <f>(CB_SMI_Mixto_ALTA!F25/1000000)*J$25</f>
        <v>0</v>
      </c>
      <c r="K54" s="8">
        <f>(CB_SMI_Mixto_ALTA!G25/1000000)*K$25</f>
        <v>0</v>
      </c>
      <c r="L54" s="8">
        <f>(CB_SMI_Mixto_ALTA!H25/1000000)*L$25</f>
        <v>0</v>
      </c>
      <c r="M54" s="8">
        <f>(CB_SMI_Mixto_ALTA!I25/1000000)*M$25</f>
        <v>0</v>
      </c>
      <c r="N54" s="8">
        <f>(CB_SMI_Mixto_ALTA!J25/1000000)*N$25</f>
        <v>0</v>
      </c>
      <c r="O54" s="8">
        <f>(CB_SMI_Mixto_ALTA!K25/1000000)*O$25</f>
        <v>0</v>
      </c>
      <c r="P54" s="8">
        <f>(CB_SMI_Mixto_ALTA!L25/1000000)*P$25</f>
        <v>0</v>
      </c>
      <c r="Q54" s="8">
        <f>(CB_SMI_Mixto_ALTA!M25/1000000)*Q$25</f>
        <v>0</v>
      </c>
      <c r="R54" s="8">
        <f>(CB_SMI_Mixto_ALTA!N25/1000000)*R$25</f>
        <v>0</v>
      </c>
      <c r="S54" s="8">
        <f>(CB_SMI_Mixto_ALTA!O25/1000000)*S$25</f>
        <v>0</v>
      </c>
      <c r="T54" s="8">
        <f>(CB_SMI_Mixto_ALTA!P25/1000000)*T$25</f>
        <v>0</v>
      </c>
      <c r="U54" s="8">
        <f>(CB_SMI_Mixto_ALTA!Q25/1000000)*U$25</f>
        <v>0</v>
      </c>
      <c r="V54" s="30">
        <f t="shared" si="14"/>
        <v>0</v>
      </c>
      <c r="W54" s="42">
        <f t="shared" si="15"/>
        <v>0</v>
      </c>
      <c r="X54" s="42">
        <f t="shared" si="13"/>
        <v>0</v>
      </c>
      <c r="Y54" s="42">
        <f t="shared" si="6"/>
        <v>0</v>
      </c>
      <c r="Z54" s="30">
        <f t="shared" si="16"/>
        <v>0</v>
      </c>
    </row>
    <row r="55" spans="2:26" x14ac:dyDescent="0.3">
      <c r="B55" s="75"/>
      <c r="C55" s="44" t="s">
        <v>97</v>
      </c>
      <c r="D55" s="45"/>
      <c r="E55" s="45"/>
      <c r="F55" s="8">
        <v>0</v>
      </c>
      <c r="G55" s="8">
        <f>(CB_SMI_Mixto_ALTA!C26/1000000)*G$25</f>
        <v>0.4713338669669343</v>
      </c>
      <c r="H55" s="8">
        <f>(CB_SMI_Mixto_ALTA!D26/1000000)*H$25</f>
        <v>0.94018540524716698</v>
      </c>
      <c r="I55" s="8">
        <f>(CB_SMI_Mixto_ALTA!E26/1000000)*I$25</f>
        <v>1.420942652954545</v>
      </c>
      <c r="J55" s="8">
        <f>(CB_SMI_Mixto_ALTA!F26/1000000)*J$25</f>
        <v>1.424275124772727</v>
      </c>
      <c r="K55" s="8">
        <f>(CB_SMI_Mixto_ALTA!G26/1000000)*K$25</f>
        <v>1.426444180681818</v>
      </c>
      <c r="L55" s="8">
        <f>(CB_SMI_Mixto_ALTA!H26/1000000)*L$25</f>
        <v>1.428005840909091</v>
      </c>
      <c r="M55" s="8">
        <f>(CB_SMI_Mixto_ALTA!I26/1000000)*M$25</f>
        <v>1.429529864318182</v>
      </c>
      <c r="N55" s="8">
        <f>(CB_SMI_Mixto_ALTA!J26/1000000)*N$25</f>
        <v>1.441345655227273</v>
      </c>
      <c r="O55" s="8">
        <f>(CB_SMI_Mixto_ALTA!K26/1000000)*O$25</f>
        <v>1.444399021363636</v>
      </c>
      <c r="P55" s="8">
        <f>(CB_SMI_Mixto_ALTA!L26/1000000)*P$25</f>
        <v>1.4468169297727269</v>
      </c>
      <c r="Q55" s="8">
        <f>(CB_SMI_Mixto_ALTA!M26/1000000)*Q$25</f>
        <v>1.4492406788636361</v>
      </c>
      <c r="R55" s="8">
        <f>(CB_SMI_Mixto_ALTA!N26/1000000)*R$25</f>
        <v>1.452114738181818</v>
      </c>
      <c r="S55" s="8">
        <f>(CB_SMI_Mixto_ALTA!O26/1000000)*S$25</f>
        <v>1.4563903497727269</v>
      </c>
      <c r="T55" s="8">
        <f>(CB_SMI_Mixto_ALTA!P26/1000000)*T$25</f>
        <v>1.4606785515909091</v>
      </c>
      <c r="U55" s="8">
        <f>(CB_SMI_Mixto_ALTA!Q26/1000000)*U$25</f>
        <v>1.4649793718181821</v>
      </c>
      <c r="V55" s="30">
        <f t="shared" si="14"/>
        <v>0.91445078372584065</v>
      </c>
      <c r="W55" s="42">
        <f t="shared" si="15"/>
        <v>12.618361242588552</v>
      </c>
      <c r="X55" s="42">
        <f t="shared" si="13"/>
        <v>1.2992213501235115</v>
      </c>
      <c r="Y55" s="42">
        <f t="shared" si="6"/>
        <v>1.6292551571381233</v>
      </c>
      <c r="Z55" s="30">
        <f t="shared" si="16"/>
        <v>0.91284143889267488</v>
      </c>
    </row>
    <row r="56" spans="2:26" x14ac:dyDescent="0.3">
      <c r="B56" s="76"/>
      <c r="C56" s="77" t="s">
        <v>132</v>
      </c>
      <c r="D56" s="77"/>
      <c r="E56" s="77"/>
      <c r="F56" s="14">
        <f t="shared" ref="F56:T56" si="17">SUM(F47:F55)</f>
        <v>0</v>
      </c>
      <c r="G56" s="14">
        <f t="shared" si="17"/>
        <v>0.51733069191828562</v>
      </c>
      <c r="H56" s="14">
        <f t="shared" si="17"/>
        <v>1.0318674549259121</v>
      </c>
      <c r="I56" s="14">
        <f t="shared" si="17"/>
        <v>1.5579952306845566</v>
      </c>
      <c r="J56" s="14">
        <f t="shared" si="17"/>
        <v>1.5613277025027386</v>
      </c>
      <c r="K56" s="14">
        <f t="shared" si="17"/>
        <v>1.5634967584118296</v>
      </c>
      <c r="L56" s="14">
        <f t="shared" si="17"/>
        <v>1.5650584186391026</v>
      </c>
      <c r="M56" s="14">
        <f t="shared" si="17"/>
        <v>1.5665824420481935</v>
      </c>
      <c r="N56" s="14">
        <f t="shared" si="17"/>
        <v>1.5783982329572845</v>
      </c>
      <c r="O56" s="14">
        <f t="shared" si="17"/>
        <v>1.5814515990936475</v>
      </c>
      <c r="P56" s="14">
        <f t="shared" si="17"/>
        <v>1.5838695075027385</v>
      </c>
      <c r="Q56" s="14">
        <f t="shared" si="17"/>
        <v>1.5862932565936476</v>
      </c>
      <c r="R56" s="14">
        <f t="shared" si="17"/>
        <v>1.5891673159118296</v>
      </c>
      <c r="S56" s="14">
        <f t="shared" si="17"/>
        <v>1.5934429275027384</v>
      </c>
      <c r="T56" s="14">
        <f t="shared" si="17"/>
        <v>1.5977311293209207</v>
      </c>
      <c r="U56" s="14">
        <f>SUM(U47:U55)</f>
        <v>1.6020319495481936</v>
      </c>
      <c r="W56" s="42">
        <f>NPV($D$67,G56:U56)+F56</f>
        <v>13.823168739902183</v>
      </c>
      <c r="X56" s="42">
        <f t="shared" si="13"/>
        <v>1.4232716600810058</v>
      </c>
      <c r="Y56" s="42">
        <f t="shared" si="6"/>
        <v>1.7848172614890232</v>
      </c>
      <c r="Z56" s="30">
        <f t="shared" si="16"/>
        <v>1</v>
      </c>
    </row>
    <row r="58" spans="2:26" x14ac:dyDescent="0.3">
      <c r="B58" s="72" t="s">
        <v>64</v>
      </c>
      <c r="C58" s="73"/>
      <c r="D58" s="73"/>
      <c r="E58" s="73"/>
      <c r="F58" s="31">
        <f>F45+F56</f>
        <v>-0.85624025589473673</v>
      </c>
      <c r="G58" s="31">
        <f>G45+G56</f>
        <v>-10.127094316292634</v>
      </c>
      <c r="H58" s="31">
        <f t="shared" ref="H58:U58" si="18">H45+H56</f>
        <v>-10.007171650006111</v>
      </c>
      <c r="I58" s="31">
        <f t="shared" si="18"/>
        <v>-9.8740222042222232</v>
      </c>
      <c r="J58" s="31">
        <f t="shared" si="18"/>
        <v>0.26652587174781406</v>
      </c>
      <c r="K58" s="31">
        <f t="shared" si="18"/>
        <v>0.26714082780876081</v>
      </c>
      <c r="L58" s="31">
        <f t="shared" si="18"/>
        <v>0.26714838818788933</v>
      </c>
      <c r="M58" s="31">
        <f t="shared" si="18"/>
        <v>0.26562294652279017</v>
      </c>
      <c r="N58" s="31">
        <f t="shared" si="18"/>
        <v>0.27586391625242834</v>
      </c>
      <c r="O58" s="31">
        <f t="shared" si="18"/>
        <v>0.27734246120933848</v>
      </c>
      <c r="P58" s="31">
        <f t="shared" si="18"/>
        <v>0.27818554843897636</v>
      </c>
      <c r="Q58" s="31">
        <f t="shared" si="18"/>
        <v>0.27903447635043266</v>
      </c>
      <c r="R58" s="31">
        <f t="shared" si="18"/>
        <v>0.27883834926311635</v>
      </c>
      <c r="S58" s="31">
        <f t="shared" si="18"/>
        <v>0.28151841834326352</v>
      </c>
      <c r="T58" s="31">
        <f t="shared" si="18"/>
        <v>0.28346339503766149</v>
      </c>
      <c r="U58" s="31">
        <f t="shared" si="18"/>
        <v>0.28391526424945046</v>
      </c>
    </row>
    <row r="60" spans="2:26" x14ac:dyDescent="0.3">
      <c r="B60" s="72" t="s">
        <v>156</v>
      </c>
      <c r="C60" s="73"/>
      <c r="D60" s="73"/>
      <c r="E60" s="73"/>
      <c r="F60" s="31">
        <v>0</v>
      </c>
      <c r="G60" s="31">
        <f>F61</f>
        <v>-0.85624025589473673</v>
      </c>
      <c r="H60" s="31">
        <f t="shared" ref="H60:U60" si="19">G61</f>
        <v>-10.983334572187371</v>
      </c>
      <c r="I60" s="31">
        <f t="shared" si="19"/>
        <v>-20.990506222193481</v>
      </c>
      <c r="J60" s="31">
        <f t="shared" si="19"/>
        <v>-30.864528426415703</v>
      </c>
      <c r="K60" s="31">
        <f t="shared" si="19"/>
        <v>-30.59800255466789</v>
      </c>
      <c r="L60" s="31">
        <f>K61</f>
        <v>-30.33086172685913</v>
      </c>
      <c r="M60" s="31">
        <f t="shared" si="19"/>
        <v>-30.063713338671242</v>
      </c>
      <c r="N60" s="31">
        <f t="shared" si="19"/>
        <v>-29.798090392148453</v>
      </c>
      <c r="O60" s="31">
        <f t="shared" si="19"/>
        <v>-29.522226475896023</v>
      </c>
      <c r="P60" s="31">
        <f t="shared" si="19"/>
        <v>-29.244884014686683</v>
      </c>
      <c r="Q60" s="31">
        <f t="shared" si="19"/>
        <v>-28.966698466247706</v>
      </c>
      <c r="R60" s="31">
        <f t="shared" si="19"/>
        <v>-28.687663989897274</v>
      </c>
      <c r="S60" s="31">
        <f t="shared" si="19"/>
        <v>-28.408825640634159</v>
      </c>
      <c r="T60" s="31">
        <f t="shared" si="19"/>
        <v>-28.127307222290895</v>
      </c>
      <c r="U60" s="31">
        <f t="shared" si="19"/>
        <v>-27.843843827253234</v>
      </c>
    </row>
    <row r="61" spans="2:26" x14ac:dyDescent="0.3">
      <c r="B61" s="72" t="s">
        <v>109</v>
      </c>
      <c r="C61" s="73"/>
      <c r="D61" s="73"/>
      <c r="E61" s="73"/>
      <c r="F61" s="31">
        <f>F58+F60</f>
        <v>-0.85624025589473673</v>
      </c>
      <c r="G61" s="31">
        <f>G58+G60</f>
        <v>-10.983334572187371</v>
      </c>
      <c r="H61" s="31">
        <f t="shared" ref="H61:U61" si="20">H58+H60</f>
        <v>-20.990506222193481</v>
      </c>
      <c r="I61" s="31">
        <f t="shared" si="20"/>
        <v>-30.864528426415703</v>
      </c>
      <c r="J61" s="31">
        <f t="shared" si="20"/>
        <v>-30.59800255466789</v>
      </c>
      <c r="K61" s="31">
        <f t="shared" si="20"/>
        <v>-30.33086172685913</v>
      </c>
      <c r="L61" s="31">
        <f t="shared" si="20"/>
        <v>-30.063713338671242</v>
      </c>
      <c r="M61" s="31">
        <f t="shared" si="20"/>
        <v>-29.798090392148453</v>
      </c>
      <c r="N61" s="31">
        <f t="shared" si="20"/>
        <v>-29.522226475896023</v>
      </c>
      <c r="O61" s="31">
        <f t="shared" si="20"/>
        <v>-29.244884014686683</v>
      </c>
      <c r="P61" s="31">
        <f t="shared" si="20"/>
        <v>-28.966698466247706</v>
      </c>
      <c r="Q61" s="31">
        <f t="shared" si="20"/>
        <v>-28.687663989897274</v>
      </c>
      <c r="R61" s="31">
        <f t="shared" si="20"/>
        <v>-28.408825640634159</v>
      </c>
      <c r="S61" s="31">
        <f t="shared" si="20"/>
        <v>-28.127307222290895</v>
      </c>
      <c r="T61" s="31">
        <f t="shared" si="20"/>
        <v>-27.843843827253234</v>
      </c>
      <c r="U61" s="31">
        <f t="shared" si="20"/>
        <v>-27.559928563003783</v>
      </c>
    </row>
    <row r="62" spans="2:26" x14ac:dyDescent="0.3"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</row>
    <row r="63" spans="2:26" x14ac:dyDescent="0.3">
      <c r="B63" s="78" t="s">
        <v>157</v>
      </c>
      <c r="C63" s="79"/>
      <c r="D63" s="79"/>
      <c r="E63" s="79"/>
      <c r="F63" s="33">
        <f>F58/(1+0.06)^F27</f>
        <v>-0.85624025589473673</v>
      </c>
      <c r="G63" s="33">
        <f>G58/(1+0.06)^G27</f>
        <v>-9.5538625625402211</v>
      </c>
      <c r="H63" s="33">
        <f t="shared" ref="H63:T63" si="21">H58/(1+0.06)^H27</f>
        <v>-8.9063471431168644</v>
      </c>
      <c r="I63" s="33">
        <f t="shared" si="21"/>
        <v>-8.2904194437540895</v>
      </c>
      <c r="J63" s="33">
        <f t="shared" si="21"/>
        <v>0.21111345410043283</v>
      </c>
      <c r="K63" s="33">
        <f t="shared" si="21"/>
        <v>0.19962316688630052</v>
      </c>
      <c r="L63" s="33">
        <f t="shared" si="21"/>
        <v>0.18832907211452291</v>
      </c>
      <c r="M63" s="33">
        <f>M58/(1+0.06)^M27</f>
        <v>0.17665443012630694</v>
      </c>
      <c r="N63" s="33">
        <f t="shared" si="21"/>
        <v>0.1730804338635791</v>
      </c>
      <c r="O63" s="33">
        <f t="shared" si="21"/>
        <v>0.16415857666144301</v>
      </c>
      <c r="P63" s="33">
        <f t="shared" si="21"/>
        <v>0.15533735726159192</v>
      </c>
      <c r="Q63" s="33">
        <f t="shared" si="21"/>
        <v>0.1469918812955911</v>
      </c>
      <c r="R63" s="33">
        <f t="shared" si="21"/>
        <v>0.13857411697415231</v>
      </c>
      <c r="S63" s="33">
        <f t="shared" si="21"/>
        <v>0.13198681999929759</v>
      </c>
      <c r="T63" s="33">
        <f t="shared" si="21"/>
        <v>0.12537613299149386</v>
      </c>
      <c r="U63" s="33">
        <f>U58/(1+0.06)^U27</f>
        <v>0.11846791998079394</v>
      </c>
    </row>
    <row r="64" spans="2:26" x14ac:dyDescent="0.3">
      <c r="B64" s="78" t="s">
        <v>158</v>
      </c>
      <c r="C64" s="79"/>
      <c r="D64" s="79"/>
      <c r="E64" s="79"/>
      <c r="F64" s="33">
        <f>F63</f>
        <v>-0.85624025589473673</v>
      </c>
      <c r="G64" s="33">
        <f>F64+G63</f>
        <v>-10.410102818434957</v>
      </c>
      <c r="H64" s="33">
        <f t="shared" ref="H64:U64" si="22">G64+H63</f>
        <v>-19.316449961551822</v>
      </c>
      <c r="I64" s="33">
        <f t="shared" si="22"/>
        <v>-27.606869405305911</v>
      </c>
      <c r="J64" s="33">
        <f t="shared" si="22"/>
        <v>-27.39575595120548</v>
      </c>
      <c r="K64" s="33">
        <f t="shared" si="22"/>
        <v>-27.196132784319179</v>
      </c>
      <c r="L64" s="33">
        <f t="shared" si="22"/>
        <v>-27.007803712204655</v>
      </c>
      <c r="M64" s="33">
        <f t="shared" si="22"/>
        <v>-26.83114928207835</v>
      </c>
      <c r="N64" s="33">
        <f t="shared" si="22"/>
        <v>-26.658068848214771</v>
      </c>
      <c r="O64" s="33">
        <f t="shared" si="22"/>
        <v>-26.493910271553329</v>
      </c>
      <c r="P64" s="33">
        <f t="shared" si="22"/>
        <v>-26.338572914291738</v>
      </c>
      <c r="Q64" s="33">
        <f t="shared" si="22"/>
        <v>-26.191581032996147</v>
      </c>
      <c r="R64" s="33">
        <f t="shared" si="22"/>
        <v>-26.053006916021996</v>
      </c>
      <c r="S64" s="33">
        <f t="shared" si="22"/>
        <v>-25.921020096022698</v>
      </c>
      <c r="T64" s="33">
        <f t="shared" si="22"/>
        <v>-25.795643963031203</v>
      </c>
      <c r="U64" s="33">
        <f t="shared" si="22"/>
        <v>-25.677176043050409</v>
      </c>
    </row>
    <row r="67" spans="2:20" x14ac:dyDescent="0.3">
      <c r="B67" s="85" t="s">
        <v>159</v>
      </c>
      <c r="C67" s="85"/>
      <c r="D67" s="34">
        <f>J4</f>
        <v>0.06</v>
      </c>
      <c r="H67" s="93" t="s">
        <v>160</v>
      </c>
      <c r="I67" s="93"/>
      <c r="J67" s="93" t="s">
        <v>161</v>
      </c>
      <c r="K67" s="93"/>
      <c r="L67" s="93" t="s">
        <v>162</v>
      </c>
      <c r="M67" s="93"/>
    </row>
    <row r="68" spans="2:20" x14ac:dyDescent="0.3">
      <c r="B68" s="62"/>
      <c r="C68" s="62"/>
      <c r="F68" s="100" t="s">
        <v>163</v>
      </c>
      <c r="G68" s="100"/>
      <c r="H68" s="94">
        <f>NPV(D67,G45:U45)+F45</f>
        <v>-39.500344782952588</v>
      </c>
      <c r="I68" s="94"/>
      <c r="J68" s="94">
        <f>H68*1000000/$D$73</f>
        <v>-15.630614520339245</v>
      </c>
      <c r="K68" s="94"/>
      <c r="L68" s="95">
        <f>J68*$S$4</f>
        <v>-14995.386346232659</v>
      </c>
      <c r="M68" s="95"/>
      <c r="S68" s="6"/>
      <c r="T68" s="6"/>
    </row>
    <row r="69" spans="2:20" x14ac:dyDescent="0.3">
      <c r="B69" s="80" t="s">
        <v>110</v>
      </c>
      <c r="C69" s="80"/>
      <c r="D69" s="36">
        <f>NPV(D67,G58:U58)+F58</f>
        <v>-25.677176043050409</v>
      </c>
      <c r="F69" s="101" t="s">
        <v>164</v>
      </c>
      <c r="G69" s="101"/>
      <c r="H69" s="89">
        <f>PMT(D67,15,-H68)</f>
        <v>-4.0670646760406148</v>
      </c>
      <c r="I69" s="89"/>
      <c r="J69" s="89">
        <f>H69*1000000/$D$73</f>
        <v>-1.609371273334173</v>
      </c>
      <c r="K69" s="89"/>
      <c r="L69" s="90">
        <f>J69*$S$4</f>
        <v>-1543.9664247858723</v>
      </c>
      <c r="M69" s="90"/>
    </row>
    <row r="70" spans="2:20" x14ac:dyDescent="0.3">
      <c r="B70" s="80" t="s">
        <v>111</v>
      </c>
      <c r="C70" s="80"/>
      <c r="D70" s="37" t="e">
        <f>IRR(F58:U58)</f>
        <v>#NUM!</v>
      </c>
      <c r="F70" s="102" t="s">
        <v>165</v>
      </c>
      <c r="G70" s="102"/>
      <c r="H70" s="91">
        <f>H69/12</f>
        <v>-0.3389220563367179</v>
      </c>
      <c r="I70" s="91"/>
      <c r="J70" s="91">
        <f t="shared" ref="J70" si="23">J69/12</f>
        <v>-0.13411427277784774</v>
      </c>
      <c r="K70" s="91"/>
      <c r="L70" s="92">
        <f>L69/12</f>
        <v>-128.66386873215603</v>
      </c>
      <c r="M70" s="92"/>
    </row>
    <row r="71" spans="2:20" x14ac:dyDescent="0.3">
      <c r="B71" s="80" t="s">
        <v>166</v>
      </c>
      <c r="C71" s="80"/>
      <c r="D71" s="38">
        <f>NPV(D67,G56:U56)/-(F36+NPV(D67,G36:U36)+NPV(D67,G43:U43))</f>
        <v>0.3499505843773783</v>
      </c>
      <c r="F71" s="103"/>
      <c r="G71" s="103"/>
      <c r="L71" s="39"/>
      <c r="M71" s="39"/>
    </row>
    <row r="72" spans="2:20" x14ac:dyDescent="0.3">
      <c r="B72" s="62"/>
      <c r="C72" s="62"/>
      <c r="F72" s="104" t="s">
        <v>167</v>
      </c>
      <c r="G72" s="104"/>
      <c r="H72" s="94">
        <f>NPV(D67,G56:U56)+F56</f>
        <v>13.823168739902183</v>
      </c>
      <c r="I72" s="94"/>
      <c r="J72" s="94">
        <f>H72*1000000/$D$73</f>
        <v>5.4699426855702526</v>
      </c>
      <c r="K72" s="94"/>
      <c r="L72" s="95">
        <f>J72*$S$4</f>
        <v>5247.6442148286778</v>
      </c>
      <c r="M72" s="95"/>
    </row>
    <row r="73" spans="2:20" x14ac:dyDescent="0.3">
      <c r="B73" s="80" t="s">
        <v>168</v>
      </c>
      <c r="C73" s="80"/>
      <c r="D73" s="4">
        <v>2527114</v>
      </c>
      <c r="F73" s="105" t="s">
        <v>169</v>
      </c>
      <c r="G73" s="105"/>
      <c r="H73" s="89">
        <f>PMT(D67,15,-H72)</f>
        <v>1.4232716600810058</v>
      </c>
      <c r="I73" s="89"/>
      <c r="J73" s="89">
        <f>H73*1000000/$D$73</f>
        <v>0.56320041758345918</v>
      </c>
      <c r="K73" s="89"/>
      <c r="L73" s="90">
        <f>J73*$S$4</f>
        <v>540.31195261286746</v>
      </c>
      <c r="M73" s="90"/>
    </row>
    <row r="74" spans="2:20" x14ac:dyDescent="0.3">
      <c r="B74" s="80" t="s">
        <v>170</v>
      </c>
      <c r="C74" s="80"/>
      <c r="D74" s="4">
        <v>2158536</v>
      </c>
      <c r="F74" s="106" t="s">
        <v>171</v>
      </c>
      <c r="G74" s="106"/>
      <c r="H74" s="96">
        <f>H73/12</f>
        <v>0.11860597167341715</v>
      </c>
      <c r="I74" s="96"/>
      <c r="J74" s="96">
        <f>J73/12</f>
        <v>4.6933368131954929E-2</v>
      </c>
      <c r="K74" s="96"/>
      <c r="L74" s="97">
        <f>L73/12</f>
        <v>45.025996051072291</v>
      </c>
      <c r="M74" s="97"/>
    </row>
    <row r="75" spans="2:20" x14ac:dyDescent="0.3">
      <c r="B75" s="80" t="s">
        <v>172</v>
      </c>
      <c r="C75" s="80"/>
      <c r="D75" s="4">
        <v>1173397</v>
      </c>
      <c r="F75" s="103"/>
      <c r="G75" s="103"/>
      <c r="L75" s="39"/>
      <c r="M75" s="39"/>
    </row>
    <row r="76" spans="2:20" x14ac:dyDescent="0.3">
      <c r="B76" s="80" t="s">
        <v>173</v>
      </c>
      <c r="C76" s="80"/>
      <c r="D76" s="4">
        <v>1288141</v>
      </c>
      <c r="F76" s="107" t="s">
        <v>174</v>
      </c>
      <c r="G76" s="107"/>
      <c r="H76" s="94">
        <f>H72+H68</f>
        <v>-25.677176043050405</v>
      </c>
      <c r="I76" s="94"/>
      <c r="J76" s="94">
        <f>H76*1000000/$D$73</f>
        <v>-10.160671834768991</v>
      </c>
      <c r="K76" s="94"/>
      <c r="L76" s="95">
        <f>J76*$S$4</f>
        <v>-9747.7421314039784</v>
      </c>
      <c r="M76" s="95"/>
    </row>
    <row r="77" spans="2:20" x14ac:dyDescent="0.3">
      <c r="B77" s="80" t="s">
        <v>175</v>
      </c>
      <c r="C77" s="80"/>
      <c r="D77" s="4">
        <v>593823</v>
      </c>
      <c r="F77" s="108" t="s">
        <v>176</v>
      </c>
      <c r="G77" s="108"/>
      <c r="H77" s="89">
        <f>PMT(D67,15,-H76)</f>
        <v>-2.6437930159596092</v>
      </c>
      <c r="I77" s="89"/>
      <c r="J77" s="89">
        <f>H77*1000000/$D$73</f>
        <v>-1.0461708557507137</v>
      </c>
      <c r="K77" s="89"/>
      <c r="L77" s="90">
        <f>J77*$S$4</f>
        <v>-1003.6544721730047</v>
      </c>
      <c r="M77" s="90"/>
    </row>
    <row r="78" spans="2:20" x14ac:dyDescent="0.3">
      <c r="B78" s="62"/>
      <c r="C78" s="62"/>
      <c r="D78" s="35"/>
      <c r="F78" s="109" t="s">
        <v>177</v>
      </c>
      <c r="G78" s="109"/>
      <c r="H78" s="98">
        <f>H77/12</f>
        <v>-0.22031608466330077</v>
      </c>
      <c r="I78" s="98"/>
      <c r="J78" s="98">
        <f>J77/12</f>
        <v>-8.7180904645892801E-2</v>
      </c>
      <c r="K78" s="98"/>
      <c r="L78" s="99">
        <f>L77/12</f>
        <v>-83.637872681083721</v>
      </c>
      <c r="M78" s="99"/>
    </row>
    <row r="79" spans="2:20" x14ac:dyDescent="0.3">
      <c r="B79" s="86" t="s">
        <v>178</v>
      </c>
      <c r="C79" s="86"/>
      <c r="D79" s="4">
        <f>SUM(D73:D77)</f>
        <v>7741011</v>
      </c>
    </row>
  </sheetData>
  <mergeCells count="131">
    <mergeCell ref="B79:C79"/>
    <mergeCell ref="B78:C78"/>
    <mergeCell ref="F78:G78"/>
    <mergeCell ref="H78:I78"/>
    <mergeCell ref="J78:K78"/>
    <mergeCell ref="L78:M78"/>
    <mergeCell ref="J76:K76"/>
    <mergeCell ref="L76:M76"/>
    <mergeCell ref="B77:C77"/>
    <mergeCell ref="F77:G77"/>
    <mergeCell ref="H77:I77"/>
    <mergeCell ref="J77:K77"/>
    <mergeCell ref="L77:M77"/>
    <mergeCell ref="B75:C75"/>
    <mergeCell ref="F75:G75"/>
    <mergeCell ref="B76:C76"/>
    <mergeCell ref="F76:G76"/>
    <mergeCell ref="H76:I76"/>
    <mergeCell ref="B74:C74"/>
    <mergeCell ref="F74:G74"/>
    <mergeCell ref="H74:I74"/>
    <mergeCell ref="J74:K74"/>
    <mergeCell ref="L74:M74"/>
    <mergeCell ref="J72:K72"/>
    <mergeCell ref="L72:M72"/>
    <mergeCell ref="B73:C73"/>
    <mergeCell ref="F73:G73"/>
    <mergeCell ref="H73:I73"/>
    <mergeCell ref="J73:K73"/>
    <mergeCell ref="L73:M73"/>
    <mergeCell ref="B71:C71"/>
    <mergeCell ref="F71:G71"/>
    <mergeCell ref="B72:C72"/>
    <mergeCell ref="F72:G72"/>
    <mergeCell ref="H72:I72"/>
    <mergeCell ref="B70:C70"/>
    <mergeCell ref="F70:G70"/>
    <mergeCell ref="H70:I70"/>
    <mergeCell ref="J70:K70"/>
    <mergeCell ref="L70:M70"/>
    <mergeCell ref="B69:C69"/>
    <mergeCell ref="F69:G69"/>
    <mergeCell ref="H69:I69"/>
    <mergeCell ref="J69:K69"/>
    <mergeCell ref="L69:M69"/>
    <mergeCell ref="L67:M67"/>
    <mergeCell ref="B68:C68"/>
    <mergeCell ref="F68:G68"/>
    <mergeCell ref="H68:I68"/>
    <mergeCell ref="J68:K68"/>
    <mergeCell ref="L68:M68"/>
    <mergeCell ref="B63:E63"/>
    <mergeCell ref="B64:E64"/>
    <mergeCell ref="B67:C67"/>
    <mergeCell ref="H67:I67"/>
    <mergeCell ref="J67:K67"/>
    <mergeCell ref="L4:P4"/>
    <mergeCell ref="B2:E2"/>
    <mergeCell ref="G2:K2"/>
    <mergeCell ref="B4:C4"/>
    <mergeCell ref="D4:E4"/>
    <mergeCell ref="G4:I4"/>
    <mergeCell ref="B5:C5"/>
    <mergeCell ref="D5:E5"/>
    <mergeCell ref="G5:I5"/>
    <mergeCell ref="L5:P5"/>
    <mergeCell ref="B6:C6"/>
    <mergeCell ref="D6:E6"/>
    <mergeCell ref="G6:I6"/>
    <mergeCell ref="L6:P6"/>
    <mergeCell ref="B14:U14"/>
    <mergeCell ref="B7:C7"/>
    <mergeCell ref="D7:E7"/>
    <mergeCell ref="G7:I7"/>
    <mergeCell ref="L7:P7"/>
    <mergeCell ref="B8:C8"/>
    <mergeCell ref="D8:E8"/>
    <mergeCell ref="G8:I8"/>
    <mergeCell ref="L8:P8"/>
    <mergeCell ref="B9:C9"/>
    <mergeCell ref="D9:E9"/>
    <mergeCell ref="G9:I9"/>
    <mergeCell ref="L9:P9"/>
    <mergeCell ref="B12:D13"/>
    <mergeCell ref="B15:B19"/>
    <mergeCell ref="C15:E15"/>
    <mergeCell ref="C16:U16"/>
    <mergeCell ref="C17:E17"/>
    <mergeCell ref="C18:E18"/>
    <mergeCell ref="C19:E19"/>
    <mergeCell ref="C20:U20"/>
    <mergeCell ref="B21:B25"/>
    <mergeCell ref="C21:E21"/>
    <mergeCell ref="C22:E22"/>
    <mergeCell ref="C23:E23"/>
    <mergeCell ref="C24:E24"/>
    <mergeCell ref="C25:E25"/>
    <mergeCell ref="B26:U26"/>
    <mergeCell ref="B27:D28"/>
    <mergeCell ref="B30:B36"/>
    <mergeCell ref="C30:E30"/>
    <mergeCell ref="C31:E31"/>
    <mergeCell ref="C32:E32"/>
    <mergeCell ref="C33:E33"/>
    <mergeCell ref="C34:E34"/>
    <mergeCell ref="C35:E35"/>
    <mergeCell ref="C36:E36"/>
    <mergeCell ref="B37:U37"/>
    <mergeCell ref="B38:B43"/>
    <mergeCell ref="C38:E38"/>
    <mergeCell ref="C39:E39"/>
    <mergeCell ref="C40:E40"/>
    <mergeCell ref="C41:E41"/>
    <mergeCell ref="C42:E42"/>
    <mergeCell ref="C43:E43"/>
    <mergeCell ref="B58:E58"/>
    <mergeCell ref="B60:E60"/>
    <mergeCell ref="B61:E61"/>
    <mergeCell ref="B44:U44"/>
    <mergeCell ref="B47:B5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B45:E45"/>
  </mergeCells>
  <conditionalFormatting sqref="F30:U36">
    <cfRule type="cellIs" dxfId="39" priority="9" operator="lessThan">
      <formula>0</formula>
    </cfRule>
  </conditionalFormatting>
  <conditionalFormatting sqref="F38:U43">
    <cfRule type="cellIs" dxfId="38" priority="7" operator="lessThan">
      <formula>0</formula>
    </cfRule>
  </conditionalFormatting>
  <conditionalFormatting sqref="F45:U45">
    <cfRule type="cellIs" dxfId="37" priority="5" operator="lessThan">
      <formula>0</formula>
    </cfRule>
  </conditionalFormatting>
  <conditionalFormatting sqref="F47:U56">
    <cfRule type="cellIs" dxfId="36" priority="8" operator="lessThan">
      <formula>0</formula>
    </cfRule>
  </conditionalFormatting>
  <conditionalFormatting sqref="F58:U61">
    <cfRule type="cellIs" dxfId="35" priority="3" operator="lessThan">
      <formula>0</formula>
    </cfRule>
  </conditionalFormatting>
  <conditionalFormatting sqref="F63:U64">
    <cfRule type="cellIs" dxfId="34" priority="2" operator="lessThan">
      <formula>0</formula>
    </cfRule>
  </conditionalFormatting>
  <conditionalFormatting sqref="H68:M69 H70 J70 H72:M73 H74 J74 H76:M78">
    <cfRule type="cellIs" dxfId="33" priority="4" operator="lessThan">
      <formula>0</formula>
    </cfRule>
  </conditionalFormatting>
  <conditionalFormatting sqref="L70 L74">
    <cfRule type="cellIs" dxfId="32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606DD-35D7-49DB-A29D-2D01A535F35F}">
  <sheetPr>
    <tabColor theme="5" tint="-0.499984740745262"/>
  </sheetPr>
  <dimension ref="A1:Q26"/>
  <sheetViews>
    <sheetView zoomScale="80" zoomScaleNormal="80" workbookViewId="0">
      <selection activeCell="F19" sqref="F19"/>
    </sheetView>
  </sheetViews>
  <sheetFormatPr baseColWidth="10" defaultRowHeight="14.4" x14ac:dyDescent="0.3"/>
  <cols>
    <col min="1" max="1" width="42.77734375" bestFit="1" customWidth="1"/>
    <col min="2" max="11" width="12" bestFit="1" customWidth="1"/>
    <col min="12" max="17" width="12.88671875" bestFit="1" customWidth="1"/>
  </cols>
  <sheetData>
    <row r="1" spans="1:17" x14ac:dyDescent="0.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</row>
    <row r="2" spans="1:17" x14ac:dyDescent="0.3">
      <c r="A2" t="s">
        <v>113</v>
      </c>
      <c r="B2">
        <v>8711682.8114798889</v>
      </c>
      <c r="C2">
        <v>8974775.6323865801</v>
      </c>
      <c r="D2">
        <v>9245813.8564846553</v>
      </c>
      <c r="E2">
        <v>9525037.4349504914</v>
      </c>
      <c r="F2">
        <v>9812693.5654859971</v>
      </c>
      <c r="G2">
        <v>10109036.911163669</v>
      </c>
      <c r="H2">
        <v>10414329.82588082</v>
      </c>
      <c r="I2">
        <v>10728842.586622421</v>
      </c>
      <c r="J2">
        <v>11052853.632738421</v>
      </c>
      <c r="K2">
        <v>11386649.81244712</v>
      </c>
      <c r="L2">
        <v>11730526.636783021</v>
      </c>
      <c r="M2">
        <v>12084788.541213861</v>
      </c>
      <c r="N2">
        <v>12449749.15515852</v>
      </c>
      <c r="O2">
        <v>12825731.579644309</v>
      </c>
      <c r="P2">
        <v>13213068.67334957</v>
      </c>
      <c r="Q2">
        <v>13612103.347284731</v>
      </c>
    </row>
    <row r="3" spans="1:17" x14ac:dyDescent="0.3">
      <c r="A3" t="s">
        <v>102</v>
      </c>
      <c r="B3">
        <v>2896</v>
      </c>
      <c r="C3">
        <v>11</v>
      </c>
      <c r="D3">
        <v>11</v>
      </c>
      <c r="E3">
        <v>11</v>
      </c>
      <c r="F3">
        <v>11</v>
      </c>
      <c r="G3">
        <v>13</v>
      </c>
      <c r="H3">
        <v>13</v>
      </c>
      <c r="I3">
        <v>13</v>
      </c>
      <c r="J3">
        <v>13</v>
      </c>
      <c r="K3">
        <v>13</v>
      </c>
      <c r="L3">
        <v>13</v>
      </c>
      <c r="M3">
        <v>13</v>
      </c>
      <c r="N3">
        <v>13</v>
      </c>
      <c r="O3">
        <v>13</v>
      </c>
      <c r="P3">
        <v>13</v>
      </c>
      <c r="Q3">
        <v>13</v>
      </c>
    </row>
    <row r="4" spans="1:17" x14ac:dyDescent="0.3">
      <c r="A4" t="s">
        <v>103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">
      <c r="A5" t="s">
        <v>104</v>
      </c>
      <c r="B5">
        <v>46463</v>
      </c>
      <c r="C5">
        <v>232</v>
      </c>
      <c r="D5">
        <v>232</v>
      </c>
      <c r="E5">
        <v>235</v>
      </c>
      <c r="F5">
        <v>235</v>
      </c>
      <c r="G5">
        <v>237</v>
      </c>
      <c r="H5">
        <v>237</v>
      </c>
      <c r="I5">
        <v>237</v>
      </c>
      <c r="J5">
        <v>239</v>
      </c>
      <c r="K5">
        <v>239</v>
      </c>
      <c r="L5">
        <v>239</v>
      </c>
      <c r="M5">
        <v>241</v>
      </c>
      <c r="N5">
        <v>241</v>
      </c>
      <c r="O5">
        <v>244</v>
      </c>
      <c r="P5">
        <v>247</v>
      </c>
      <c r="Q5">
        <v>250</v>
      </c>
    </row>
    <row r="6" spans="1:17" x14ac:dyDescent="0.3">
      <c r="A6" t="s">
        <v>133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134</v>
      </c>
      <c r="B7">
        <v>138.76</v>
      </c>
      <c r="C7">
        <v>138.76</v>
      </c>
      <c r="D7">
        <v>138.76</v>
      </c>
      <c r="E7">
        <v>138.76</v>
      </c>
      <c r="F7">
        <v>138.76</v>
      </c>
      <c r="G7">
        <v>138.76</v>
      </c>
      <c r="H7">
        <v>138.76</v>
      </c>
      <c r="I7">
        <v>138.76</v>
      </c>
      <c r="J7">
        <v>138.76</v>
      </c>
      <c r="K7">
        <v>138.76</v>
      </c>
      <c r="L7">
        <v>138.76</v>
      </c>
      <c r="M7">
        <v>138.76</v>
      </c>
      <c r="N7">
        <v>138.76</v>
      </c>
      <c r="O7">
        <v>138.76</v>
      </c>
      <c r="P7">
        <v>138.76</v>
      </c>
      <c r="Q7">
        <v>138.76</v>
      </c>
    </row>
    <row r="8" spans="1:17" x14ac:dyDescent="0.3">
      <c r="A8" t="s">
        <v>135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">
      <c r="A9" t="s">
        <v>136</v>
      </c>
      <c r="B9">
        <v>717.59199999999998</v>
      </c>
      <c r="C9">
        <v>717.5920000000001</v>
      </c>
      <c r="D9">
        <v>717.5920000000001</v>
      </c>
      <c r="E9">
        <v>717.59199999999998</v>
      </c>
      <c r="F9">
        <v>717.59199999999998</v>
      </c>
      <c r="G9">
        <v>717.59199999999998</v>
      </c>
      <c r="H9">
        <v>717.59199999999998</v>
      </c>
      <c r="I9">
        <v>717.59199999999998</v>
      </c>
      <c r="J9">
        <v>717.5920000000001</v>
      </c>
      <c r="K9">
        <v>717.5920000000001</v>
      </c>
      <c r="L9">
        <v>717.5920000000001</v>
      </c>
      <c r="M9">
        <v>717.5920000000001</v>
      </c>
      <c r="N9">
        <v>717.5920000000001</v>
      </c>
      <c r="O9">
        <v>717.5920000000001</v>
      </c>
      <c r="P9">
        <v>717.59199999999998</v>
      </c>
      <c r="Q9">
        <v>717.59199999999998</v>
      </c>
    </row>
    <row r="10" spans="1:17" x14ac:dyDescent="0.3">
      <c r="A10" t="s">
        <v>137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">
      <c r="A11" t="s">
        <v>82</v>
      </c>
      <c r="B11">
        <v>905787.00899999996</v>
      </c>
      <c r="C11">
        <v>4459.2929999999997</v>
      </c>
      <c r="D11">
        <v>4459.2929999999997</v>
      </c>
      <c r="E11">
        <v>4514.3459999999995</v>
      </c>
      <c r="F11">
        <v>4514.3459999999995</v>
      </c>
      <c r="G11">
        <v>4587.75</v>
      </c>
      <c r="H11">
        <v>4587.75</v>
      </c>
      <c r="I11">
        <v>4587.75</v>
      </c>
      <c r="J11">
        <v>4624.4519999999993</v>
      </c>
      <c r="K11">
        <v>4624.4519999999993</v>
      </c>
      <c r="L11">
        <v>4624.4519999999993</v>
      </c>
      <c r="M11">
        <v>4661.1540000000005</v>
      </c>
      <c r="N11">
        <v>4661.1540000000005</v>
      </c>
      <c r="O11">
        <v>4716.2070000000003</v>
      </c>
      <c r="P11">
        <v>4771.2599999999993</v>
      </c>
      <c r="Q11">
        <v>4826.3130000000001</v>
      </c>
    </row>
    <row r="12" spans="1:17" x14ac:dyDescent="0.3">
      <c r="A12" t="s">
        <v>141</v>
      </c>
      <c r="B12">
        <v>68063.46315789473</v>
      </c>
      <c r="C12">
        <v>335.08421052631581</v>
      </c>
      <c r="D12">
        <v>335.08421052631581</v>
      </c>
      <c r="E12">
        <v>339.22105263157891</v>
      </c>
      <c r="F12">
        <v>339.22105263157891</v>
      </c>
      <c r="G12">
        <v>344.73684210526312</v>
      </c>
      <c r="H12">
        <v>344.73684210526312</v>
      </c>
      <c r="I12">
        <v>344.73684210526312</v>
      </c>
      <c r="J12">
        <v>347.49473684210523</v>
      </c>
      <c r="K12">
        <v>347.49473684210523</v>
      </c>
      <c r="L12">
        <v>347.49473684210523</v>
      </c>
      <c r="M12">
        <v>350.25263157894727</v>
      </c>
      <c r="N12">
        <v>350.25263157894727</v>
      </c>
      <c r="O12">
        <v>354.38947368421049</v>
      </c>
      <c r="P12">
        <v>358.52631578947359</v>
      </c>
      <c r="Q12">
        <v>362.66315789473691</v>
      </c>
    </row>
    <row r="13" spans="1:17" x14ac:dyDescent="0.3">
      <c r="A13" t="s">
        <v>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">
      <c r="A14" t="s">
        <v>84</v>
      </c>
      <c r="B14">
        <v>829784.38959306211</v>
      </c>
      <c r="C14">
        <v>829784.38959306211</v>
      </c>
      <c r="D14">
        <v>829784.38959306211</v>
      </c>
      <c r="E14">
        <v>829784.38959306211</v>
      </c>
      <c r="F14">
        <v>829784.38959306211</v>
      </c>
      <c r="G14">
        <v>829784.38959306211</v>
      </c>
      <c r="H14">
        <v>829784.38959306211</v>
      </c>
      <c r="I14">
        <v>829784.38959306211</v>
      </c>
      <c r="J14">
        <v>829784.38959306211</v>
      </c>
      <c r="K14">
        <v>829784.38959306211</v>
      </c>
      <c r="L14">
        <v>829784.38959306211</v>
      </c>
      <c r="M14">
        <v>829784.38959306211</v>
      </c>
      <c r="N14">
        <v>829784.38959306211</v>
      </c>
      <c r="O14">
        <v>829784.38959306211</v>
      </c>
      <c r="P14">
        <v>829784.38959306211</v>
      </c>
      <c r="Q14">
        <v>829784.38959306211</v>
      </c>
    </row>
    <row r="15" spans="1:17" x14ac:dyDescent="0.3">
      <c r="A15" t="s">
        <v>85</v>
      </c>
      <c r="B15">
        <v>394147.58505670453</v>
      </c>
      <c r="C15">
        <v>396088.01867911947</v>
      </c>
      <c r="D15">
        <v>398028.45230153442</v>
      </c>
      <c r="E15">
        <v>399992.84189459641</v>
      </c>
      <c r="F15">
        <v>401957.23148765857</v>
      </c>
      <c r="G15">
        <v>403953.56237491668</v>
      </c>
      <c r="H15">
        <v>405949.89326217491</v>
      </c>
      <c r="I15">
        <v>407946.22414943302</v>
      </c>
      <c r="J15">
        <v>409958.52568378928</v>
      </c>
      <c r="K15">
        <v>411970.82721814548</v>
      </c>
      <c r="L15">
        <v>413983.12875250168</v>
      </c>
      <c r="M15">
        <v>416011.40093395603</v>
      </c>
      <c r="N15">
        <v>418039.67311541038</v>
      </c>
      <c r="O15">
        <v>420091.90126751183</v>
      </c>
      <c r="P15">
        <v>422168.08539026021</v>
      </c>
      <c r="Q15">
        <v>424268.22548365587</v>
      </c>
    </row>
    <row r="16" spans="1:17" x14ac:dyDescent="0.3">
      <c r="A16" t="s">
        <v>142</v>
      </c>
      <c r="B16">
        <v>55940.632973684224</v>
      </c>
      <c r="C16">
        <v>56216.035105263152</v>
      </c>
      <c r="D16">
        <v>56491.437236842103</v>
      </c>
      <c r="E16">
        <v>56770.239394736833</v>
      </c>
      <c r="F16">
        <v>57049.041552631563</v>
      </c>
      <c r="G16">
        <v>57332.377078947356</v>
      </c>
      <c r="H16">
        <v>57615.71260526315</v>
      </c>
      <c r="I16">
        <v>57899.048131578937</v>
      </c>
      <c r="J16">
        <v>58184.650342105248</v>
      </c>
      <c r="K16">
        <v>58470.252552631573</v>
      </c>
      <c r="L16">
        <v>58755.854763157869</v>
      </c>
      <c r="M16">
        <v>59043.723657894712</v>
      </c>
      <c r="N16">
        <v>59331.592552631562</v>
      </c>
      <c r="O16">
        <v>59622.861473684177</v>
      </c>
      <c r="P16">
        <v>59917.530421052608</v>
      </c>
      <c r="Q16">
        <v>60215.599394736812</v>
      </c>
    </row>
    <row r="17" spans="1:17" x14ac:dyDescent="0.3">
      <c r="A17" t="s">
        <v>86</v>
      </c>
      <c r="B17">
        <v>61303.878000000012</v>
      </c>
      <c r="C17">
        <v>61605.684000000008</v>
      </c>
      <c r="D17">
        <v>61907.490000000013</v>
      </c>
      <c r="E17">
        <v>62213.022000000012</v>
      </c>
      <c r="F17">
        <v>62518.554000000018</v>
      </c>
      <c r="G17">
        <v>62829.054000000011</v>
      </c>
      <c r="H17">
        <v>63139.554000000018</v>
      </c>
      <c r="I17">
        <v>63450.054000000018</v>
      </c>
      <c r="J17">
        <v>63763.038000000022</v>
      </c>
      <c r="K17">
        <v>64076.022000000012</v>
      </c>
      <c r="L17">
        <v>64389.006000000023</v>
      </c>
      <c r="M17">
        <v>64704.474000000017</v>
      </c>
      <c r="N17">
        <v>65019.942000000017</v>
      </c>
      <c r="O17">
        <v>65339.136000000013</v>
      </c>
      <c r="P17">
        <v>65662.056000000011</v>
      </c>
      <c r="Q17">
        <v>65988.702000000005</v>
      </c>
    </row>
    <row r="18" spans="1:17" x14ac:dyDescent="0.3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">
      <c r="A20" t="s">
        <v>89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t="s">
        <v>90</v>
      </c>
      <c r="B21">
        <v>725878.99896777514</v>
      </c>
      <c r="C21">
        <v>725878.99896777514</v>
      </c>
      <c r="D21">
        <v>725878.99896777514</v>
      </c>
      <c r="E21">
        <v>725878.99896777514</v>
      </c>
      <c r="F21">
        <v>725878.99896777514</v>
      </c>
      <c r="G21">
        <v>725878.99896777514</v>
      </c>
      <c r="H21">
        <v>725878.99896777514</v>
      </c>
      <c r="I21">
        <v>725878.99896777514</v>
      </c>
      <c r="J21">
        <v>725878.99896777514</v>
      </c>
      <c r="K21">
        <v>725878.99896777514</v>
      </c>
      <c r="L21">
        <v>725878.99896777514</v>
      </c>
      <c r="M21">
        <v>725878.99896777514</v>
      </c>
      <c r="N21">
        <v>725878.99896777514</v>
      </c>
      <c r="O21">
        <v>725878.99896777514</v>
      </c>
      <c r="P21">
        <v>725878.99896777514</v>
      </c>
      <c r="Q21">
        <v>725878.99896777514</v>
      </c>
    </row>
    <row r="22" spans="1:17" x14ac:dyDescent="0.3">
      <c r="A22" t="s">
        <v>139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91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">
      <c r="A24" t="s">
        <v>92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">
      <c r="A25" t="s">
        <v>93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">
      <c r="A26" t="s">
        <v>94</v>
      </c>
      <c r="B26">
        <v>1901322.770454546</v>
      </c>
      <c r="C26">
        <v>1902723.1268181819</v>
      </c>
      <c r="D26">
        <v>1904162.447727273</v>
      </c>
      <c r="E26">
        <v>1925148.1104545449</v>
      </c>
      <c r="F26">
        <v>1929663.072272727</v>
      </c>
      <c r="G26">
        <v>1932601.793181818</v>
      </c>
      <c r="H26">
        <v>1934717.5909090911</v>
      </c>
      <c r="I26">
        <v>1936782.396818182</v>
      </c>
      <c r="J26">
        <v>1952790.8877272729</v>
      </c>
      <c r="K26">
        <v>1956927.7063636361</v>
      </c>
      <c r="L26">
        <v>1960203.582272728</v>
      </c>
      <c r="M26">
        <v>1963487.3713636361</v>
      </c>
      <c r="N26">
        <v>1967381.2581818181</v>
      </c>
      <c r="O26">
        <v>1973174.022272727</v>
      </c>
      <c r="P26">
        <v>1978983.844090909</v>
      </c>
      <c r="Q26">
        <v>1984810.761818182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AF39-0530-45BF-9796-549582385426}">
  <sheetPr>
    <tabColor theme="5" tint="-0.499984740745262"/>
  </sheetPr>
  <dimension ref="B2:Z79"/>
  <sheetViews>
    <sheetView topLeftCell="F41" zoomScale="80" zoomScaleNormal="80" workbookViewId="0">
      <selection activeCell="AA62" sqref="AA62"/>
    </sheetView>
  </sheetViews>
  <sheetFormatPr baseColWidth="10" defaultRowHeight="14.4" x14ac:dyDescent="0.3"/>
  <cols>
    <col min="1" max="1" width="5.33203125" customWidth="1"/>
    <col min="2" max="2" width="17.33203125" customWidth="1"/>
    <col min="3" max="3" width="14" bestFit="1" customWidth="1"/>
    <col min="4" max="4" width="12.5546875" bestFit="1" customWidth="1"/>
    <col min="5" max="5" width="18.109375" customWidth="1"/>
    <col min="6" max="6" width="19.109375" bestFit="1" customWidth="1"/>
    <col min="7" max="11" width="12" bestFit="1" customWidth="1"/>
    <col min="12" max="21" width="12.5546875" bestFit="1" customWidth="1"/>
  </cols>
  <sheetData>
    <row r="2" spans="2:21" ht="18.600000000000001" thickBot="1" x14ac:dyDescent="0.4">
      <c r="B2" s="81" t="s">
        <v>50</v>
      </c>
      <c r="C2" s="81"/>
      <c r="D2" s="81"/>
      <c r="E2" s="81"/>
      <c r="G2" s="81" t="s">
        <v>41</v>
      </c>
      <c r="H2" s="81"/>
      <c r="I2" s="81"/>
      <c r="J2" s="81"/>
      <c r="K2" s="81"/>
      <c r="M2" s="28"/>
      <c r="N2" s="28"/>
      <c r="O2" s="28"/>
      <c r="P2" s="28"/>
      <c r="Q2" s="28"/>
    </row>
    <row r="3" spans="2:21" ht="15" customHeight="1" x14ac:dyDescent="0.35">
      <c r="G3" s="5"/>
      <c r="H3" s="5"/>
      <c r="I3" s="5"/>
      <c r="J3" s="5"/>
    </row>
    <row r="4" spans="2:21" x14ac:dyDescent="0.3">
      <c r="B4" s="80" t="s">
        <v>51</v>
      </c>
      <c r="C4" s="80"/>
      <c r="D4" s="80" t="s">
        <v>40</v>
      </c>
      <c r="E4" s="80"/>
      <c r="G4" s="80" t="s">
        <v>17</v>
      </c>
      <c r="H4" s="80"/>
      <c r="I4" s="80"/>
      <c r="J4" s="18">
        <v>0.06</v>
      </c>
      <c r="K4" s="16" t="s">
        <v>29</v>
      </c>
      <c r="L4" s="68"/>
      <c r="M4" s="68"/>
      <c r="N4" s="68"/>
      <c r="O4" s="68"/>
      <c r="P4" s="68"/>
      <c r="R4" s="26" t="s">
        <v>42</v>
      </c>
      <c r="S4" s="27">
        <v>959.36</v>
      </c>
      <c r="T4" s="20" t="s">
        <v>44</v>
      </c>
      <c r="U4" s="29">
        <v>45946</v>
      </c>
    </row>
    <row r="5" spans="2:21" x14ac:dyDescent="0.3">
      <c r="B5" s="68" t="s">
        <v>52</v>
      </c>
      <c r="C5" s="68"/>
      <c r="D5" s="68" t="s">
        <v>149</v>
      </c>
      <c r="E5" s="68"/>
      <c r="G5" s="80" t="s">
        <v>46</v>
      </c>
      <c r="H5" s="80"/>
      <c r="I5" s="80"/>
      <c r="J5" s="19">
        <v>15</v>
      </c>
      <c r="K5" s="20" t="s">
        <v>47</v>
      </c>
      <c r="L5" s="43"/>
      <c r="M5" s="43"/>
      <c r="N5" s="43"/>
      <c r="O5" s="43"/>
      <c r="P5" s="43"/>
      <c r="R5" s="26" t="s">
        <v>43</v>
      </c>
      <c r="S5" s="27">
        <v>39521.26</v>
      </c>
      <c r="T5" s="20" t="s">
        <v>45</v>
      </c>
      <c r="U5" s="29">
        <v>45946</v>
      </c>
    </row>
    <row r="6" spans="2:21" x14ac:dyDescent="0.3">
      <c r="B6" s="68" t="s">
        <v>53</v>
      </c>
      <c r="C6" s="68"/>
      <c r="D6" s="68" t="s">
        <v>149</v>
      </c>
      <c r="E6" s="68"/>
      <c r="G6" s="86" t="s">
        <v>106</v>
      </c>
      <c r="H6" s="86"/>
      <c r="I6" s="86"/>
      <c r="J6" s="20">
        <v>3</v>
      </c>
      <c r="K6" s="20" t="s">
        <v>47</v>
      </c>
      <c r="L6" s="43"/>
      <c r="M6" s="43"/>
      <c r="N6" s="43"/>
      <c r="O6" s="43"/>
      <c r="P6" s="43"/>
    </row>
    <row r="7" spans="2:21" x14ac:dyDescent="0.3">
      <c r="B7" s="68" t="s">
        <v>54</v>
      </c>
      <c r="C7" s="68"/>
      <c r="D7" s="68" t="s">
        <v>149</v>
      </c>
      <c r="E7" s="68"/>
      <c r="G7" s="86" t="s">
        <v>128</v>
      </c>
      <c r="H7" s="86"/>
      <c r="I7" s="86"/>
      <c r="J7" s="21">
        <f>(SUMIF($F$12:$U$12,"&lt;="&amp;$J$6,$F$17:$U$17)) / ($J$6)</f>
        <v>976.33333333333337</v>
      </c>
      <c r="K7" s="20" t="s">
        <v>107</v>
      </c>
      <c r="L7" s="43" t="str">
        <f>"Razonable para chile en torno a 1M y 1,5M por año."</f>
        <v>Razonable para chile en torno a 1M y 1,5M por año.</v>
      </c>
      <c r="M7" s="43"/>
      <c r="N7" s="43"/>
      <c r="O7" s="43"/>
      <c r="P7" s="43"/>
    </row>
    <row r="8" spans="2:21" x14ac:dyDescent="0.3">
      <c r="B8" s="68" t="s">
        <v>55</v>
      </c>
      <c r="C8" s="68"/>
      <c r="D8" s="68" t="s">
        <v>149</v>
      </c>
      <c r="E8" s="68"/>
      <c r="G8" s="86" t="s">
        <v>129</v>
      </c>
      <c r="H8" s="86"/>
      <c r="I8" s="86"/>
      <c r="J8" s="21">
        <f>(SUMIF($F$12:$U$12,"&lt;="&amp;$J$6,$F$18:$U$18)) / ($J$6)</f>
        <v>0</v>
      </c>
      <c r="K8" s="20" t="s">
        <v>107</v>
      </c>
      <c r="L8" s="43" t="str">
        <f t="shared" ref="L8:L9" si="0">"Razonable para chile en torno a 1M y 1,5M por año."</f>
        <v>Razonable para chile en torno a 1M y 1,5M por año.</v>
      </c>
      <c r="M8" s="43"/>
      <c r="N8" s="43"/>
      <c r="O8" s="43"/>
      <c r="P8" s="43"/>
    </row>
    <row r="9" spans="2:21" x14ac:dyDescent="0.3">
      <c r="B9" s="68" t="s">
        <v>56</v>
      </c>
      <c r="C9" s="68"/>
      <c r="D9" s="68" t="s">
        <v>149</v>
      </c>
      <c r="E9" s="68"/>
      <c r="G9" s="86" t="s">
        <v>130</v>
      </c>
      <c r="H9" s="86"/>
      <c r="I9" s="86"/>
      <c r="J9" s="21">
        <f>(SUMIF($F$12:$U$12,"&lt;="&amp;$J$6,$F$19:$U$19)) / ($J$6)</f>
        <v>15720.666666666666</v>
      </c>
      <c r="K9" s="20" t="s">
        <v>107</v>
      </c>
      <c r="L9" s="43" t="str">
        <f t="shared" si="0"/>
        <v>Razonable para chile en torno a 1M y 1,5M por año.</v>
      </c>
      <c r="M9" s="43"/>
      <c r="N9" s="43"/>
      <c r="O9" s="43"/>
      <c r="P9" s="43"/>
    </row>
    <row r="12" spans="2:21" x14ac:dyDescent="0.3">
      <c r="B12" s="83" t="s">
        <v>121</v>
      </c>
      <c r="C12" s="83"/>
      <c r="D12" s="83"/>
      <c r="E12" s="22" t="s">
        <v>48</v>
      </c>
      <c r="F12" s="24">
        <v>0</v>
      </c>
      <c r="G12" s="24">
        <v>1</v>
      </c>
      <c r="H12" s="24">
        <v>2</v>
      </c>
      <c r="I12" s="24">
        <v>3</v>
      </c>
      <c r="J12" s="24">
        <v>4</v>
      </c>
      <c r="K12" s="24">
        <v>5</v>
      </c>
      <c r="L12" s="24">
        <v>6</v>
      </c>
      <c r="M12" s="24">
        <v>7</v>
      </c>
      <c r="N12" s="24">
        <v>8</v>
      </c>
      <c r="O12" s="24">
        <v>9</v>
      </c>
      <c r="P12" s="24">
        <v>10</v>
      </c>
      <c r="Q12" s="24">
        <v>11</v>
      </c>
      <c r="R12" s="24">
        <v>12</v>
      </c>
      <c r="S12" s="24">
        <v>13</v>
      </c>
      <c r="T12" s="24">
        <v>14</v>
      </c>
      <c r="U12" s="24">
        <v>15</v>
      </c>
    </row>
    <row r="13" spans="2:21" x14ac:dyDescent="0.3">
      <c r="B13" s="84"/>
      <c r="C13" s="84"/>
      <c r="D13" s="84"/>
      <c r="E13" s="23" t="s">
        <v>49</v>
      </c>
      <c r="F13" s="25">
        <v>2025</v>
      </c>
      <c r="G13" s="25">
        <v>2026</v>
      </c>
      <c r="H13" s="25">
        <v>2027</v>
      </c>
      <c r="I13" s="25">
        <v>2028</v>
      </c>
      <c r="J13" s="25">
        <v>2029</v>
      </c>
      <c r="K13" s="25">
        <v>2030</v>
      </c>
      <c r="L13" s="25">
        <v>2031</v>
      </c>
      <c r="M13" s="25">
        <v>2032</v>
      </c>
      <c r="N13" s="25">
        <v>2033</v>
      </c>
      <c r="O13" s="25">
        <v>2034</v>
      </c>
      <c r="P13" s="25">
        <v>2035</v>
      </c>
      <c r="Q13" s="25">
        <v>2036</v>
      </c>
      <c r="R13" s="25">
        <v>2037</v>
      </c>
      <c r="S13" s="25">
        <v>2038</v>
      </c>
      <c r="T13" s="25">
        <v>2039</v>
      </c>
      <c r="U13" s="25">
        <v>2040</v>
      </c>
    </row>
    <row r="14" spans="2:21" x14ac:dyDescent="0.3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</row>
    <row r="15" spans="2:21" x14ac:dyDescent="0.3">
      <c r="B15" s="65" t="s">
        <v>122</v>
      </c>
      <c r="C15" s="69" t="s">
        <v>138</v>
      </c>
      <c r="D15" s="70"/>
      <c r="E15" s="70"/>
      <c r="F15" s="4">
        <f>CB_SMI_Mixto_MEDIA!B2/1000</f>
        <v>8711.6828114798882</v>
      </c>
      <c r="G15" s="4">
        <f>CB_SMI_Mixto_MEDIA!C2/1000</f>
        <v>8974.7756323865797</v>
      </c>
      <c r="H15" s="4">
        <f>CB_SMI_Mixto_MEDIA!D2/1000</f>
        <v>9245.8138564846558</v>
      </c>
      <c r="I15" s="4">
        <f>CB_SMI_Mixto_MEDIA!E2/1000</f>
        <v>9525.0374349504909</v>
      </c>
      <c r="J15" s="4">
        <f>CB_SMI_Mixto_MEDIA!F2/1000</f>
        <v>9812.6935654859972</v>
      </c>
      <c r="K15" s="4">
        <f>CB_SMI_Mixto_MEDIA!G2/1000</f>
        <v>10109.036911163668</v>
      </c>
      <c r="L15" s="4">
        <f>CB_SMI_Mixto_MEDIA!H2/1000</f>
        <v>10414.329825880819</v>
      </c>
      <c r="M15" s="4">
        <f>CB_SMI_Mixto_MEDIA!I2/1000</f>
        <v>10728.842586622421</v>
      </c>
      <c r="N15" s="4">
        <f>CB_SMI_Mixto_MEDIA!J2/1000</f>
        <v>11052.853632738421</v>
      </c>
      <c r="O15" s="4">
        <f>CB_SMI_Mixto_MEDIA!K2/1000</f>
        <v>11386.64981244712</v>
      </c>
      <c r="P15" s="4">
        <f>CB_SMI_Mixto_MEDIA!L2/1000</f>
        <v>11730.526636783021</v>
      </c>
      <c r="Q15" s="4">
        <f>CB_SMI_Mixto_MEDIA!M2/1000</f>
        <v>12084.78854121386</v>
      </c>
      <c r="R15" s="4">
        <f>CB_SMI_Mixto_MEDIA!N2/1000</f>
        <v>12449.749155158519</v>
      </c>
      <c r="S15" s="4">
        <f>CB_SMI_Mixto_MEDIA!O2/1000</f>
        <v>12825.731579644309</v>
      </c>
      <c r="T15" s="4">
        <f>CB_SMI_Mixto_MEDIA!P2/1000</f>
        <v>13213.068673349571</v>
      </c>
      <c r="U15" s="4">
        <f>CB_SMI_Mixto_MEDIA!Q2/1000</f>
        <v>13612.10334728473</v>
      </c>
    </row>
    <row r="16" spans="2:21" x14ac:dyDescent="0.3">
      <c r="B16" s="66"/>
      <c r="C16" s="71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</row>
    <row r="17" spans="2:26" x14ac:dyDescent="0.3">
      <c r="B17" s="66"/>
      <c r="C17" s="61" t="s">
        <v>115</v>
      </c>
      <c r="D17" s="62"/>
      <c r="E17" s="62"/>
      <c r="F17" s="12">
        <f>CB_SMI_Mixto_MEDIA!B3</f>
        <v>2896</v>
      </c>
      <c r="G17" s="12">
        <f>CB_SMI_Mixto_MEDIA!C3</f>
        <v>11</v>
      </c>
      <c r="H17" s="12">
        <f>CB_SMI_Mixto_MEDIA!D3</f>
        <v>11</v>
      </c>
      <c r="I17" s="12">
        <f>CB_SMI_Mixto_MEDIA!E3</f>
        <v>11</v>
      </c>
      <c r="J17" s="12">
        <f>CB_SMI_Mixto_MEDIA!F3</f>
        <v>11</v>
      </c>
      <c r="K17" s="12">
        <f>CB_SMI_Mixto_MEDIA!G3</f>
        <v>13</v>
      </c>
      <c r="L17" s="12">
        <f>CB_SMI_Mixto_MEDIA!H3</f>
        <v>13</v>
      </c>
      <c r="M17" s="12">
        <f>CB_SMI_Mixto_MEDIA!I3</f>
        <v>13</v>
      </c>
      <c r="N17" s="12">
        <f>CB_SMI_Mixto_MEDIA!J3</f>
        <v>13</v>
      </c>
      <c r="O17" s="12">
        <f>CB_SMI_Mixto_MEDIA!K3</f>
        <v>13</v>
      </c>
      <c r="P17" s="12">
        <f>CB_SMI_Mixto_MEDIA!L3</f>
        <v>13</v>
      </c>
      <c r="Q17" s="12">
        <f>CB_SMI_Mixto_MEDIA!M3</f>
        <v>13</v>
      </c>
      <c r="R17" s="12">
        <f>CB_SMI_Mixto_MEDIA!N3</f>
        <v>13</v>
      </c>
      <c r="S17" s="12">
        <f>CB_SMI_Mixto_MEDIA!O3</f>
        <v>13</v>
      </c>
      <c r="T17" s="12">
        <f>CB_SMI_Mixto_MEDIA!P3</f>
        <v>13</v>
      </c>
      <c r="U17" s="12">
        <f>CB_SMI_Mixto_MEDIA!Q3</f>
        <v>13</v>
      </c>
    </row>
    <row r="18" spans="2:26" x14ac:dyDescent="0.3">
      <c r="B18" s="66"/>
      <c r="C18" s="61" t="s">
        <v>116</v>
      </c>
      <c r="D18" s="62"/>
      <c r="E18" s="62"/>
      <c r="F18" s="12">
        <f>CB_SMI_Mixto_MEDIA!B4</f>
        <v>0</v>
      </c>
      <c r="G18" s="12">
        <f>CB_SMI_Mixto_MEDIA!C4</f>
        <v>0</v>
      </c>
      <c r="H18" s="12">
        <f>CB_SMI_Mixto_MEDIA!D4</f>
        <v>0</v>
      </c>
      <c r="I18" s="12">
        <f>CB_SMI_Mixto_MEDIA!E4</f>
        <v>0</v>
      </c>
      <c r="J18" s="12">
        <f>CB_SMI_Mixto_MEDIA!F4</f>
        <v>0</v>
      </c>
      <c r="K18" s="12">
        <f>CB_SMI_Mixto_MEDIA!G4</f>
        <v>0</v>
      </c>
      <c r="L18" s="12">
        <f>CB_SMI_Mixto_MEDIA!H4</f>
        <v>0</v>
      </c>
      <c r="M18" s="12">
        <f>CB_SMI_Mixto_MEDIA!I4</f>
        <v>0</v>
      </c>
      <c r="N18" s="12">
        <f>CB_SMI_Mixto_MEDIA!J4</f>
        <v>0</v>
      </c>
      <c r="O18" s="12">
        <f>CB_SMI_Mixto_MEDIA!K4</f>
        <v>0</v>
      </c>
      <c r="P18" s="12">
        <f>CB_SMI_Mixto_MEDIA!L4</f>
        <v>0</v>
      </c>
      <c r="Q18" s="12">
        <f>CB_SMI_Mixto_MEDIA!M4</f>
        <v>0</v>
      </c>
      <c r="R18" s="12">
        <f>CB_SMI_Mixto_MEDIA!N4</f>
        <v>0</v>
      </c>
      <c r="S18" s="12">
        <f>CB_SMI_Mixto_MEDIA!O4</f>
        <v>0</v>
      </c>
      <c r="T18" s="12">
        <f>CB_SMI_Mixto_MEDIA!P4</f>
        <v>0</v>
      </c>
      <c r="U18" s="12">
        <f>CB_SMI_Mixto_MEDIA!Q4</f>
        <v>0</v>
      </c>
    </row>
    <row r="19" spans="2:26" x14ac:dyDescent="0.3">
      <c r="B19" s="67"/>
      <c r="C19" s="61" t="s">
        <v>117</v>
      </c>
      <c r="D19" s="62"/>
      <c r="E19" s="62"/>
      <c r="F19" s="13">
        <f>CB_SMI_Mixto_MEDIA!B5</f>
        <v>46463</v>
      </c>
      <c r="G19" s="13">
        <f>CB_SMI_Mixto_MEDIA!C5</f>
        <v>232</v>
      </c>
      <c r="H19" s="13">
        <f>CB_SMI_Mixto_MEDIA!D5</f>
        <v>232</v>
      </c>
      <c r="I19" s="13">
        <f>CB_SMI_Mixto_MEDIA!E5</f>
        <v>235</v>
      </c>
      <c r="J19" s="13">
        <f>CB_SMI_Mixto_MEDIA!F5</f>
        <v>235</v>
      </c>
      <c r="K19" s="13">
        <f>CB_SMI_Mixto_MEDIA!G5</f>
        <v>237</v>
      </c>
      <c r="L19" s="13">
        <f>CB_SMI_Mixto_MEDIA!H5</f>
        <v>237</v>
      </c>
      <c r="M19" s="13">
        <f>CB_SMI_Mixto_MEDIA!I5</f>
        <v>237</v>
      </c>
      <c r="N19" s="13">
        <f>CB_SMI_Mixto_MEDIA!J5</f>
        <v>239</v>
      </c>
      <c r="O19" s="13">
        <f>CB_SMI_Mixto_MEDIA!K5</f>
        <v>239</v>
      </c>
      <c r="P19" s="13">
        <f>CB_SMI_Mixto_MEDIA!L5</f>
        <v>239</v>
      </c>
      <c r="Q19" s="13">
        <f>CB_SMI_Mixto_MEDIA!M5</f>
        <v>241</v>
      </c>
      <c r="R19" s="13">
        <f>CB_SMI_Mixto_MEDIA!N5</f>
        <v>241</v>
      </c>
      <c r="S19" s="13">
        <f>CB_SMI_Mixto_MEDIA!O5</f>
        <v>244</v>
      </c>
      <c r="T19" s="13">
        <f>CB_SMI_Mixto_MEDIA!P5</f>
        <v>247</v>
      </c>
      <c r="U19" s="13">
        <f>CB_SMI_Mixto_MEDIA!Q5</f>
        <v>250</v>
      </c>
    </row>
    <row r="20" spans="2:26" x14ac:dyDescent="0.3">
      <c r="B20" s="10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</row>
    <row r="21" spans="2:26" x14ac:dyDescent="0.3">
      <c r="B21" s="58" t="s">
        <v>105</v>
      </c>
      <c r="C21" s="56" t="s">
        <v>125</v>
      </c>
      <c r="D21" s="57"/>
      <c r="E21" s="57"/>
      <c r="F21" s="9">
        <v>0</v>
      </c>
      <c r="G21" s="11">
        <f>IF(G$12&lt;=$J$6,$J7,G17)</f>
        <v>976.33333333333337</v>
      </c>
      <c r="H21" s="11">
        <f t="shared" ref="H21:U23" si="1">IF(H$12&lt;=$J$6,$J7,H17)</f>
        <v>976.33333333333337</v>
      </c>
      <c r="I21" s="11">
        <f t="shared" si="1"/>
        <v>976.33333333333337</v>
      </c>
      <c r="J21" s="11">
        <f t="shared" si="1"/>
        <v>11</v>
      </c>
      <c r="K21" s="11">
        <f t="shared" si="1"/>
        <v>13</v>
      </c>
      <c r="L21" s="11">
        <f t="shared" si="1"/>
        <v>13</v>
      </c>
      <c r="M21" s="11">
        <f t="shared" si="1"/>
        <v>13</v>
      </c>
      <c r="N21" s="11">
        <f t="shared" si="1"/>
        <v>13</v>
      </c>
      <c r="O21" s="11">
        <f t="shared" si="1"/>
        <v>13</v>
      </c>
      <c r="P21" s="11">
        <f t="shared" si="1"/>
        <v>13</v>
      </c>
      <c r="Q21" s="11">
        <f t="shared" si="1"/>
        <v>13</v>
      </c>
      <c r="R21" s="11">
        <f t="shared" si="1"/>
        <v>13</v>
      </c>
      <c r="S21" s="11">
        <f t="shared" si="1"/>
        <v>13</v>
      </c>
      <c r="T21" s="11">
        <f t="shared" si="1"/>
        <v>13</v>
      </c>
      <c r="U21" s="11">
        <f t="shared" si="1"/>
        <v>13</v>
      </c>
    </row>
    <row r="22" spans="2:26" x14ac:dyDescent="0.3">
      <c r="B22" s="59"/>
      <c r="C22" s="56" t="s">
        <v>126</v>
      </c>
      <c r="D22" s="57"/>
      <c r="E22" s="57"/>
      <c r="F22" s="9">
        <v>0</v>
      </c>
      <c r="G22" s="11">
        <f>IF(G$12&lt;=$J$6,$J8,G18)</f>
        <v>0</v>
      </c>
      <c r="H22" s="11">
        <f t="shared" si="1"/>
        <v>0</v>
      </c>
      <c r="I22" s="11">
        <f t="shared" si="1"/>
        <v>0</v>
      </c>
      <c r="J22" s="11">
        <f t="shared" si="1"/>
        <v>0</v>
      </c>
      <c r="K22" s="11">
        <f t="shared" si="1"/>
        <v>0</v>
      </c>
      <c r="L22" s="11">
        <f t="shared" si="1"/>
        <v>0</v>
      </c>
      <c r="M22" s="11">
        <f t="shared" si="1"/>
        <v>0</v>
      </c>
      <c r="N22" s="11">
        <f>IF(N$12&lt;=$J$6,$J8,N18)</f>
        <v>0</v>
      </c>
      <c r="O22" s="11">
        <f t="shared" si="1"/>
        <v>0</v>
      </c>
      <c r="P22" s="11">
        <f t="shared" si="1"/>
        <v>0</v>
      </c>
      <c r="Q22" s="11">
        <f t="shared" si="1"/>
        <v>0</v>
      </c>
      <c r="R22" s="11">
        <f t="shared" si="1"/>
        <v>0</v>
      </c>
      <c r="S22" s="11">
        <f t="shared" si="1"/>
        <v>0</v>
      </c>
      <c r="T22" s="11">
        <f t="shared" si="1"/>
        <v>0</v>
      </c>
      <c r="U22" s="11">
        <f t="shared" si="1"/>
        <v>0</v>
      </c>
    </row>
    <row r="23" spans="2:26" x14ac:dyDescent="0.3">
      <c r="B23" s="59"/>
      <c r="C23" s="56" t="s">
        <v>127</v>
      </c>
      <c r="D23" s="57"/>
      <c r="E23" s="57"/>
      <c r="F23" s="9">
        <v>0</v>
      </c>
      <c r="G23" s="11">
        <f>IF(G$12&lt;=$J$6,$J9,G19)</f>
        <v>15720.666666666666</v>
      </c>
      <c r="H23" s="11">
        <f t="shared" si="1"/>
        <v>15720.666666666666</v>
      </c>
      <c r="I23" s="11">
        <f t="shared" si="1"/>
        <v>15720.666666666666</v>
      </c>
      <c r="J23" s="11">
        <f t="shared" si="1"/>
        <v>235</v>
      </c>
      <c r="K23" s="11">
        <f t="shared" si="1"/>
        <v>237</v>
      </c>
      <c r="L23" s="11">
        <f t="shared" si="1"/>
        <v>237</v>
      </c>
      <c r="M23" s="11">
        <f t="shared" si="1"/>
        <v>237</v>
      </c>
      <c r="N23" s="11">
        <f t="shared" si="1"/>
        <v>239</v>
      </c>
      <c r="O23" s="11">
        <f t="shared" si="1"/>
        <v>239</v>
      </c>
      <c r="P23" s="11">
        <f t="shared" si="1"/>
        <v>239</v>
      </c>
      <c r="Q23" s="11">
        <f t="shared" si="1"/>
        <v>241</v>
      </c>
      <c r="R23" s="11">
        <f t="shared" si="1"/>
        <v>241</v>
      </c>
      <c r="S23" s="11">
        <f t="shared" si="1"/>
        <v>244</v>
      </c>
      <c r="T23" s="11">
        <f t="shared" si="1"/>
        <v>247</v>
      </c>
      <c r="U23" s="11">
        <f t="shared" si="1"/>
        <v>250</v>
      </c>
    </row>
    <row r="24" spans="2:26" x14ac:dyDescent="0.3">
      <c r="B24" s="59"/>
      <c r="C24" s="71" t="s">
        <v>114</v>
      </c>
      <c r="D24" s="64"/>
      <c r="E24" s="64"/>
      <c r="F24" s="4">
        <f>SUM(F17:F19)</f>
        <v>49359</v>
      </c>
      <c r="G24" s="7">
        <f>SUM(F24,G17:G19)-SUM(G21:G23)</f>
        <v>32905</v>
      </c>
      <c r="H24" s="7">
        <f t="shared" ref="H24:U24" si="2">SUM(G24,H17:H19)-SUM(H21:H23)</f>
        <v>16451</v>
      </c>
      <c r="I24" s="7">
        <f t="shared" si="2"/>
        <v>0</v>
      </c>
      <c r="J24" s="7">
        <f t="shared" si="2"/>
        <v>0</v>
      </c>
      <c r="K24" s="7">
        <f t="shared" si="2"/>
        <v>0</v>
      </c>
      <c r="L24" s="7">
        <f t="shared" si="2"/>
        <v>0</v>
      </c>
      <c r="M24" s="7">
        <f t="shared" si="2"/>
        <v>0</v>
      </c>
      <c r="N24" s="7">
        <f t="shared" si="2"/>
        <v>0</v>
      </c>
      <c r="O24" s="7">
        <f t="shared" si="2"/>
        <v>0</v>
      </c>
      <c r="P24" s="7">
        <f>SUM(O24,P17:P19)-SUM(P21:P23)</f>
        <v>0</v>
      </c>
      <c r="Q24" s="7">
        <f>SUM(P24,Q17:Q19)-SUM(Q21:Q23)</f>
        <v>0</v>
      </c>
      <c r="R24" s="7">
        <f t="shared" si="2"/>
        <v>0</v>
      </c>
      <c r="S24" s="7">
        <f t="shared" si="2"/>
        <v>0</v>
      </c>
      <c r="T24" s="7">
        <f t="shared" si="2"/>
        <v>0</v>
      </c>
      <c r="U24" s="7">
        <f t="shared" si="2"/>
        <v>0</v>
      </c>
    </row>
    <row r="25" spans="2:26" x14ac:dyDescent="0.3">
      <c r="B25" s="60"/>
      <c r="C25" s="63" t="s">
        <v>108</v>
      </c>
      <c r="D25" s="63"/>
      <c r="E25" s="63"/>
      <c r="F25" s="17">
        <v>0</v>
      </c>
      <c r="G25" s="17">
        <f>IF(G$12&lt;=$J$6,SUM($F$21:G23)/SUM($F$17:G19),1)</f>
        <v>0.33661949114955042</v>
      </c>
      <c r="H25" s="17">
        <f>IF(H$12&lt;=$J$6,SUM($F$21:H23)/SUM($F$17:H19),1)</f>
        <v>0.66995686628548501</v>
      </c>
      <c r="I25" s="17">
        <f>IF(I$12&lt;=$J$6,SUM($F$21:I23)/SUM($F$17:I19),1)</f>
        <v>0.99999999999999989</v>
      </c>
      <c r="J25" s="17">
        <f>IF(J$12&lt;=$J$6,SUM($F$21:J23)/SUM($F$17:J19),1)</f>
        <v>1</v>
      </c>
      <c r="K25" s="17">
        <f>IF(K$12&lt;=$J$6,SUM($F$21:K23)/SUM($F$17:K19),1)</f>
        <v>1</v>
      </c>
      <c r="L25" s="17">
        <f>IF(L$12&lt;=$J$6,SUM($F$21:L23)/SUM($F$17:L19),1)</f>
        <v>1</v>
      </c>
      <c r="M25" s="17">
        <f>IF(M$12&lt;=$J$6,SUM($F$21:M23)/SUM($F$17:M19),1)</f>
        <v>1</v>
      </c>
      <c r="N25" s="17">
        <f>IF(N$12&lt;=$J$6,SUM($F$21:N23)/SUM($F$17:N19),1)</f>
        <v>1</v>
      </c>
      <c r="O25" s="17">
        <f>IF(O$12&lt;=$J$6,SUM($F$21:O23)/SUM($F$17:O19),1)</f>
        <v>1</v>
      </c>
      <c r="P25" s="17">
        <f>IF(P$12&lt;=$J$6,SUM($F$21:P23)/SUM($F$17:P19),1)</f>
        <v>1</v>
      </c>
      <c r="Q25" s="17">
        <f>IF(Q$12&lt;=$J$6,SUM($F$21:Q23)/SUM($F$17:Q19),1)</f>
        <v>1</v>
      </c>
      <c r="R25" s="17">
        <f>IF(R$12&lt;=$J$6,SUM($F$21:R23)/SUM($F$17:R19),1)</f>
        <v>1</v>
      </c>
      <c r="S25" s="17">
        <f>IF(S$12&lt;=$J$6,SUM($F$21:S23)/SUM($F$17:S19),1)</f>
        <v>1</v>
      </c>
      <c r="T25" s="17">
        <f>IF(T$12&lt;=$J$6,SUM($F$21:T23)/SUM($F$17:T19),1)</f>
        <v>1</v>
      </c>
      <c r="U25" s="17">
        <f>IF(U$12&lt;=$J$6,SUM($F$21:U23)/SUM($F$17:U19),1)</f>
        <v>1</v>
      </c>
    </row>
    <row r="26" spans="2:26" ht="28.2" customHeight="1" x14ac:dyDescent="0.3"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</row>
    <row r="27" spans="2:26" x14ac:dyDescent="0.3">
      <c r="B27" s="46" t="s">
        <v>124</v>
      </c>
      <c r="C27" s="47"/>
      <c r="D27" s="48"/>
      <c r="E27" s="22" t="s">
        <v>48</v>
      </c>
      <c r="F27" s="24">
        <v>0</v>
      </c>
      <c r="G27" s="24">
        <v>1</v>
      </c>
      <c r="H27" s="24">
        <v>2</v>
      </c>
      <c r="I27" s="24">
        <v>3</v>
      </c>
      <c r="J27" s="24">
        <v>4</v>
      </c>
      <c r="K27" s="24">
        <v>5</v>
      </c>
      <c r="L27" s="24">
        <v>6</v>
      </c>
      <c r="M27" s="24">
        <v>7</v>
      </c>
      <c r="N27" s="24">
        <v>8</v>
      </c>
      <c r="O27" s="24">
        <v>9</v>
      </c>
      <c r="P27" s="24">
        <v>10</v>
      </c>
      <c r="Q27" s="24">
        <v>11</v>
      </c>
      <c r="R27" s="24">
        <v>12</v>
      </c>
      <c r="S27" s="24">
        <v>13</v>
      </c>
      <c r="T27" s="24">
        <v>14</v>
      </c>
      <c r="U27" s="24">
        <v>15</v>
      </c>
    </row>
    <row r="28" spans="2:26" x14ac:dyDescent="0.3">
      <c r="B28" s="49"/>
      <c r="C28" s="50"/>
      <c r="D28" s="51"/>
      <c r="E28" s="23" t="s">
        <v>49</v>
      </c>
      <c r="F28" s="25">
        <v>2025</v>
      </c>
      <c r="G28" s="25">
        <v>2026</v>
      </c>
      <c r="H28" s="25">
        <v>2027</v>
      </c>
      <c r="I28" s="25">
        <v>2028</v>
      </c>
      <c r="J28" s="25">
        <v>2029</v>
      </c>
      <c r="K28" s="25">
        <v>2030</v>
      </c>
      <c r="L28" s="25">
        <v>2031</v>
      </c>
      <c r="M28" s="25">
        <v>2032</v>
      </c>
      <c r="N28" s="25">
        <v>2033</v>
      </c>
      <c r="O28" s="25">
        <v>2034</v>
      </c>
      <c r="P28" s="25">
        <v>2035</v>
      </c>
      <c r="Q28" s="25">
        <v>2036</v>
      </c>
      <c r="R28" s="25">
        <v>2037</v>
      </c>
      <c r="S28" s="25">
        <v>2038</v>
      </c>
      <c r="T28" s="25">
        <v>2039</v>
      </c>
      <c r="U28" s="25">
        <v>2040</v>
      </c>
      <c r="W28" s="40" t="s">
        <v>179</v>
      </c>
      <c r="X28" s="40" t="s">
        <v>180</v>
      </c>
      <c r="Y28" s="1" t="s">
        <v>181</v>
      </c>
      <c r="Z28" s="41" t="s">
        <v>182</v>
      </c>
    </row>
    <row r="29" spans="2:26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2:26" x14ac:dyDescent="0.3">
      <c r="B30" s="52" t="s">
        <v>118</v>
      </c>
      <c r="C30" s="44" t="s">
        <v>57</v>
      </c>
      <c r="D30" s="45"/>
      <c r="E30" s="45"/>
      <c r="F30" s="8">
        <v>0</v>
      </c>
      <c r="G30" s="8">
        <f>((-CB_SMI_Mixto_MEDIA!C7)*G21)/1000000</f>
        <v>-0.13547601333333334</v>
      </c>
      <c r="H30" s="8">
        <f>((-CB_SMI_Mixto_MEDIA!D7)*H21)/1000000</f>
        <v>-0.13547601333333334</v>
      </c>
      <c r="I30" s="8">
        <f>((-CB_SMI_Mixto_MEDIA!E7)*I21)/1000000</f>
        <v>-0.13547601333333334</v>
      </c>
      <c r="J30" s="8">
        <f>((-CB_SMI_Mixto_MEDIA!F7)*J21)/1000000</f>
        <v>-1.5263599999999998E-3</v>
      </c>
      <c r="K30" s="8">
        <f>((-CB_SMI_Mixto_MEDIA!G7)*K21)/1000000</f>
        <v>-1.8038799999999999E-3</v>
      </c>
      <c r="L30" s="8">
        <f>((-CB_SMI_Mixto_MEDIA!H7)*L21)/1000000</f>
        <v>-1.8038799999999999E-3</v>
      </c>
      <c r="M30" s="8">
        <f>((-CB_SMI_Mixto_MEDIA!I7)*M21)/1000000</f>
        <v>-1.8038799999999999E-3</v>
      </c>
      <c r="N30" s="8">
        <f>((-CB_SMI_Mixto_MEDIA!J7)*N21)/1000000</f>
        <v>-1.8038799999999999E-3</v>
      </c>
      <c r="O30" s="8">
        <f>((-CB_SMI_Mixto_MEDIA!K7)*O21)/1000000</f>
        <v>-1.8038799999999999E-3</v>
      </c>
      <c r="P30" s="8">
        <f>((-CB_SMI_Mixto_MEDIA!L7)*P21)/1000000</f>
        <v>-1.8038799999999999E-3</v>
      </c>
      <c r="Q30" s="8">
        <f>((-CB_SMI_Mixto_MEDIA!M7)*Q21)/1000000</f>
        <v>-1.8038799999999999E-3</v>
      </c>
      <c r="R30" s="8">
        <f>((-CB_SMI_Mixto_MEDIA!N7)*R21)/1000000</f>
        <v>-1.8038799999999999E-3</v>
      </c>
      <c r="S30" s="8">
        <f>((-CB_SMI_Mixto_MEDIA!O7)*S21)/1000000</f>
        <v>-1.8038799999999999E-3</v>
      </c>
      <c r="T30" s="8">
        <f>((-CB_SMI_Mixto_MEDIA!P7)*T21)/1000000</f>
        <v>-1.8038799999999999E-3</v>
      </c>
      <c r="U30" s="8">
        <f>((-CB_SMI_Mixto_MEDIA!Q7)*U21)/1000000</f>
        <v>-1.8038799999999999E-3</v>
      </c>
      <c r="W30" s="42">
        <f t="shared" ref="W30:W36" si="3">NPV($D$67,G30:U30)+F30</f>
        <v>-0.37460711958061338</v>
      </c>
      <c r="X30" s="42">
        <f t="shared" ref="X30:X36" si="4">PMT($D$67,15,-W30)</f>
        <v>-3.8570584429358297E-2</v>
      </c>
      <c r="Y30" s="42">
        <f>W30*1000000/7744865</f>
        <v>-4.8368450525685523E-2</v>
      </c>
      <c r="Z30" s="30">
        <f t="shared" ref="Z30:Z36" si="5">W30/$W$36</f>
        <v>1.143432221107534E-2</v>
      </c>
    </row>
    <row r="31" spans="2:26" x14ac:dyDescent="0.3">
      <c r="B31" s="53"/>
      <c r="C31" s="44" t="s">
        <v>58</v>
      </c>
      <c r="D31" s="45"/>
      <c r="E31" s="45"/>
      <c r="F31" s="8">
        <v>0</v>
      </c>
      <c r="G31" s="8">
        <f>((-CB_SMI_Mixto_MEDIA!C8)*G22)/1000000</f>
        <v>0</v>
      </c>
      <c r="H31" s="8">
        <f>((-CB_SMI_Mixto_MEDIA!D8)*H22)/1000000</f>
        <v>0</v>
      </c>
      <c r="I31" s="8">
        <f>((-CB_SMI_Mixto_MEDIA!E8)*I22)/1000000</f>
        <v>0</v>
      </c>
      <c r="J31" s="8">
        <f>((-CB_SMI_Mixto_MEDIA!F8)*J22)/1000000</f>
        <v>0</v>
      </c>
      <c r="K31" s="8">
        <f>((-CB_SMI_Mixto_MEDIA!G8)*K22)/1000000</f>
        <v>0</v>
      </c>
      <c r="L31" s="8">
        <f>((-CB_SMI_Mixto_MEDIA!H8)*L22)/1000000</f>
        <v>0</v>
      </c>
      <c r="M31" s="8">
        <f>((-CB_SMI_Mixto_MEDIA!I8)*M22)/1000000</f>
        <v>0</v>
      </c>
      <c r="N31" s="8">
        <f>((-CB_SMI_Mixto_MEDIA!J8)*N22)/1000000</f>
        <v>0</v>
      </c>
      <c r="O31" s="8">
        <f>((-CB_SMI_Mixto_MEDIA!K8)*O22)/1000000</f>
        <v>0</v>
      </c>
      <c r="P31" s="8">
        <f>((-CB_SMI_Mixto_MEDIA!L8)*P22)/1000000</f>
        <v>0</v>
      </c>
      <c r="Q31" s="8">
        <f>((-CB_SMI_Mixto_MEDIA!M8)*Q22)/1000000</f>
        <v>0</v>
      </c>
      <c r="R31" s="8">
        <f>((-CB_SMI_Mixto_MEDIA!N8)*R22)/1000000</f>
        <v>0</v>
      </c>
      <c r="S31" s="8">
        <f>((-CB_SMI_Mixto_MEDIA!O8)*S22)/1000000</f>
        <v>0</v>
      </c>
      <c r="T31" s="8">
        <f>((-CB_SMI_Mixto_MEDIA!P8)*T22)/1000000</f>
        <v>0</v>
      </c>
      <c r="U31" s="8">
        <f>((-CB_SMI_Mixto_MEDIA!Q8)*U22)/1000000</f>
        <v>0</v>
      </c>
      <c r="W31" s="42">
        <f t="shared" si="3"/>
        <v>0</v>
      </c>
      <c r="X31" s="42">
        <f t="shared" si="4"/>
        <v>0</v>
      </c>
      <c r="Y31" s="42">
        <f t="shared" ref="Y31:Y56" si="6">W31*1000000/7744865</f>
        <v>0</v>
      </c>
      <c r="Z31" s="30">
        <f t="shared" si="5"/>
        <v>0</v>
      </c>
    </row>
    <row r="32" spans="2:26" x14ac:dyDescent="0.3">
      <c r="B32" s="53"/>
      <c r="C32" s="44" t="s">
        <v>59</v>
      </c>
      <c r="D32" s="45"/>
      <c r="E32" s="45"/>
      <c r="F32" s="8">
        <v>0</v>
      </c>
      <c r="G32" s="8">
        <f>((-CB_SMI_Mixto_MEDIA!C9)*G23)/1000000</f>
        <v>-11.281024634666668</v>
      </c>
      <c r="H32" s="8">
        <f>((-CB_SMI_Mixto_MEDIA!D9)*H23)/1000000</f>
        <v>-11.281024634666668</v>
      </c>
      <c r="I32" s="8">
        <f>((-CB_SMI_Mixto_MEDIA!E9)*I23)/1000000</f>
        <v>-11.281024634666666</v>
      </c>
      <c r="J32" s="8">
        <f>((-CB_SMI_Mixto_MEDIA!F9)*J23)/1000000</f>
        <v>-0.16863412</v>
      </c>
      <c r="K32" s="8">
        <f>((-CB_SMI_Mixto_MEDIA!G9)*K23)/1000000</f>
        <v>-0.170069304</v>
      </c>
      <c r="L32" s="8">
        <f>((-CB_SMI_Mixto_MEDIA!H9)*L23)/1000000</f>
        <v>-0.170069304</v>
      </c>
      <c r="M32" s="8">
        <f>((-CB_SMI_Mixto_MEDIA!I9)*M23)/1000000</f>
        <v>-0.170069304</v>
      </c>
      <c r="N32" s="8">
        <f>((-CB_SMI_Mixto_MEDIA!J9)*N23)/1000000</f>
        <v>-0.17150448800000001</v>
      </c>
      <c r="O32" s="8">
        <f>((-CB_SMI_Mixto_MEDIA!K9)*O23)/1000000</f>
        <v>-0.17150448800000001</v>
      </c>
      <c r="P32" s="8">
        <f>((-CB_SMI_Mixto_MEDIA!L9)*P23)/1000000</f>
        <v>-0.17150448800000001</v>
      </c>
      <c r="Q32" s="8">
        <f>((-CB_SMI_Mixto_MEDIA!M9)*Q23)/1000000</f>
        <v>-0.17293967200000002</v>
      </c>
      <c r="R32" s="8">
        <f>((-CB_SMI_Mixto_MEDIA!N9)*R23)/1000000</f>
        <v>-0.17293967200000002</v>
      </c>
      <c r="S32" s="8">
        <f>((-CB_SMI_Mixto_MEDIA!O9)*S23)/1000000</f>
        <v>-0.17509244800000004</v>
      </c>
      <c r="T32" s="8">
        <f>((-CB_SMI_Mixto_MEDIA!P9)*T23)/1000000</f>
        <v>-0.17724522399999998</v>
      </c>
      <c r="U32" s="8">
        <f>((-CB_SMI_Mixto_MEDIA!Q9)*U23)/1000000</f>
        <v>-0.179398</v>
      </c>
      <c r="W32" s="42">
        <f t="shared" si="3"/>
        <v>-31.365246389099795</v>
      </c>
      <c r="X32" s="42">
        <f t="shared" si="4"/>
        <v>-3.2294524603611068</v>
      </c>
      <c r="Y32" s="42">
        <f t="shared" si="6"/>
        <v>-4.0498118933125102</v>
      </c>
      <c r="Z32" s="30">
        <f t="shared" si="5"/>
        <v>0.9573772485804477</v>
      </c>
    </row>
    <row r="33" spans="2:26" x14ac:dyDescent="0.3">
      <c r="B33" s="53"/>
      <c r="C33" s="44" t="s">
        <v>60</v>
      </c>
      <c r="D33" s="45"/>
      <c r="E33" s="45"/>
      <c r="F33" s="8">
        <f>((-CB_SMI_Mixto_MEDIA!B10)*CB_SMI_Mixto_MEDIA!B6)/1000000</f>
        <v>0</v>
      </c>
      <c r="G33" s="8">
        <f>((-CB_SMI_Mixto_MEDIA!C10)*CB_SMI_Mixto_MEDIA!C6)/1000000</f>
        <v>0</v>
      </c>
      <c r="H33" s="8">
        <f>((-CB_SMI_Mixto_MEDIA!D10)*CB_SMI_Mixto_MEDIA!D6)/1000000</f>
        <v>0</v>
      </c>
      <c r="I33" s="8">
        <f>((-CB_SMI_Mixto_MEDIA!E10)*CB_SMI_Mixto_MEDIA!E6)/1000000</f>
        <v>0</v>
      </c>
      <c r="J33" s="8">
        <f>((-CB_SMI_Mixto_MEDIA!F10)*CB_SMI_Mixto_MEDIA!F6)/1000000</f>
        <v>0</v>
      </c>
      <c r="K33" s="8">
        <f>((-CB_SMI_Mixto_MEDIA!G10)*CB_SMI_Mixto_MEDIA!G6)/1000000</f>
        <v>0</v>
      </c>
      <c r="L33" s="8">
        <f>((-CB_SMI_Mixto_MEDIA!H10)*CB_SMI_Mixto_MEDIA!H6)/1000000</f>
        <v>0</v>
      </c>
      <c r="M33" s="8">
        <f>((-CB_SMI_Mixto_MEDIA!I10)*CB_SMI_Mixto_MEDIA!I6)/1000000</f>
        <v>0</v>
      </c>
      <c r="N33" s="8">
        <f>((-CB_SMI_Mixto_MEDIA!J10)*CB_SMI_Mixto_MEDIA!J6)/1000000</f>
        <v>0</v>
      </c>
      <c r="O33" s="8">
        <f>((-CB_SMI_Mixto_MEDIA!K10)*CB_SMI_Mixto_MEDIA!K6)/1000000</f>
        <v>0</v>
      </c>
      <c r="P33" s="8">
        <f>((-CB_SMI_Mixto_MEDIA!L10)*CB_SMI_Mixto_MEDIA!L6)/1000000</f>
        <v>0</v>
      </c>
      <c r="Q33" s="8">
        <f>((-CB_SMI_Mixto_MEDIA!M10)*CB_SMI_Mixto_MEDIA!M6)/1000000</f>
        <v>0</v>
      </c>
      <c r="R33" s="8">
        <f>((-CB_SMI_Mixto_MEDIA!N10)*CB_SMI_Mixto_MEDIA!N6)/1000000</f>
        <v>0</v>
      </c>
      <c r="S33" s="8">
        <f>((-CB_SMI_Mixto_MEDIA!O10)*CB_SMI_Mixto_MEDIA!O6)/1000000</f>
        <v>0</v>
      </c>
      <c r="T33" s="8">
        <f>((-CB_SMI_Mixto_MEDIA!P10)*CB_SMI_Mixto_MEDIA!P6)/1000000</f>
        <v>0</v>
      </c>
      <c r="U33" s="8">
        <f>((-CB_SMI_Mixto_MEDIA!Q10)*CB_SMI_Mixto_MEDIA!Q6)/1000000</f>
        <v>0</v>
      </c>
      <c r="W33" s="42">
        <f t="shared" si="3"/>
        <v>0</v>
      </c>
      <c r="X33" s="42">
        <f t="shared" si="4"/>
        <v>0</v>
      </c>
      <c r="Y33" s="42">
        <f t="shared" si="6"/>
        <v>0</v>
      </c>
      <c r="Z33" s="30">
        <f t="shared" si="5"/>
        <v>0</v>
      </c>
    </row>
    <row r="34" spans="2:26" x14ac:dyDescent="0.3">
      <c r="B34" s="53"/>
      <c r="C34" s="44" t="s">
        <v>145</v>
      </c>
      <c r="D34" s="45"/>
      <c r="E34" s="45"/>
      <c r="F34" s="8">
        <f>(-CB_SMI_Mixto_MEDIA!B11)/1000000</f>
        <v>-0.90578700899999998</v>
      </c>
      <c r="G34" s="8">
        <f>(-CB_SMI_Mixto_MEDIA!C11)/1000000</f>
        <v>-4.4592929999999996E-3</v>
      </c>
      <c r="H34" s="8">
        <f>(-CB_SMI_Mixto_MEDIA!D11)/1000000</f>
        <v>-4.4592929999999996E-3</v>
      </c>
      <c r="I34" s="8">
        <f>(-CB_SMI_Mixto_MEDIA!E11)/1000000</f>
        <v>-4.5143459999999998E-3</v>
      </c>
      <c r="J34" s="8">
        <f>(-CB_SMI_Mixto_MEDIA!F11)/1000000</f>
        <v>-4.5143459999999998E-3</v>
      </c>
      <c r="K34" s="8">
        <f>(-CB_SMI_Mixto_MEDIA!G11)/1000000</f>
        <v>-4.5877499999999998E-3</v>
      </c>
      <c r="L34" s="8">
        <f>(-CB_SMI_Mixto_MEDIA!H11)/1000000</f>
        <v>-4.5877499999999998E-3</v>
      </c>
      <c r="M34" s="8">
        <f>(-CB_SMI_Mixto_MEDIA!I11)/1000000</f>
        <v>-4.5877499999999998E-3</v>
      </c>
      <c r="N34" s="8">
        <f>(-CB_SMI_Mixto_MEDIA!J11)/1000000</f>
        <v>-4.6244519999999994E-3</v>
      </c>
      <c r="O34" s="8">
        <f>(-CB_SMI_Mixto_MEDIA!K11)/1000000</f>
        <v>-4.6244519999999994E-3</v>
      </c>
      <c r="P34" s="8">
        <f>(-CB_SMI_Mixto_MEDIA!L11)/1000000</f>
        <v>-4.6244519999999994E-3</v>
      </c>
      <c r="Q34" s="8">
        <f>(-CB_SMI_Mixto_MEDIA!M11)/1000000</f>
        <v>-4.6611540000000007E-3</v>
      </c>
      <c r="R34" s="8">
        <f>(-CB_SMI_Mixto_MEDIA!N11)/1000000</f>
        <v>-4.6611540000000007E-3</v>
      </c>
      <c r="S34" s="8">
        <f>(-CB_SMI_Mixto_MEDIA!O11)/1000000</f>
        <v>-4.716207E-3</v>
      </c>
      <c r="T34" s="8">
        <f>(-CB_SMI_Mixto_MEDIA!P11)/1000000</f>
        <v>-4.7712599999999994E-3</v>
      </c>
      <c r="U34" s="8">
        <f>(-CB_SMI_Mixto_MEDIA!Q11)/1000000</f>
        <v>-4.8263130000000005E-3</v>
      </c>
      <c r="W34" s="42">
        <f t="shared" si="3"/>
        <v>-0.95037042242562852</v>
      </c>
      <c r="X34" s="42">
        <f t="shared" si="4"/>
        <v>-9.7852765474320827E-2</v>
      </c>
      <c r="Y34" s="42">
        <f t="shared" si="6"/>
        <v>-0.12270974670644724</v>
      </c>
      <c r="Z34" s="30">
        <f t="shared" si="5"/>
        <v>2.9008636146734882E-2</v>
      </c>
    </row>
    <row r="35" spans="2:26" x14ac:dyDescent="0.3">
      <c r="B35" s="53"/>
      <c r="C35" s="44" t="s">
        <v>143</v>
      </c>
      <c r="D35" s="45"/>
      <c r="E35" s="45"/>
      <c r="F35" s="8">
        <f>(-CB_SMI_Mixto_MEDIA!B12)/1000000</f>
        <v>-6.806346315789473E-2</v>
      </c>
      <c r="G35" s="8">
        <f>(-CB_SMI_Mixto_MEDIA!C12)/1000000</f>
        <v>-3.3508421052631581E-4</v>
      </c>
      <c r="H35" s="8">
        <f>(-CB_SMI_Mixto_MEDIA!D12)/1000000</f>
        <v>-3.3508421052631581E-4</v>
      </c>
      <c r="I35" s="8">
        <f>(-CB_SMI_Mixto_MEDIA!E12)/1000000</f>
        <v>-3.392210526315789E-4</v>
      </c>
      <c r="J35" s="8">
        <f>(-CB_SMI_Mixto_MEDIA!F12)/1000000</f>
        <v>-3.392210526315789E-4</v>
      </c>
      <c r="K35" s="8">
        <f>(-CB_SMI_Mixto_MEDIA!G12)/1000000</f>
        <v>-3.4473684210526313E-4</v>
      </c>
      <c r="L35" s="8">
        <f>(-CB_SMI_Mixto_MEDIA!H12)/1000000</f>
        <v>-3.4473684210526313E-4</v>
      </c>
      <c r="M35" s="8">
        <f>(-CB_SMI_Mixto_MEDIA!I12)/1000000</f>
        <v>-3.4473684210526313E-4</v>
      </c>
      <c r="N35" s="8">
        <f>(-CB_SMI_Mixto_MEDIA!J12)/1000000</f>
        <v>-3.4749473684210524E-4</v>
      </c>
      <c r="O35" s="8">
        <f>(-CB_SMI_Mixto_MEDIA!K12)/1000000</f>
        <v>-3.4749473684210524E-4</v>
      </c>
      <c r="P35" s="8">
        <f>(-CB_SMI_Mixto_MEDIA!L12)/1000000</f>
        <v>-3.4749473684210524E-4</v>
      </c>
      <c r="Q35" s="8">
        <f>(-CB_SMI_Mixto_MEDIA!M12)/1000000</f>
        <v>-3.502526315789473E-4</v>
      </c>
      <c r="R35" s="8">
        <f>(-CB_SMI_Mixto_MEDIA!N12)/1000000</f>
        <v>-3.502526315789473E-4</v>
      </c>
      <c r="S35" s="8">
        <f>(-CB_SMI_Mixto_MEDIA!O12)/1000000</f>
        <v>-3.5438947368421049E-4</v>
      </c>
      <c r="T35" s="8">
        <f>(-CB_SMI_Mixto_MEDIA!P12)/1000000</f>
        <v>-3.5852631578947358E-4</v>
      </c>
      <c r="U35" s="8">
        <f>(-CB_SMI_Mixto_MEDIA!Q12)/1000000</f>
        <v>-3.6266315789473694E-4</v>
      </c>
      <c r="W35" s="42">
        <f t="shared" si="3"/>
        <v>-7.1413590160156096E-2</v>
      </c>
      <c r="X35" s="42">
        <f t="shared" si="4"/>
        <v>-7.3529406268615944E-3</v>
      </c>
      <c r="Y35" s="42">
        <f t="shared" si="6"/>
        <v>-9.2207662961402287E-3</v>
      </c>
      <c r="Z35" s="30">
        <f t="shared" si="5"/>
        <v>2.1797930617418063E-3</v>
      </c>
    </row>
    <row r="36" spans="2:26" x14ac:dyDescent="0.3">
      <c r="B36" s="54"/>
      <c r="C36" s="55" t="s">
        <v>123</v>
      </c>
      <c r="D36" s="55"/>
      <c r="E36" s="55"/>
      <c r="F36" s="15">
        <f>SUM(F30:F35)</f>
        <v>-0.97385047215789466</v>
      </c>
      <c r="G36" s="15">
        <f t="shared" ref="G36:U36" si="7">SUM(G30:G35)</f>
        <v>-11.421295025210528</v>
      </c>
      <c r="H36" s="15">
        <f t="shared" si="7"/>
        <v>-11.421295025210528</v>
      </c>
      <c r="I36" s="15">
        <f t="shared" si="7"/>
        <v>-11.421354215052631</v>
      </c>
      <c r="J36" s="15">
        <f t="shared" si="7"/>
        <v>-0.17501404705263157</v>
      </c>
      <c r="K36" s="15">
        <f t="shared" si="7"/>
        <v>-0.17680567084210527</v>
      </c>
      <c r="L36" s="15">
        <f t="shared" si="7"/>
        <v>-0.17680567084210527</v>
      </c>
      <c r="M36" s="15">
        <f t="shared" si="7"/>
        <v>-0.17680567084210527</v>
      </c>
      <c r="N36" s="15">
        <f t="shared" si="7"/>
        <v>-0.17828031473684214</v>
      </c>
      <c r="O36" s="15">
        <f t="shared" si="7"/>
        <v>-0.17828031473684214</v>
      </c>
      <c r="P36" s="15">
        <f t="shared" si="7"/>
        <v>-0.17828031473684214</v>
      </c>
      <c r="Q36" s="15">
        <f t="shared" si="7"/>
        <v>-0.17975495863157898</v>
      </c>
      <c r="R36" s="15">
        <f t="shared" si="7"/>
        <v>-0.17975495863157898</v>
      </c>
      <c r="S36" s="15">
        <f t="shared" si="7"/>
        <v>-0.18196692447368426</v>
      </c>
      <c r="T36" s="15">
        <f t="shared" si="7"/>
        <v>-0.18417889031578946</v>
      </c>
      <c r="U36" s="15">
        <f t="shared" si="7"/>
        <v>-0.18639085615789475</v>
      </c>
      <c r="W36" s="42">
        <f t="shared" si="3"/>
        <v>-32.761637521266202</v>
      </c>
      <c r="X36" s="42">
        <f t="shared" si="4"/>
        <v>-3.3732287508916481</v>
      </c>
      <c r="Y36" s="42">
        <f t="shared" si="6"/>
        <v>-4.2301108568407848</v>
      </c>
      <c r="Z36" s="30">
        <f t="shared" si="5"/>
        <v>1</v>
      </c>
    </row>
    <row r="37" spans="2:26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W37" s="42"/>
      <c r="X37" s="42"/>
      <c r="Y37" s="42"/>
    </row>
    <row r="38" spans="2:26" x14ac:dyDescent="0.3">
      <c r="B38" s="52" t="s">
        <v>119</v>
      </c>
      <c r="C38" s="44" t="s">
        <v>100</v>
      </c>
      <c r="D38" s="45"/>
      <c r="E38" s="45"/>
      <c r="F38" s="8">
        <v>0</v>
      </c>
      <c r="G38" s="8">
        <f>(-CB_SMI_Mixto_MEDIA!C13/1000000)*G$25</f>
        <v>0</v>
      </c>
      <c r="H38" s="8">
        <f>(-CB_SMI_Mixto_MEDIA!D13/1000000)*H$25</f>
        <v>0</v>
      </c>
      <c r="I38" s="8">
        <f>(-CB_SMI_Mixto_MEDIA!E13/1000000)*I$25</f>
        <v>0</v>
      </c>
      <c r="J38" s="8">
        <f>(-CB_SMI_Mixto_MEDIA!F13/1000000)*J$25</f>
        <v>0</v>
      </c>
      <c r="K38" s="8">
        <f>(-CB_SMI_Mixto_MEDIA!G13/1000000)*K$25</f>
        <v>0</v>
      </c>
      <c r="L38" s="8">
        <f>(-CB_SMI_Mixto_MEDIA!H13/1000000)*L$25</f>
        <v>0</v>
      </c>
      <c r="M38" s="8">
        <f>(-CB_SMI_Mixto_MEDIA!I13/1000000)*M$25</f>
        <v>0</v>
      </c>
      <c r="N38" s="8">
        <f>(-CB_SMI_Mixto_MEDIA!J13/1000000)*N$25</f>
        <v>0</v>
      </c>
      <c r="O38" s="8">
        <f>(-CB_SMI_Mixto_MEDIA!K13/1000000)*O$25</f>
        <v>0</v>
      </c>
      <c r="P38" s="8">
        <f>(-CB_SMI_Mixto_MEDIA!L13/1000000)*P$25</f>
        <v>0</v>
      </c>
      <c r="Q38" s="8">
        <f>(-CB_SMI_Mixto_MEDIA!M13/1000000)*Q$25</f>
        <v>0</v>
      </c>
      <c r="R38" s="8">
        <f>(-CB_SMI_Mixto_MEDIA!N13/1000000)*R$25</f>
        <v>0</v>
      </c>
      <c r="S38" s="8">
        <f>(-CB_SMI_Mixto_MEDIA!O13/1000000)*S$25</f>
        <v>0</v>
      </c>
      <c r="T38" s="8">
        <f>(-CB_SMI_Mixto_MEDIA!P13/1000000)*T$25</f>
        <v>0</v>
      </c>
      <c r="U38" s="8">
        <f>(-CB_SMI_Mixto_MEDIA!Q13/1000000)*U$25</f>
        <v>0</v>
      </c>
      <c r="W38" s="42">
        <f t="shared" ref="W38:W43" si="8">NPV($D$67,G38:U38)+F38</f>
        <v>0</v>
      </c>
      <c r="X38" s="42">
        <f t="shared" ref="X38:X43" si="9">PMT($D$67,15,-W38)</f>
        <v>0</v>
      </c>
      <c r="Y38" s="42">
        <f t="shared" si="6"/>
        <v>0</v>
      </c>
      <c r="Z38" s="30">
        <f t="shared" ref="Z38:Z43" si="10">W38/$W$43</f>
        <v>0</v>
      </c>
    </row>
    <row r="39" spans="2:26" x14ac:dyDescent="0.3">
      <c r="B39" s="53"/>
      <c r="C39" s="44" t="s">
        <v>101</v>
      </c>
      <c r="D39" s="45"/>
      <c r="E39" s="45"/>
      <c r="F39" s="8">
        <v>0</v>
      </c>
      <c r="G39" s="8">
        <f>(-CB_SMI_Mixto_MEDIA!C14/1000000)*G$25</f>
        <v>-0.27932159898865688</v>
      </c>
      <c r="H39" s="8">
        <f>(-CB_SMI_Mixto_MEDIA!D14/1000000)*H$25</f>
        <v>-0.55591974934438193</v>
      </c>
      <c r="I39" s="8">
        <f>(-CB_SMI_Mixto_MEDIA!E14/1000000)*I$25</f>
        <v>-0.829784389593062</v>
      </c>
      <c r="J39" s="8">
        <f>(-CB_SMI_Mixto_MEDIA!F14/1000000)*J$25</f>
        <v>-0.82978438959306211</v>
      </c>
      <c r="K39" s="8">
        <f>(-CB_SMI_Mixto_MEDIA!G14/1000000)*K$25</f>
        <v>-0.82978438959306211</v>
      </c>
      <c r="L39" s="8">
        <f>(-CB_SMI_Mixto_MEDIA!H14/1000000)*L$25</f>
        <v>-0.82978438959306211</v>
      </c>
      <c r="M39" s="8">
        <f>(-CB_SMI_Mixto_MEDIA!I14/1000000)*M$25</f>
        <v>-0.82978438959306211</v>
      </c>
      <c r="N39" s="8">
        <f>(-CB_SMI_Mixto_MEDIA!J14/1000000)*N$25</f>
        <v>-0.82978438959306211</v>
      </c>
      <c r="O39" s="8">
        <f>(-CB_SMI_Mixto_MEDIA!K14/1000000)*O$25</f>
        <v>-0.82978438959306211</v>
      </c>
      <c r="P39" s="8">
        <f>(-CB_SMI_Mixto_MEDIA!L14/1000000)*P$25</f>
        <v>-0.82978438959306211</v>
      </c>
      <c r="Q39" s="8">
        <f>(-CB_SMI_Mixto_MEDIA!M14/1000000)*Q$25</f>
        <v>-0.82978438959306211</v>
      </c>
      <c r="R39" s="8">
        <f>(-CB_SMI_Mixto_MEDIA!N14/1000000)*R$25</f>
        <v>-0.82978438959306211</v>
      </c>
      <c r="S39" s="8">
        <f>(-CB_SMI_Mixto_MEDIA!O14/1000000)*S$25</f>
        <v>-0.82978438959306211</v>
      </c>
      <c r="T39" s="8">
        <f>(-CB_SMI_Mixto_MEDIA!P14/1000000)*T$25</f>
        <v>-0.82978438959306211</v>
      </c>
      <c r="U39" s="8">
        <f>(-CB_SMI_Mixto_MEDIA!Q14/1000000)*U$25</f>
        <v>-0.82978438959306211</v>
      </c>
      <c r="W39" s="42">
        <f t="shared" si="8"/>
        <v>-7.2960295235632628</v>
      </c>
      <c r="X39" s="42">
        <f t="shared" si="9"/>
        <v>-0.75121936564563696</v>
      </c>
      <c r="Y39" s="42">
        <f t="shared" si="6"/>
        <v>-0.94204734666947232</v>
      </c>
      <c r="Z39" s="30">
        <f t="shared" si="10"/>
        <v>0.60991406861818842</v>
      </c>
    </row>
    <row r="40" spans="2:26" x14ac:dyDescent="0.3">
      <c r="B40" s="53"/>
      <c r="C40" s="44" t="s">
        <v>146</v>
      </c>
      <c r="D40" s="45"/>
      <c r="E40" s="45"/>
      <c r="F40" s="8">
        <v>0</v>
      </c>
      <c r="G40" s="8">
        <f>(-CB_SMI_Mixto_MEDIA!C15/1000000)*G$25</f>
        <v>-0.1333309472981988</v>
      </c>
      <c r="H40" s="8">
        <f>(-CB_SMI_Mixto_MEDIA!D15/1000000)*H$25</f>
        <v>-0.26666189459639766</v>
      </c>
      <c r="I40" s="8">
        <f>(-CB_SMI_Mixto_MEDIA!E15/1000000)*I$25</f>
        <v>-0.39999284189459633</v>
      </c>
      <c r="J40" s="8">
        <f>(-CB_SMI_Mixto_MEDIA!F15/1000000)*J$25</f>
        <v>-0.40195723148765855</v>
      </c>
      <c r="K40" s="8">
        <f>(-CB_SMI_Mixto_MEDIA!G15/1000000)*K$25</f>
        <v>-0.4039535623749167</v>
      </c>
      <c r="L40" s="8">
        <f>(-CB_SMI_Mixto_MEDIA!H15/1000000)*L$25</f>
        <v>-0.4059498932621749</v>
      </c>
      <c r="M40" s="8">
        <f>(-CB_SMI_Mixto_MEDIA!I15/1000000)*M$25</f>
        <v>-0.40794622414943305</v>
      </c>
      <c r="N40" s="8">
        <f>(-CB_SMI_Mixto_MEDIA!J15/1000000)*N$25</f>
        <v>-0.40995852568378927</v>
      </c>
      <c r="O40" s="8">
        <f>(-CB_SMI_Mixto_MEDIA!K15/1000000)*O$25</f>
        <v>-0.41197082721814549</v>
      </c>
      <c r="P40" s="8">
        <f>(-CB_SMI_Mixto_MEDIA!L15/1000000)*P$25</f>
        <v>-0.41398312875250171</v>
      </c>
      <c r="Q40" s="8">
        <f>(-CB_SMI_Mixto_MEDIA!M15/1000000)*Q$25</f>
        <v>-0.41601140093395605</v>
      </c>
      <c r="R40" s="8">
        <f>(-CB_SMI_Mixto_MEDIA!N15/1000000)*R$25</f>
        <v>-0.4180396731154104</v>
      </c>
      <c r="S40" s="8">
        <f>(-CB_SMI_Mixto_MEDIA!O15/1000000)*S$25</f>
        <v>-0.42009190126751184</v>
      </c>
      <c r="T40" s="8">
        <f>(-CB_SMI_Mixto_MEDIA!P15/1000000)*T$25</f>
        <v>-0.42216808539026018</v>
      </c>
      <c r="U40" s="8">
        <f>(-CB_SMI_Mixto_MEDIA!Q15/1000000)*U$25</f>
        <v>-0.42426822548365589</v>
      </c>
      <c r="W40" s="42">
        <f t="shared" si="8"/>
        <v>-3.5965249523150025</v>
      </c>
      <c r="X40" s="42">
        <f t="shared" si="9"/>
        <v>-0.37030814972460191</v>
      </c>
      <c r="Y40" s="42">
        <f t="shared" si="6"/>
        <v>-0.46437542194925319</v>
      </c>
      <c r="Z40" s="30">
        <f t="shared" si="10"/>
        <v>0.30065272618057809</v>
      </c>
    </row>
    <row r="41" spans="2:26" x14ac:dyDescent="0.3">
      <c r="B41" s="53"/>
      <c r="C41" s="44" t="s">
        <v>144</v>
      </c>
      <c r="D41" s="45"/>
      <c r="E41" s="45"/>
      <c r="F41" s="8">
        <v>0</v>
      </c>
      <c r="G41" s="8">
        <f>(-CB_SMI_Mixto_MEDIA!C16/1000000)*G$25</f>
        <v>-1.8923413131578946E-2</v>
      </c>
      <c r="H41" s="8">
        <f>(-CB_SMI_Mixto_MEDIA!D16/1000000)*H$25</f>
        <v>-3.7846826263157891E-2</v>
      </c>
      <c r="I41" s="8">
        <f>(-CB_SMI_Mixto_MEDIA!E16/1000000)*I$25</f>
        <v>-5.6770239394736827E-2</v>
      </c>
      <c r="J41" s="8">
        <f>(-CB_SMI_Mixto_MEDIA!F16/1000000)*J$25</f>
        <v>-5.704904155263156E-2</v>
      </c>
      <c r="K41" s="8">
        <f>(-CB_SMI_Mixto_MEDIA!G16/1000000)*K$25</f>
        <v>-5.7332377078947359E-2</v>
      </c>
      <c r="L41" s="8">
        <f>(-CB_SMI_Mixto_MEDIA!H16/1000000)*L$25</f>
        <v>-5.7615712605263152E-2</v>
      </c>
      <c r="M41" s="8">
        <f>(-CB_SMI_Mixto_MEDIA!I16/1000000)*M$25</f>
        <v>-5.7899048131578937E-2</v>
      </c>
      <c r="N41" s="8">
        <f>(-CB_SMI_Mixto_MEDIA!J16/1000000)*N$25</f>
        <v>-5.8184650342105244E-2</v>
      </c>
      <c r="O41" s="8">
        <f>(-CB_SMI_Mixto_MEDIA!K16/1000000)*O$25</f>
        <v>-5.8470252552631573E-2</v>
      </c>
      <c r="P41" s="8">
        <f>(-CB_SMI_Mixto_MEDIA!L16/1000000)*P$25</f>
        <v>-5.8755854763157866E-2</v>
      </c>
      <c r="Q41" s="8">
        <f>(-CB_SMI_Mixto_MEDIA!M16/1000000)*Q$25</f>
        <v>-5.904372365789471E-2</v>
      </c>
      <c r="R41" s="8">
        <f>(-CB_SMI_Mixto_MEDIA!N16/1000000)*R$25</f>
        <v>-5.9331592552631561E-2</v>
      </c>
      <c r="S41" s="8">
        <f>(-CB_SMI_Mixto_MEDIA!O16/1000000)*S$25</f>
        <v>-5.9622861473684174E-2</v>
      </c>
      <c r="T41" s="8">
        <f>(-CB_SMI_Mixto_MEDIA!P16/1000000)*T$25</f>
        <v>-5.9917530421052606E-2</v>
      </c>
      <c r="U41" s="8">
        <f>(-CB_SMI_Mixto_MEDIA!Q16/1000000)*U$25</f>
        <v>-6.0215599394736814E-2</v>
      </c>
      <c r="W41" s="42">
        <f t="shared" si="8"/>
        <v>-0.51044809093326271</v>
      </c>
      <c r="X41" s="42">
        <f t="shared" si="9"/>
        <v>-5.2557146298201525E-2</v>
      </c>
      <c r="Y41" s="42">
        <f t="shared" si="6"/>
        <v>-6.5907939122665501E-2</v>
      </c>
      <c r="Z41" s="30">
        <f t="shared" si="10"/>
        <v>4.2671081710130607E-2</v>
      </c>
    </row>
    <row r="42" spans="2:26" x14ac:dyDescent="0.3">
      <c r="B42" s="53"/>
      <c r="C42" s="44" t="s">
        <v>61</v>
      </c>
      <c r="D42" s="45"/>
      <c r="E42" s="45"/>
      <c r="F42" s="8">
        <v>0</v>
      </c>
      <c r="G42" s="8">
        <f>(-CB_SMI_Mixto_MEDIA!C17/1000000)*G$25</f>
        <v>-2.0737674000000001E-2</v>
      </c>
      <c r="H42" s="8">
        <f>(-CB_SMI_Mixto_MEDIA!D17/1000000)*H$25</f>
        <v>-4.1475348000000009E-2</v>
      </c>
      <c r="I42" s="8">
        <f>(-CB_SMI_Mixto_MEDIA!E17/1000000)*I$25</f>
        <v>-6.2213022000000007E-2</v>
      </c>
      <c r="J42" s="8">
        <f>(-CB_SMI_Mixto_MEDIA!F17/1000000)*J$25</f>
        <v>-6.2518554000000018E-2</v>
      </c>
      <c r="K42" s="8">
        <f>(-CB_SMI_Mixto_MEDIA!G17/1000000)*K$25</f>
        <v>-6.2829054000000009E-2</v>
      </c>
      <c r="L42" s="8">
        <f>(-CB_SMI_Mixto_MEDIA!H17/1000000)*L$25</f>
        <v>-6.3139554000000014E-2</v>
      </c>
      <c r="M42" s="8">
        <f>(-CB_SMI_Mixto_MEDIA!I17/1000000)*M$25</f>
        <v>-6.345005400000002E-2</v>
      </c>
      <c r="N42" s="8">
        <f>(-CB_SMI_Mixto_MEDIA!J17/1000000)*N$25</f>
        <v>-6.3763038000000022E-2</v>
      </c>
      <c r="O42" s="8">
        <f>(-CB_SMI_Mixto_MEDIA!K17/1000000)*O$25</f>
        <v>-6.407602200000001E-2</v>
      </c>
      <c r="P42" s="8">
        <f>(-CB_SMI_Mixto_MEDIA!L17/1000000)*P$25</f>
        <v>-6.4389006000000026E-2</v>
      </c>
      <c r="Q42" s="8">
        <f>(-CB_SMI_Mixto_MEDIA!M17/1000000)*Q$25</f>
        <v>-6.4704474000000012E-2</v>
      </c>
      <c r="R42" s="8">
        <f>(-CB_SMI_Mixto_MEDIA!N17/1000000)*R$25</f>
        <v>-6.5019942000000011E-2</v>
      </c>
      <c r="S42" s="8">
        <f>(-CB_SMI_Mixto_MEDIA!O17/1000000)*S$25</f>
        <v>-6.533913600000002E-2</v>
      </c>
      <c r="T42" s="8">
        <f>(-CB_SMI_Mixto_MEDIA!P17/1000000)*T$25</f>
        <v>-6.566205600000001E-2</v>
      </c>
      <c r="U42" s="8">
        <f>(-CB_SMI_Mixto_MEDIA!Q17/1000000)*U$25</f>
        <v>-6.598870200000001E-2</v>
      </c>
      <c r="W42" s="42">
        <f t="shared" si="8"/>
        <v>-0.55938672532765876</v>
      </c>
      <c r="X42" s="42">
        <f t="shared" si="9"/>
        <v>-5.7596003359647076E-2</v>
      </c>
      <c r="Y42" s="42">
        <f t="shared" si="6"/>
        <v>-7.2226788372380779E-2</v>
      </c>
      <c r="Z42" s="30">
        <f t="shared" si="10"/>
        <v>4.6762123491102821E-2</v>
      </c>
    </row>
    <row r="43" spans="2:26" x14ac:dyDescent="0.3">
      <c r="B43" s="54"/>
      <c r="C43" s="55" t="s">
        <v>131</v>
      </c>
      <c r="D43" s="55"/>
      <c r="E43" s="55"/>
      <c r="F43" s="15">
        <f>SUM(F38:F42)</f>
        <v>0</v>
      </c>
      <c r="G43" s="15">
        <f>SUM(G38:G42)</f>
        <v>-0.45231363341843461</v>
      </c>
      <c r="H43" s="15">
        <f t="shared" ref="H43:T43" si="11">SUM(H38:H42)</f>
        <v>-0.9019038182039375</v>
      </c>
      <c r="I43" s="15">
        <f t="shared" si="11"/>
        <v>-1.3487604928823953</v>
      </c>
      <c r="J43" s="15">
        <f t="shared" si="11"/>
        <v>-1.351309216633352</v>
      </c>
      <c r="K43" s="15">
        <f t="shared" si="11"/>
        <v>-1.3538993830469261</v>
      </c>
      <c r="L43" s="15">
        <f t="shared" si="11"/>
        <v>-1.3564895494605</v>
      </c>
      <c r="M43" s="15">
        <f t="shared" si="11"/>
        <v>-1.3590797158740739</v>
      </c>
      <c r="N43" s="15">
        <f t="shared" si="11"/>
        <v>-1.3616906036189567</v>
      </c>
      <c r="O43" s="15">
        <f t="shared" si="11"/>
        <v>-1.3643014913638392</v>
      </c>
      <c r="P43" s="15">
        <f t="shared" si="11"/>
        <v>-1.3669123791087219</v>
      </c>
      <c r="Q43" s="15">
        <f t="shared" si="11"/>
        <v>-1.369543988184913</v>
      </c>
      <c r="R43" s="15">
        <f t="shared" si="11"/>
        <v>-1.3721755972611041</v>
      </c>
      <c r="S43" s="15">
        <f t="shared" si="11"/>
        <v>-1.374838288334258</v>
      </c>
      <c r="T43" s="15">
        <f t="shared" si="11"/>
        <v>-1.3775320614043749</v>
      </c>
      <c r="U43" s="15">
        <f>SUM(U38:U42)</f>
        <v>-1.3802569164714549</v>
      </c>
      <c r="W43" s="42">
        <f t="shared" si="8"/>
        <v>-11.962389292139187</v>
      </c>
      <c r="X43" s="42">
        <f t="shared" si="9"/>
        <v>-1.2316806650280876</v>
      </c>
      <c r="Y43" s="42">
        <f t="shared" si="6"/>
        <v>-1.5445574961137718</v>
      </c>
      <c r="Z43" s="30">
        <f t="shared" si="10"/>
        <v>1</v>
      </c>
    </row>
    <row r="44" spans="2:26" x14ac:dyDescent="0.3"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W44" s="42"/>
      <c r="X44" s="42"/>
      <c r="Y44" s="42"/>
    </row>
    <row r="45" spans="2:26" x14ac:dyDescent="0.3">
      <c r="B45" s="88" t="s">
        <v>155</v>
      </c>
      <c r="C45" s="55"/>
      <c r="D45" s="55"/>
      <c r="E45" s="55"/>
      <c r="F45" s="15">
        <f>F36+F43</f>
        <v>-0.97385047215789466</v>
      </c>
      <c r="G45" s="15">
        <f t="shared" ref="G45:U45" si="12">G36+G43</f>
        <v>-11.873608658628962</v>
      </c>
      <c r="H45" s="15">
        <f t="shared" si="12"/>
        <v>-12.323198843414465</v>
      </c>
      <c r="I45" s="15">
        <f t="shared" si="12"/>
        <v>-12.770114707935026</v>
      </c>
      <c r="J45" s="15">
        <f t="shared" si="12"/>
        <v>-1.5263232636859836</v>
      </c>
      <c r="K45" s="15">
        <f t="shared" si="12"/>
        <v>-1.5307050538890314</v>
      </c>
      <c r="L45" s="15">
        <f t="shared" si="12"/>
        <v>-1.5332952203026053</v>
      </c>
      <c r="M45" s="15">
        <f t="shared" si="12"/>
        <v>-1.5358853867161792</v>
      </c>
      <c r="N45" s="15">
        <f t="shared" si="12"/>
        <v>-1.5399709183557988</v>
      </c>
      <c r="O45" s="15">
        <f t="shared" si="12"/>
        <v>-1.5425818061006813</v>
      </c>
      <c r="P45" s="15">
        <f t="shared" si="12"/>
        <v>-1.545192693845564</v>
      </c>
      <c r="Q45" s="15">
        <f t="shared" si="12"/>
        <v>-1.5492989468164919</v>
      </c>
      <c r="R45" s="15">
        <f t="shared" si="12"/>
        <v>-1.551930555892683</v>
      </c>
      <c r="S45" s="15">
        <f t="shared" si="12"/>
        <v>-1.5568052128079424</v>
      </c>
      <c r="T45" s="15">
        <f t="shared" si="12"/>
        <v>-1.5617109517201644</v>
      </c>
      <c r="U45" s="15">
        <f t="shared" si="12"/>
        <v>-1.5666477726293495</v>
      </c>
      <c r="W45" s="42">
        <f>NPV($D$67,G45:U45)+F45</f>
        <v>-44.724026813405395</v>
      </c>
      <c r="X45" s="42">
        <f>PMT($D$67,15,-W45)</f>
        <v>-4.6049094159197361</v>
      </c>
      <c r="Y45" s="42">
        <f t="shared" si="6"/>
        <v>-5.7746683529545573</v>
      </c>
    </row>
    <row r="46" spans="2:26" x14ac:dyDescent="0.3">
      <c r="B46" s="9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W46" s="42"/>
      <c r="X46" s="42"/>
      <c r="Y46" s="42"/>
    </row>
    <row r="47" spans="2:26" x14ac:dyDescent="0.3">
      <c r="B47" s="74" t="s">
        <v>120</v>
      </c>
      <c r="C47" s="44" t="s">
        <v>112</v>
      </c>
      <c r="D47" s="45"/>
      <c r="E47" s="45"/>
      <c r="F47" s="8">
        <v>0</v>
      </c>
      <c r="G47" s="8">
        <f>(CB_SMI_Mixto_MEDIA!C18/1000000)*G$25</f>
        <v>0</v>
      </c>
      <c r="H47" s="8">
        <f>(CB_SMI_Mixto_MEDIA!D18/1000000)*H$25</f>
        <v>0</v>
      </c>
      <c r="I47" s="8">
        <f>(CB_SMI_Mixto_MEDIA!E18/1000000)*I$25</f>
        <v>0</v>
      </c>
      <c r="J47" s="8">
        <f>(CB_SMI_Mixto_MEDIA!F18/1000000)*J$25</f>
        <v>0</v>
      </c>
      <c r="K47" s="8">
        <f>(CB_SMI_Mixto_MEDIA!G18/1000000)*K$25</f>
        <v>0</v>
      </c>
      <c r="L47" s="8">
        <f>(CB_SMI_Mixto_MEDIA!H18/1000000)*L$25</f>
        <v>0</v>
      </c>
      <c r="M47" s="8">
        <f>(CB_SMI_Mixto_MEDIA!I18/1000000)*M$25</f>
        <v>0</v>
      </c>
      <c r="N47" s="8">
        <f>(CB_SMI_Mixto_MEDIA!J18/1000000)*N$25</f>
        <v>0</v>
      </c>
      <c r="O47" s="8">
        <f>(CB_SMI_Mixto_MEDIA!K18/1000000)*O$25</f>
        <v>0</v>
      </c>
      <c r="P47" s="8">
        <f>(CB_SMI_Mixto_MEDIA!L18/1000000)*P$25</f>
        <v>0</v>
      </c>
      <c r="Q47" s="8">
        <f>(CB_SMI_Mixto_MEDIA!M18/1000000)*Q$25</f>
        <v>0</v>
      </c>
      <c r="R47" s="8">
        <f>(CB_SMI_Mixto_MEDIA!N18/1000000)*R$25</f>
        <v>0</v>
      </c>
      <c r="S47" s="8">
        <f>(CB_SMI_Mixto_MEDIA!O18/1000000)*S$25</f>
        <v>0</v>
      </c>
      <c r="T47" s="8">
        <f>(CB_SMI_Mixto_MEDIA!P18/1000000)*T$25</f>
        <v>0</v>
      </c>
      <c r="U47" s="8">
        <f>(CB_SMI_Mixto_MEDIA!Q18/1000000)*U$25</f>
        <v>0</v>
      </c>
      <c r="V47" s="30">
        <f>U47/$U$56</f>
        <v>0</v>
      </c>
      <c r="W47" s="42">
        <f>NPV($D$67,G47:U47)+F47</f>
        <v>0</v>
      </c>
      <c r="X47" s="42">
        <f t="shared" ref="X47:X56" si="13">PMT($D$67,15,-W47)</f>
        <v>0</v>
      </c>
      <c r="Y47" s="42">
        <f>W47*1000000/7744865</f>
        <v>0</v>
      </c>
      <c r="Z47" s="30">
        <f>W47/$W$56</f>
        <v>0</v>
      </c>
    </row>
    <row r="48" spans="2:26" x14ac:dyDescent="0.3">
      <c r="B48" s="75"/>
      <c r="C48" s="44" t="s">
        <v>62</v>
      </c>
      <c r="D48" s="45"/>
      <c r="E48" s="45"/>
      <c r="F48" s="8">
        <v>0</v>
      </c>
      <c r="G48" s="8">
        <f>(CB_SMI_Mixto_MEDIA!C19/1000000)*G$25</f>
        <v>0</v>
      </c>
      <c r="H48" s="8">
        <f>(CB_SMI_Mixto_MEDIA!D19/1000000)*H$25</f>
        <v>0</v>
      </c>
      <c r="I48" s="8">
        <f>(CB_SMI_Mixto_MEDIA!E19/1000000)*I$25</f>
        <v>0</v>
      </c>
      <c r="J48" s="8">
        <f>(CB_SMI_Mixto_MEDIA!F19/1000000)*J$25</f>
        <v>0</v>
      </c>
      <c r="K48" s="8">
        <f>(CB_SMI_Mixto_MEDIA!G19/1000000)*K$25</f>
        <v>0</v>
      </c>
      <c r="L48" s="8">
        <f>(CB_SMI_Mixto_MEDIA!H19/1000000)*L$25</f>
        <v>0</v>
      </c>
      <c r="M48" s="8">
        <f>(CB_SMI_Mixto_MEDIA!I19/1000000)*M$25</f>
        <v>0</v>
      </c>
      <c r="N48" s="8">
        <f>(CB_SMI_Mixto_MEDIA!J19/1000000)*N$25</f>
        <v>0</v>
      </c>
      <c r="O48" s="8">
        <f>(CB_SMI_Mixto_MEDIA!K19/1000000)*O$25</f>
        <v>0</v>
      </c>
      <c r="P48" s="8">
        <f>(CB_SMI_Mixto_MEDIA!L19/1000000)*P$25</f>
        <v>0</v>
      </c>
      <c r="Q48" s="8">
        <f>(CB_SMI_Mixto_MEDIA!M19/1000000)*Q$25</f>
        <v>0</v>
      </c>
      <c r="R48" s="8">
        <f>(CB_SMI_Mixto_MEDIA!N19/1000000)*R$25</f>
        <v>0</v>
      </c>
      <c r="S48" s="8">
        <f>(CB_SMI_Mixto_MEDIA!O19/1000000)*S$25</f>
        <v>0</v>
      </c>
      <c r="T48" s="8">
        <f>(CB_SMI_Mixto_MEDIA!P19/1000000)*T$25</f>
        <v>0</v>
      </c>
      <c r="U48" s="8">
        <f>(CB_SMI_Mixto_MEDIA!Q19/1000000)*U$25</f>
        <v>0</v>
      </c>
      <c r="V48" s="30">
        <f t="shared" ref="V48:V55" si="14">U48/$U$56</f>
        <v>0</v>
      </c>
      <c r="W48" s="42">
        <f t="shared" ref="W48:W55" si="15">NPV($D$67,G48:U48)+F48</f>
        <v>0</v>
      </c>
      <c r="X48" s="42">
        <f t="shared" si="13"/>
        <v>0</v>
      </c>
      <c r="Y48" s="42">
        <f t="shared" si="6"/>
        <v>0</v>
      </c>
      <c r="Z48" s="30">
        <f t="shared" ref="Z48:Z56" si="16">W48/$W$56</f>
        <v>0</v>
      </c>
    </row>
    <row r="49" spans="2:26" x14ac:dyDescent="0.3">
      <c r="B49" s="75"/>
      <c r="C49" s="44" t="s">
        <v>95</v>
      </c>
      <c r="D49" s="45"/>
      <c r="E49" s="45"/>
      <c r="F49" s="8">
        <v>0</v>
      </c>
      <c r="G49" s="8">
        <f>(CB_SMI_Mixto_MEDIA!C20/1000000)*G$25</f>
        <v>0</v>
      </c>
      <c r="H49" s="8">
        <f>(CB_SMI_Mixto_MEDIA!D20/1000000)*H$25</f>
        <v>0</v>
      </c>
      <c r="I49" s="8">
        <f>(CB_SMI_Mixto_MEDIA!E20/1000000)*I$25</f>
        <v>0</v>
      </c>
      <c r="J49" s="8">
        <f>(CB_SMI_Mixto_MEDIA!F20/1000000)*J$25</f>
        <v>0</v>
      </c>
      <c r="K49" s="8">
        <f>(CB_SMI_Mixto_MEDIA!G20/1000000)*K$25</f>
        <v>0</v>
      </c>
      <c r="L49" s="8">
        <f>(CB_SMI_Mixto_MEDIA!H20/1000000)*L$25</f>
        <v>0</v>
      </c>
      <c r="M49" s="8">
        <f>(CB_SMI_Mixto_MEDIA!I20/1000000)*M$25</f>
        <v>0</v>
      </c>
      <c r="N49" s="8">
        <f>(CB_SMI_Mixto_MEDIA!J20/1000000)*N$25</f>
        <v>0</v>
      </c>
      <c r="O49" s="8">
        <f>(CB_SMI_Mixto_MEDIA!K20/1000000)*O$25</f>
        <v>0</v>
      </c>
      <c r="P49" s="8">
        <f>(CB_SMI_Mixto_MEDIA!L20/1000000)*P$25</f>
        <v>0</v>
      </c>
      <c r="Q49" s="8">
        <f>(CB_SMI_Mixto_MEDIA!M20/1000000)*Q$25</f>
        <v>0</v>
      </c>
      <c r="R49" s="8">
        <f>(CB_SMI_Mixto_MEDIA!N20/1000000)*R$25</f>
        <v>0</v>
      </c>
      <c r="S49" s="8">
        <f>(CB_SMI_Mixto_MEDIA!O20/1000000)*S$25</f>
        <v>0</v>
      </c>
      <c r="T49" s="8">
        <f>(CB_SMI_Mixto_MEDIA!P20/1000000)*T$25</f>
        <v>0</v>
      </c>
      <c r="U49" s="8">
        <f>(CB_SMI_Mixto_MEDIA!Q20/1000000)*U$25</f>
        <v>0</v>
      </c>
      <c r="V49" s="30">
        <f t="shared" si="14"/>
        <v>0</v>
      </c>
      <c r="W49" s="42">
        <f t="shared" si="15"/>
        <v>0</v>
      </c>
      <c r="X49" s="42">
        <f t="shared" si="13"/>
        <v>0</v>
      </c>
      <c r="Y49" s="42">
        <f t="shared" si="6"/>
        <v>0</v>
      </c>
      <c r="Z49" s="30">
        <f t="shared" si="16"/>
        <v>0</v>
      </c>
    </row>
    <row r="50" spans="2:26" x14ac:dyDescent="0.3">
      <c r="B50" s="75"/>
      <c r="C50" s="44" t="s">
        <v>96</v>
      </c>
      <c r="D50" s="45"/>
      <c r="E50" s="45"/>
      <c r="F50" s="8">
        <v>0</v>
      </c>
      <c r="G50" s="8">
        <f>(CB_SMI_Mixto_MEDIA!C21/1000000)*G$25</f>
        <v>0.24434501926867752</v>
      </c>
      <c r="H50" s="8">
        <f>(CB_SMI_Mixto_MEDIA!D21/1000000)*H$25</f>
        <v>0.48630761945089546</v>
      </c>
      <c r="I50" s="8">
        <f>(CB_SMI_Mixto_MEDIA!E21/1000000)*I$25</f>
        <v>0.72587899896777508</v>
      </c>
      <c r="J50" s="8">
        <f>(CB_SMI_Mixto_MEDIA!F21/1000000)*J$25</f>
        <v>0.72587899896777519</v>
      </c>
      <c r="K50" s="8">
        <f>(CB_SMI_Mixto_MEDIA!G21/1000000)*K$25</f>
        <v>0.72587899896777519</v>
      </c>
      <c r="L50" s="8">
        <f>(CB_SMI_Mixto_MEDIA!H21/1000000)*L$25</f>
        <v>0.72587899896777519</v>
      </c>
      <c r="M50" s="8">
        <f>(CB_SMI_Mixto_MEDIA!I21/1000000)*M$25</f>
        <v>0.72587899896777519</v>
      </c>
      <c r="N50" s="8">
        <f>(CB_SMI_Mixto_MEDIA!J21/1000000)*N$25</f>
        <v>0.72587899896777519</v>
      </c>
      <c r="O50" s="8">
        <f>(CB_SMI_Mixto_MEDIA!K21/1000000)*O$25</f>
        <v>0.72587899896777519</v>
      </c>
      <c r="P50" s="8">
        <f>(CB_SMI_Mixto_MEDIA!L21/1000000)*P$25</f>
        <v>0.72587899896777519</v>
      </c>
      <c r="Q50" s="8">
        <f>(CB_SMI_Mixto_MEDIA!M21/1000000)*Q$25</f>
        <v>0.72587899896777519</v>
      </c>
      <c r="R50" s="8">
        <f>(CB_SMI_Mixto_MEDIA!N21/1000000)*R$25</f>
        <v>0.72587899896777519</v>
      </c>
      <c r="S50" s="8">
        <f>(CB_SMI_Mixto_MEDIA!O21/1000000)*S$25</f>
        <v>0.72587899896777519</v>
      </c>
      <c r="T50" s="8">
        <f>(CB_SMI_Mixto_MEDIA!P21/1000000)*T$25</f>
        <v>0.72587899896777519</v>
      </c>
      <c r="U50" s="8">
        <f>(CB_SMI_Mixto_MEDIA!Q21/1000000)*U$25</f>
        <v>0.72587899896777519</v>
      </c>
      <c r="V50" s="30">
        <f t="shared" si="14"/>
        <v>0.26778387164354378</v>
      </c>
      <c r="W50" s="42">
        <f t="shared" si="15"/>
        <v>6.3824225587091163</v>
      </c>
      <c r="X50" s="42">
        <f t="shared" si="13"/>
        <v>0.65715186737542963</v>
      </c>
      <c r="Y50" s="42">
        <f t="shared" si="6"/>
        <v>0.82408441705686497</v>
      </c>
      <c r="Z50" s="30">
        <f t="shared" si="16"/>
        <v>0.27180331969680943</v>
      </c>
    </row>
    <row r="51" spans="2:26" x14ac:dyDescent="0.3">
      <c r="B51" s="75"/>
      <c r="C51" s="44" t="s">
        <v>140</v>
      </c>
      <c r="D51" s="45"/>
      <c r="E51" s="45"/>
      <c r="F51" s="8">
        <v>0</v>
      </c>
      <c r="G51" s="8">
        <f>(CB_SMI_Mixto_MEDIA!C22/1000000)*G$25</f>
        <v>0</v>
      </c>
      <c r="H51" s="8">
        <f>(CB_SMI_Mixto_MEDIA!D22/1000000)*H$25</f>
        <v>0</v>
      </c>
      <c r="I51" s="8">
        <f>(CB_SMI_Mixto_MEDIA!E22/1000000)*I$25</f>
        <v>0</v>
      </c>
      <c r="J51" s="8">
        <f>(CB_SMI_Mixto_MEDIA!F22/1000000)*J$25</f>
        <v>0</v>
      </c>
      <c r="K51" s="8">
        <f>(CB_SMI_Mixto_MEDIA!G22/1000000)*K$25</f>
        <v>0</v>
      </c>
      <c r="L51" s="8">
        <f>(CB_SMI_Mixto_MEDIA!H22/1000000)*L$25</f>
        <v>0</v>
      </c>
      <c r="M51" s="8">
        <f>(CB_SMI_Mixto_MEDIA!I22/1000000)*M$25</f>
        <v>0</v>
      </c>
      <c r="N51" s="8">
        <f>(CB_SMI_Mixto_MEDIA!J22/1000000)*N$25</f>
        <v>0</v>
      </c>
      <c r="O51" s="8">
        <f>(CB_SMI_Mixto_MEDIA!K22/1000000)*O$25</f>
        <v>0</v>
      </c>
      <c r="P51" s="8">
        <f>(CB_SMI_Mixto_MEDIA!L22/1000000)*P$25</f>
        <v>0</v>
      </c>
      <c r="Q51" s="8">
        <f>(CB_SMI_Mixto_MEDIA!M22/1000000)*Q$25</f>
        <v>0</v>
      </c>
      <c r="R51" s="8">
        <f>(CB_SMI_Mixto_MEDIA!N22/1000000)*R$25</f>
        <v>0</v>
      </c>
      <c r="S51" s="8">
        <f>(CB_SMI_Mixto_MEDIA!O22/1000000)*S$25</f>
        <v>0</v>
      </c>
      <c r="T51" s="8">
        <f>(CB_SMI_Mixto_MEDIA!P22/1000000)*T$25</f>
        <v>0</v>
      </c>
      <c r="U51" s="8">
        <f>(CB_SMI_Mixto_MEDIA!Q22/1000000)*U$25</f>
        <v>0</v>
      </c>
      <c r="V51" s="30">
        <f t="shared" si="14"/>
        <v>0</v>
      </c>
      <c r="W51" s="42">
        <f t="shared" si="15"/>
        <v>0</v>
      </c>
      <c r="X51" s="42">
        <f t="shared" si="13"/>
        <v>0</v>
      </c>
      <c r="Y51" s="42">
        <f t="shared" si="6"/>
        <v>0</v>
      </c>
      <c r="Z51" s="30">
        <f t="shared" si="16"/>
        <v>0</v>
      </c>
    </row>
    <row r="52" spans="2:26" x14ac:dyDescent="0.3">
      <c r="B52" s="75"/>
      <c r="C52" s="44" t="s">
        <v>98</v>
      </c>
      <c r="D52" s="45"/>
      <c r="E52" s="45"/>
      <c r="F52" s="8">
        <v>0</v>
      </c>
      <c r="G52" s="8">
        <f>(CB_SMI_Mixto_MEDIA!C23/1000000)*G$25</f>
        <v>0</v>
      </c>
      <c r="H52" s="8">
        <f>(CB_SMI_Mixto_MEDIA!D23/1000000)*H$25</f>
        <v>0</v>
      </c>
      <c r="I52" s="8">
        <f>(CB_SMI_Mixto_MEDIA!E23/1000000)*I$25</f>
        <v>0</v>
      </c>
      <c r="J52" s="8">
        <f>(CB_SMI_Mixto_MEDIA!F23/1000000)*J$25</f>
        <v>0</v>
      </c>
      <c r="K52" s="8">
        <f>(CB_SMI_Mixto_MEDIA!G23/1000000)*K$25</f>
        <v>0</v>
      </c>
      <c r="L52" s="8">
        <f>(CB_SMI_Mixto_MEDIA!H23/1000000)*L$25</f>
        <v>0</v>
      </c>
      <c r="M52" s="8">
        <f>(CB_SMI_Mixto_MEDIA!I23/1000000)*M$25</f>
        <v>0</v>
      </c>
      <c r="N52" s="8">
        <f>(CB_SMI_Mixto_MEDIA!J23/1000000)*N$25</f>
        <v>0</v>
      </c>
      <c r="O52" s="8">
        <f>(CB_SMI_Mixto_MEDIA!K23/1000000)*O$25</f>
        <v>0</v>
      </c>
      <c r="P52" s="8">
        <f>(CB_SMI_Mixto_MEDIA!L23/1000000)*P$25</f>
        <v>0</v>
      </c>
      <c r="Q52" s="8">
        <f>(CB_SMI_Mixto_MEDIA!M23/1000000)*Q$25</f>
        <v>0</v>
      </c>
      <c r="R52" s="8">
        <f>(CB_SMI_Mixto_MEDIA!N23/1000000)*R$25</f>
        <v>0</v>
      </c>
      <c r="S52" s="8">
        <f>(CB_SMI_Mixto_MEDIA!O23/1000000)*S$25</f>
        <v>0</v>
      </c>
      <c r="T52" s="8">
        <f>(CB_SMI_Mixto_MEDIA!P23/1000000)*T$25</f>
        <v>0</v>
      </c>
      <c r="U52" s="8">
        <f>(CB_SMI_Mixto_MEDIA!Q23/1000000)*U$25</f>
        <v>0</v>
      </c>
      <c r="V52" s="30">
        <f t="shared" si="14"/>
        <v>0</v>
      </c>
      <c r="W52" s="42">
        <f t="shared" si="15"/>
        <v>0</v>
      </c>
      <c r="X52" s="42">
        <f t="shared" si="13"/>
        <v>0</v>
      </c>
      <c r="Y52" s="42">
        <f t="shared" si="6"/>
        <v>0</v>
      </c>
      <c r="Z52" s="30">
        <f t="shared" si="16"/>
        <v>0</v>
      </c>
    </row>
    <row r="53" spans="2:26" x14ac:dyDescent="0.3">
      <c r="B53" s="75"/>
      <c r="C53" s="44" t="s">
        <v>63</v>
      </c>
      <c r="D53" s="45"/>
      <c r="E53" s="45"/>
      <c r="F53" s="8">
        <v>0</v>
      </c>
      <c r="G53" s="8">
        <f>(CB_SMI_Mixto_MEDIA!C24/1000000)*G$25</f>
        <v>0</v>
      </c>
      <c r="H53" s="8">
        <f>(CB_SMI_Mixto_MEDIA!D24/1000000)*H$25</f>
        <v>0</v>
      </c>
      <c r="I53" s="8">
        <f>(CB_SMI_Mixto_MEDIA!E24/1000000)*I$25</f>
        <v>0</v>
      </c>
      <c r="J53" s="8">
        <f>(CB_SMI_Mixto_MEDIA!F24/1000000)*J$25</f>
        <v>0</v>
      </c>
      <c r="K53" s="8">
        <f>(CB_SMI_Mixto_MEDIA!G24/1000000)*K$25</f>
        <v>0</v>
      </c>
      <c r="L53" s="8">
        <f>(CB_SMI_Mixto_MEDIA!H24/1000000)*L$25</f>
        <v>0</v>
      </c>
      <c r="M53" s="8">
        <f>(CB_SMI_Mixto_MEDIA!I24/1000000)*M$25</f>
        <v>0</v>
      </c>
      <c r="N53" s="8">
        <f>(CB_SMI_Mixto_MEDIA!J24/1000000)*N$25</f>
        <v>0</v>
      </c>
      <c r="O53" s="8">
        <f>(CB_SMI_Mixto_MEDIA!K24/1000000)*O$25</f>
        <v>0</v>
      </c>
      <c r="P53" s="8">
        <f>(CB_SMI_Mixto_MEDIA!L24/1000000)*P$25</f>
        <v>0</v>
      </c>
      <c r="Q53" s="8">
        <f>(CB_SMI_Mixto_MEDIA!M24/1000000)*Q$25</f>
        <v>0</v>
      </c>
      <c r="R53" s="8">
        <f>(CB_SMI_Mixto_MEDIA!N24/1000000)*R$25</f>
        <v>0</v>
      </c>
      <c r="S53" s="8">
        <f>(CB_SMI_Mixto_MEDIA!O24/1000000)*S$25</f>
        <v>0</v>
      </c>
      <c r="T53" s="8">
        <f>(CB_SMI_Mixto_MEDIA!P24/1000000)*T$25</f>
        <v>0</v>
      </c>
      <c r="U53" s="8">
        <f>(CB_SMI_Mixto_MEDIA!Q24/1000000)*U$25</f>
        <v>0</v>
      </c>
      <c r="V53" s="30">
        <f t="shared" si="14"/>
        <v>0</v>
      </c>
      <c r="W53" s="42">
        <f t="shared" si="15"/>
        <v>0</v>
      </c>
      <c r="X53" s="42">
        <f t="shared" si="13"/>
        <v>0</v>
      </c>
      <c r="Y53" s="42">
        <f t="shared" si="6"/>
        <v>0</v>
      </c>
      <c r="Z53" s="30">
        <f t="shared" si="16"/>
        <v>0</v>
      </c>
    </row>
    <row r="54" spans="2:26" x14ac:dyDescent="0.3">
      <c r="B54" s="75"/>
      <c r="C54" s="44" t="s">
        <v>99</v>
      </c>
      <c r="D54" s="45"/>
      <c r="E54" s="45"/>
      <c r="F54" s="8">
        <v>0</v>
      </c>
      <c r="G54" s="8">
        <f>(CB_SMI_Mixto_MEDIA!C25/1000000)*G$25</f>
        <v>0</v>
      </c>
      <c r="H54" s="8">
        <f>(CB_SMI_Mixto_MEDIA!D25/1000000)*H$25</f>
        <v>0</v>
      </c>
      <c r="I54" s="8">
        <f>(CB_SMI_Mixto_MEDIA!E25/1000000)*I$25</f>
        <v>0</v>
      </c>
      <c r="J54" s="8">
        <f>(CB_SMI_Mixto_MEDIA!F25/1000000)*J$25</f>
        <v>0</v>
      </c>
      <c r="K54" s="8">
        <f>(CB_SMI_Mixto_MEDIA!G25/1000000)*K$25</f>
        <v>0</v>
      </c>
      <c r="L54" s="8">
        <f>(CB_SMI_Mixto_MEDIA!H25/1000000)*L$25</f>
        <v>0</v>
      </c>
      <c r="M54" s="8">
        <f>(CB_SMI_Mixto_MEDIA!I25/1000000)*M$25</f>
        <v>0</v>
      </c>
      <c r="N54" s="8">
        <f>(CB_SMI_Mixto_MEDIA!J25/1000000)*N$25</f>
        <v>0</v>
      </c>
      <c r="O54" s="8">
        <f>(CB_SMI_Mixto_MEDIA!K25/1000000)*O$25</f>
        <v>0</v>
      </c>
      <c r="P54" s="8">
        <f>(CB_SMI_Mixto_MEDIA!L25/1000000)*P$25</f>
        <v>0</v>
      </c>
      <c r="Q54" s="8">
        <f>(CB_SMI_Mixto_MEDIA!M25/1000000)*Q$25</f>
        <v>0</v>
      </c>
      <c r="R54" s="8">
        <f>(CB_SMI_Mixto_MEDIA!N25/1000000)*R$25</f>
        <v>0</v>
      </c>
      <c r="S54" s="8">
        <f>(CB_SMI_Mixto_MEDIA!O25/1000000)*S$25</f>
        <v>0</v>
      </c>
      <c r="T54" s="8">
        <f>(CB_SMI_Mixto_MEDIA!P25/1000000)*T$25</f>
        <v>0</v>
      </c>
      <c r="U54" s="8">
        <f>(CB_SMI_Mixto_MEDIA!Q25/1000000)*U$25</f>
        <v>0</v>
      </c>
      <c r="V54" s="30">
        <f t="shared" si="14"/>
        <v>0</v>
      </c>
      <c r="W54" s="42">
        <f t="shared" si="15"/>
        <v>0</v>
      </c>
      <c r="X54" s="42">
        <f t="shared" si="13"/>
        <v>0</v>
      </c>
      <c r="Y54" s="42">
        <f t="shared" si="6"/>
        <v>0</v>
      </c>
      <c r="Z54" s="30">
        <f t="shared" si="16"/>
        <v>0</v>
      </c>
    </row>
    <row r="55" spans="2:26" x14ac:dyDescent="0.3">
      <c r="B55" s="75"/>
      <c r="C55" s="44" t="s">
        <v>97</v>
      </c>
      <c r="D55" s="45"/>
      <c r="E55" s="45"/>
      <c r="F55" s="8">
        <v>0</v>
      </c>
      <c r="G55" s="8">
        <f>(CB_SMI_Mixto_MEDIA!C26/1000000)*G$25</f>
        <v>0.64049369074801787</v>
      </c>
      <c r="H55" s="8">
        <f>(CB_SMI_Mixto_MEDIA!D26/1000000)*H$25</f>
        <v>1.2757067063778624</v>
      </c>
      <c r="I55" s="8">
        <f>(CB_SMI_Mixto_MEDIA!E26/1000000)*I$25</f>
        <v>1.9251481104545447</v>
      </c>
      <c r="J55" s="8">
        <f>(CB_SMI_Mixto_MEDIA!F26/1000000)*J$25</f>
        <v>1.929663072272727</v>
      </c>
      <c r="K55" s="8">
        <f>(CB_SMI_Mixto_MEDIA!G26/1000000)*K$25</f>
        <v>1.932601793181818</v>
      </c>
      <c r="L55" s="8">
        <f>(CB_SMI_Mixto_MEDIA!H26/1000000)*L$25</f>
        <v>1.934717590909091</v>
      </c>
      <c r="M55" s="8">
        <f>(CB_SMI_Mixto_MEDIA!I26/1000000)*M$25</f>
        <v>1.9367823968181819</v>
      </c>
      <c r="N55" s="8">
        <f>(CB_SMI_Mixto_MEDIA!J26/1000000)*N$25</f>
        <v>1.9527908877272728</v>
      </c>
      <c r="O55" s="8">
        <f>(CB_SMI_Mixto_MEDIA!K26/1000000)*O$25</f>
        <v>1.9569277063636361</v>
      </c>
      <c r="P55" s="8">
        <f>(CB_SMI_Mixto_MEDIA!L26/1000000)*P$25</f>
        <v>1.960203582272728</v>
      </c>
      <c r="Q55" s="8">
        <f>(CB_SMI_Mixto_MEDIA!M26/1000000)*Q$25</f>
        <v>1.963487371363636</v>
      </c>
      <c r="R55" s="8">
        <f>(CB_SMI_Mixto_MEDIA!N26/1000000)*R$25</f>
        <v>1.967381258181818</v>
      </c>
      <c r="S55" s="8">
        <f>(CB_SMI_Mixto_MEDIA!O26/1000000)*S$25</f>
        <v>1.973174022272727</v>
      </c>
      <c r="T55" s="8">
        <f>(CB_SMI_Mixto_MEDIA!P26/1000000)*T$25</f>
        <v>1.9789838440909091</v>
      </c>
      <c r="U55" s="8">
        <f>(CB_SMI_Mixto_MEDIA!Q26/1000000)*U$25</f>
        <v>1.9848107618181821</v>
      </c>
      <c r="V55" s="30">
        <f t="shared" si="14"/>
        <v>0.73221612835645622</v>
      </c>
      <c r="W55" s="42">
        <f t="shared" si="15"/>
        <v>17.099345676603701</v>
      </c>
      <c r="X55" s="42">
        <f t="shared" si="13"/>
        <v>1.7605958926904437</v>
      </c>
      <c r="Y55" s="42">
        <f t="shared" si="6"/>
        <v>2.2078300495365255</v>
      </c>
      <c r="Z55" s="30">
        <f t="shared" si="16"/>
        <v>0.72819668030319029</v>
      </c>
    </row>
    <row r="56" spans="2:26" x14ac:dyDescent="0.3">
      <c r="B56" s="76"/>
      <c r="C56" s="77" t="s">
        <v>132</v>
      </c>
      <c r="D56" s="77"/>
      <c r="E56" s="77"/>
      <c r="F56" s="14">
        <f t="shared" ref="F56:T56" si="17">SUM(F47:F55)</f>
        <v>0</v>
      </c>
      <c r="G56" s="14">
        <f t="shared" si="17"/>
        <v>0.88483871001669545</v>
      </c>
      <c r="H56" s="14">
        <f t="shared" si="17"/>
        <v>1.7620143258287579</v>
      </c>
      <c r="I56" s="14">
        <f t="shared" si="17"/>
        <v>2.6510271094223197</v>
      </c>
      <c r="J56" s="14">
        <f t="shared" si="17"/>
        <v>2.655542071240502</v>
      </c>
      <c r="K56" s="14">
        <f t="shared" si="17"/>
        <v>2.658480792149593</v>
      </c>
      <c r="L56" s="14">
        <f t="shared" si="17"/>
        <v>2.6605965898768664</v>
      </c>
      <c r="M56" s="14">
        <f t="shared" si="17"/>
        <v>2.6626613957859568</v>
      </c>
      <c r="N56" s="14">
        <f t="shared" si="17"/>
        <v>2.6786698866950482</v>
      </c>
      <c r="O56" s="14">
        <f t="shared" si="17"/>
        <v>2.6828067053314113</v>
      </c>
      <c r="P56" s="14">
        <f t="shared" si="17"/>
        <v>2.6860825812405031</v>
      </c>
      <c r="Q56" s="14">
        <f t="shared" si="17"/>
        <v>2.6893663703314115</v>
      </c>
      <c r="R56" s="14">
        <f t="shared" si="17"/>
        <v>2.6932602571495932</v>
      </c>
      <c r="S56" s="14">
        <f t="shared" si="17"/>
        <v>2.6990530212405019</v>
      </c>
      <c r="T56" s="14">
        <f t="shared" si="17"/>
        <v>2.7048628430586845</v>
      </c>
      <c r="U56" s="14">
        <f>SUM(U47:U55)</f>
        <v>2.7106897607859572</v>
      </c>
      <c r="W56" s="42">
        <f>NPV($D$67,G56:U56)+F56</f>
        <v>23.481768235312824</v>
      </c>
      <c r="X56" s="42">
        <f t="shared" si="13"/>
        <v>2.4177477600658741</v>
      </c>
      <c r="Y56" s="42">
        <f t="shared" si="6"/>
        <v>3.031914466593391</v>
      </c>
      <c r="Z56" s="30">
        <f t="shared" si="16"/>
        <v>1</v>
      </c>
    </row>
    <row r="58" spans="2:26" x14ac:dyDescent="0.3">
      <c r="B58" s="72" t="s">
        <v>64</v>
      </c>
      <c r="C58" s="73"/>
      <c r="D58" s="73"/>
      <c r="E58" s="73"/>
      <c r="F58" s="31">
        <f>F45+F56</f>
        <v>-0.97385047215789466</v>
      </c>
      <c r="G58" s="31">
        <f>G45+G56</f>
        <v>-10.988769948612266</v>
      </c>
      <c r="H58" s="31">
        <f t="shared" ref="H58:U58" si="18">H45+H56</f>
        <v>-10.561184517585707</v>
      </c>
      <c r="I58" s="31">
        <f t="shared" si="18"/>
        <v>-10.119087598512706</v>
      </c>
      <c r="J58" s="31">
        <f t="shared" si="18"/>
        <v>1.1292188075545184</v>
      </c>
      <c r="K58" s="31">
        <f t="shared" si="18"/>
        <v>1.1277757382605615</v>
      </c>
      <c r="L58" s="31">
        <f t="shared" si="18"/>
        <v>1.1273013695742611</v>
      </c>
      <c r="M58" s="31">
        <f t="shared" si="18"/>
        <v>1.1267760090697776</v>
      </c>
      <c r="N58" s="31">
        <f t="shared" si="18"/>
        <v>1.1386989683392494</v>
      </c>
      <c r="O58" s="31">
        <f t="shared" si="18"/>
        <v>1.14022489923073</v>
      </c>
      <c r="P58" s="31">
        <f t="shared" si="18"/>
        <v>1.1408898873949391</v>
      </c>
      <c r="Q58" s="31">
        <f t="shared" si="18"/>
        <v>1.1400674235149195</v>
      </c>
      <c r="R58" s="31">
        <f t="shared" si="18"/>
        <v>1.1413297012569101</v>
      </c>
      <c r="S58" s="31">
        <f t="shared" si="18"/>
        <v>1.1422478084325596</v>
      </c>
      <c r="T58" s="31">
        <f t="shared" si="18"/>
        <v>1.1431518913385201</v>
      </c>
      <c r="U58" s="31">
        <f t="shared" si="18"/>
        <v>1.1440419881566077</v>
      </c>
    </row>
    <row r="60" spans="2:26" x14ac:dyDescent="0.3">
      <c r="B60" s="72" t="s">
        <v>156</v>
      </c>
      <c r="C60" s="73"/>
      <c r="D60" s="73"/>
      <c r="E60" s="73"/>
      <c r="F60" s="31">
        <v>0</v>
      </c>
      <c r="G60" s="31">
        <f>F61</f>
        <v>-0.97385047215789466</v>
      </c>
      <c r="H60" s="31">
        <f t="shared" ref="H60:U60" si="19">G61</f>
        <v>-11.962620420770161</v>
      </c>
      <c r="I60" s="31">
        <f t="shared" si="19"/>
        <v>-22.523804938355866</v>
      </c>
      <c r="J60" s="31">
        <f t="shared" si="19"/>
        <v>-32.642892536868573</v>
      </c>
      <c r="K60" s="31">
        <f t="shared" si="19"/>
        <v>-31.513673729314053</v>
      </c>
      <c r="L60" s="31">
        <f>K61</f>
        <v>-30.385897991053493</v>
      </c>
      <c r="M60" s="31">
        <f t="shared" si="19"/>
        <v>-29.258596621479231</v>
      </c>
      <c r="N60" s="31">
        <f t="shared" si="19"/>
        <v>-28.131820612409452</v>
      </c>
      <c r="O60" s="31">
        <f t="shared" si="19"/>
        <v>-26.993121644070204</v>
      </c>
      <c r="P60" s="31">
        <f t="shared" si="19"/>
        <v>-25.852896744839473</v>
      </c>
      <c r="Q60" s="31">
        <f t="shared" si="19"/>
        <v>-24.712006857444536</v>
      </c>
      <c r="R60" s="31">
        <f t="shared" si="19"/>
        <v>-23.571939433929614</v>
      </c>
      <c r="S60" s="31">
        <f t="shared" si="19"/>
        <v>-22.430609732672703</v>
      </c>
      <c r="T60" s="31">
        <f t="shared" si="19"/>
        <v>-21.288361924240142</v>
      </c>
      <c r="U60" s="31">
        <f t="shared" si="19"/>
        <v>-20.145210032901623</v>
      </c>
    </row>
    <row r="61" spans="2:26" x14ac:dyDescent="0.3">
      <c r="B61" s="72" t="s">
        <v>109</v>
      </c>
      <c r="C61" s="73"/>
      <c r="D61" s="73"/>
      <c r="E61" s="73"/>
      <c r="F61" s="31">
        <f>F58+F60</f>
        <v>-0.97385047215789466</v>
      </c>
      <c r="G61" s="31">
        <f>G58+G60</f>
        <v>-11.962620420770161</v>
      </c>
      <c r="H61" s="31">
        <f t="shared" ref="H61:U61" si="20">H58+H60</f>
        <v>-22.523804938355866</v>
      </c>
      <c r="I61" s="31">
        <f t="shared" si="20"/>
        <v>-32.642892536868573</v>
      </c>
      <c r="J61" s="31">
        <f t="shared" si="20"/>
        <v>-31.513673729314053</v>
      </c>
      <c r="K61" s="31">
        <f t="shared" si="20"/>
        <v>-30.385897991053493</v>
      </c>
      <c r="L61" s="31">
        <f t="shared" si="20"/>
        <v>-29.258596621479231</v>
      </c>
      <c r="M61" s="31">
        <f t="shared" si="20"/>
        <v>-28.131820612409452</v>
      </c>
      <c r="N61" s="31">
        <f t="shared" si="20"/>
        <v>-26.993121644070204</v>
      </c>
      <c r="O61" s="31">
        <f t="shared" si="20"/>
        <v>-25.852896744839473</v>
      </c>
      <c r="P61" s="31">
        <f t="shared" si="20"/>
        <v>-24.712006857444536</v>
      </c>
      <c r="Q61" s="31">
        <f t="shared" si="20"/>
        <v>-23.571939433929614</v>
      </c>
      <c r="R61" s="31">
        <f t="shared" si="20"/>
        <v>-22.430609732672703</v>
      </c>
      <c r="S61" s="31">
        <f t="shared" si="20"/>
        <v>-21.288361924240142</v>
      </c>
      <c r="T61" s="31">
        <f t="shared" si="20"/>
        <v>-20.145210032901623</v>
      </c>
      <c r="U61" s="31">
        <f t="shared" si="20"/>
        <v>-19.001168044745015</v>
      </c>
    </row>
    <row r="62" spans="2:26" x14ac:dyDescent="0.3"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</row>
    <row r="63" spans="2:26" x14ac:dyDescent="0.3">
      <c r="B63" s="78" t="s">
        <v>157</v>
      </c>
      <c r="C63" s="79"/>
      <c r="D63" s="79"/>
      <c r="E63" s="79"/>
      <c r="F63" s="33">
        <f>F58/(1+0.06)^F27</f>
        <v>-0.97385047215789466</v>
      </c>
      <c r="G63" s="33">
        <f>G58/(1+0.06)^G27</f>
        <v>-10.366764102464401</v>
      </c>
      <c r="H63" s="33">
        <f t="shared" ref="H63:T63" si="21">H58/(1+0.06)^H27</f>
        <v>-9.399416622984786</v>
      </c>
      <c r="I63" s="33">
        <f t="shared" si="21"/>
        <v>-8.4961810744042943</v>
      </c>
      <c r="J63" s="33">
        <f t="shared" si="21"/>
        <v>0.89444706187312772</v>
      </c>
      <c r="K63" s="33">
        <f t="shared" si="21"/>
        <v>0.84273963757525561</v>
      </c>
      <c r="L63" s="33">
        <f t="shared" si="21"/>
        <v>0.7947029827334583</v>
      </c>
      <c r="M63" s="33">
        <f>M58/(1+0.06)^M27</f>
        <v>0.74937040029084145</v>
      </c>
      <c r="N63" s="33">
        <f t="shared" si="21"/>
        <v>0.71443381997021993</v>
      </c>
      <c r="O63" s="33">
        <f t="shared" si="21"/>
        <v>0.6748973659333467</v>
      </c>
      <c r="P63" s="33">
        <f t="shared" si="21"/>
        <v>0.63706695415661097</v>
      </c>
      <c r="Q63" s="33">
        <f t="shared" si="21"/>
        <v>0.60057329681302507</v>
      </c>
      <c r="R63" s="33">
        <f t="shared" si="21"/>
        <v>0.56720589526517473</v>
      </c>
      <c r="S63" s="33">
        <f t="shared" si="21"/>
        <v>0.53553034566410629</v>
      </c>
      <c r="T63" s="33">
        <f t="shared" si="21"/>
        <v>0.50561718397147448</v>
      </c>
      <c r="U63" s="33">
        <f>U58/(1+0.06)^U27</f>
        <v>0.47736874967217524</v>
      </c>
    </row>
    <row r="64" spans="2:26" x14ac:dyDescent="0.3">
      <c r="B64" s="78" t="s">
        <v>158</v>
      </c>
      <c r="C64" s="79"/>
      <c r="D64" s="79"/>
      <c r="E64" s="79"/>
      <c r="F64" s="33">
        <f>F63</f>
        <v>-0.97385047215789466</v>
      </c>
      <c r="G64" s="33">
        <f>F64+G63</f>
        <v>-11.340614574622297</v>
      </c>
      <c r="H64" s="33">
        <f t="shared" ref="H64:U64" si="22">G64+H63</f>
        <v>-20.740031197607081</v>
      </c>
      <c r="I64" s="33">
        <f t="shared" si="22"/>
        <v>-29.236212272011375</v>
      </c>
      <c r="J64" s="33">
        <f t="shared" si="22"/>
        <v>-28.341765210138249</v>
      </c>
      <c r="K64" s="33">
        <f t="shared" si="22"/>
        <v>-27.499025572562992</v>
      </c>
      <c r="L64" s="33">
        <f t="shared" si="22"/>
        <v>-26.704322589829534</v>
      </c>
      <c r="M64" s="33">
        <f t="shared" si="22"/>
        <v>-25.954952189538691</v>
      </c>
      <c r="N64" s="33">
        <f t="shared" si="22"/>
        <v>-25.24051836956847</v>
      </c>
      <c r="O64" s="33">
        <f t="shared" si="22"/>
        <v>-24.565621003635123</v>
      </c>
      <c r="P64" s="33">
        <f t="shared" si="22"/>
        <v>-23.92855404947851</v>
      </c>
      <c r="Q64" s="33">
        <f t="shared" si="22"/>
        <v>-23.327980752665486</v>
      </c>
      <c r="R64" s="33">
        <f t="shared" si="22"/>
        <v>-22.76077485740031</v>
      </c>
      <c r="S64" s="33">
        <f t="shared" si="22"/>
        <v>-22.225244511736204</v>
      </c>
      <c r="T64" s="33">
        <f t="shared" si="22"/>
        <v>-21.71962732776473</v>
      </c>
      <c r="U64" s="33">
        <f t="shared" si="22"/>
        <v>-21.242258578092553</v>
      </c>
    </row>
    <row r="67" spans="2:20" x14ac:dyDescent="0.3">
      <c r="B67" s="85" t="s">
        <v>159</v>
      </c>
      <c r="C67" s="85"/>
      <c r="D67" s="34">
        <f>J4</f>
        <v>0.06</v>
      </c>
      <c r="H67" s="93" t="s">
        <v>160</v>
      </c>
      <c r="I67" s="93"/>
      <c r="J67" s="93" t="s">
        <v>161</v>
      </c>
      <c r="K67" s="93"/>
      <c r="L67" s="93" t="s">
        <v>162</v>
      </c>
      <c r="M67" s="93"/>
    </row>
    <row r="68" spans="2:20" x14ac:dyDescent="0.3">
      <c r="B68" s="62"/>
      <c r="C68" s="62"/>
      <c r="F68" s="100" t="s">
        <v>163</v>
      </c>
      <c r="G68" s="100"/>
      <c r="H68" s="94">
        <f>NPV(D67,G45:U45)+F45</f>
        <v>-44.724026813405395</v>
      </c>
      <c r="I68" s="94"/>
      <c r="J68" s="94">
        <f>H68*1000000/$D$74</f>
        <v>-20.719611261246232</v>
      </c>
      <c r="K68" s="94"/>
      <c r="L68" s="95">
        <f>J68*$S$4</f>
        <v>-19877.566259589184</v>
      </c>
      <c r="M68" s="95"/>
      <c r="S68" s="6"/>
      <c r="T68" s="6"/>
    </row>
    <row r="69" spans="2:20" x14ac:dyDescent="0.3">
      <c r="B69" s="80" t="s">
        <v>110</v>
      </c>
      <c r="C69" s="80"/>
      <c r="D69" s="36">
        <f>NPV(D67,G58:U58)+F58</f>
        <v>-21.242258578092564</v>
      </c>
      <c r="F69" s="101" t="s">
        <v>164</v>
      </c>
      <c r="G69" s="101"/>
      <c r="H69" s="89">
        <f>PMT(D67,15,-H68)</f>
        <v>-4.6049094159197361</v>
      </c>
      <c r="I69" s="89"/>
      <c r="J69" s="89">
        <f>H69*1000000/$D$74</f>
        <v>-2.1333484435375345</v>
      </c>
      <c r="K69" s="89"/>
      <c r="L69" s="90">
        <f t="shared" ref="L69" si="23">J69*$S$4</f>
        <v>-2046.6491627921691</v>
      </c>
      <c r="M69" s="90"/>
    </row>
    <row r="70" spans="2:20" x14ac:dyDescent="0.3">
      <c r="B70" s="80" t="s">
        <v>111</v>
      </c>
      <c r="C70" s="80"/>
      <c r="D70" s="37">
        <f>IRR(F58:U58)</f>
        <v>-0.10106412687703414</v>
      </c>
      <c r="F70" s="102" t="s">
        <v>165</v>
      </c>
      <c r="G70" s="102"/>
      <c r="H70" s="91">
        <f>H69/12</f>
        <v>-0.3837424513266447</v>
      </c>
      <c r="I70" s="91"/>
      <c r="J70" s="91">
        <f t="shared" ref="J70" si="24">J69/12</f>
        <v>-0.17777903696146122</v>
      </c>
      <c r="K70" s="91"/>
      <c r="L70" s="92">
        <f>L69/12</f>
        <v>-170.55409689934743</v>
      </c>
      <c r="M70" s="92"/>
    </row>
    <row r="71" spans="2:20" x14ac:dyDescent="0.3">
      <c r="B71" s="80" t="s">
        <v>166</v>
      </c>
      <c r="C71" s="80"/>
      <c r="D71" s="38">
        <f>NPV(D67,G56:U56)/-(F36+NPV(D67,G36:U36)+NPV(D67,G43:U43))</f>
        <v>0.52503698589757797</v>
      </c>
      <c r="F71" s="103"/>
      <c r="G71" s="103"/>
      <c r="L71" s="39"/>
      <c r="M71" s="39"/>
    </row>
    <row r="72" spans="2:20" x14ac:dyDescent="0.3">
      <c r="B72" s="62"/>
      <c r="C72" s="62"/>
      <c r="F72" s="104" t="s">
        <v>167</v>
      </c>
      <c r="G72" s="104"/>
      <c r="H72" s="94">
        <f>NPV(D67,G56:U56)+F56</f>
        <v>23.481768235312824</v>
      </c>
      <c r="I72" s="94"/>
      <c r="J72" s="94">
        <f>H72*1000000/$D$74</f>
        <v>10.878562245574233</v>
      </c>
      <c r="K72" s="94"/>
      <c r="L72" s="95">
        <f>J72*$S$4</f>
        <v>10436.457475914096</v>
      </c>
      <c r="M72" s="95"/>
    </row>
    <row r="73" spans="2:20" x14ac:dyDescent="0.3">
      <c r="B73" s="80" t="s">
        <v>168</v>
      </c>
      <c r="C73" s="80"/>
      <c r="D73" s="4">
        <v>2527114</v>
      </c>
      <c r="F73" s="105" t="s">
        <v>169</v>
      </c>
      <c r="G73" s="105"/>
      <c r="H73" s="89">
        <f>PMT(D67,15,-H72)</f>
        <v>2.4177477600658741</v>
      </c>
      <c r="I73" s="89"/>
      <c r="J73" s="94">
        <f>H73*1000000/$D$74</f>
        <v>1.1200868366642363</v>
      </c>
      <c r="K73" s="94"/>
      <c r="L73" s="90">
        <f>J73*$S$4</f>
        <v>1074.5665076222017</v>
      </c>
      <c r="M73" s="90"/>
    </row>
    <row r="74" spans="2:20" x14ac:dyDescent="0.3">
      <c r="B74" s="80" t="s">
        <v>170</v>
      </c>
      <c r="C74" s="80"/>
      <c r="D74" s="4">
        <v>2158536</v>
      </c>
      <c r="F74" s="106" t="s">
        <v>171</v>
      </c>
      <c r="G74" s="106"/>
      <c r="H74" s="96">
        <f>H73/12</f>
        <v>0.2014789800054895</v>
      </c>
      <c r="I74" s="96"/>
      <c r="J74" s="96">
        <f t="shared" ref="J74" si="25">J73/12</f>
        <v>9.3340569722019692E-2</v>
      </c>
      <c r="K74" s="96"/>
      <c r="L74" s="97">
        <f>L73/12</f>
        <v>89.547208968516813</v>
      </c>
      <c r="M74" s="97"/>
    </row>
    <row r="75" spans="2:20" x14ac:dyDescent="0.3">
      <c r="B75" s="80" t="s">
        <v>172</v>
      </c>
      <c r="C75" s="80"/>
      <c r="D75" s="4">
        <v>1173397</v>
      </c>
      <c r="F75" s="103"/>
      <c r="G75" s="103"/>
      <c r="L75" s="39"/>
      <c r="M75" s="39"/>
    </row>
    <row r="76" spans="2:20" x14ac:dyDescent="0.3">
      <c r="B76" s="80" t="s">
        <v>173</v>
      </c>
      <c r="C76" s="80"/>
      <c r="D76" s="4">
        <v>1288141</v>
      </c>
      <c r="F76" s="107" t="s">
        <v>174</v>
      </c>
      <c r="G76" s="107"/>
      <c r="H76" s="94">
        <f>H72+H68</f>
        <v>-21.242258578092571</v>
      </c>
      <c r="I76" s="94"/>
      <c r="J76" s="94">
        <f>H76*1000000/$D$74</f>
        <v>-9.841049015671997</v>
      </c>
      <c r="K76" s="94"/>
      <c r="L76" s="95">
        <f>J76*$S$4</f>
        <v>-9441.1087836750867</v>
      </c>
      <c r="M76" s="95"/>
    </row>
    <row r="77" spans="2:20" x14ac:dyDescent="0.3">
      <c r="B77" s="80" t="s">
        <v>175</v>
      </c>
      <c r="C77" s="80"/>
      <c r="D77" s="4">
        <v>593823</v>
      </c>
      <c r="F77" s="108" t="s">
        <v>176</v>
      </c>
      <c r="G77" s="108"/>
      <c r="H77" s="89">
        <f>PMT(D67,15,-H76)</f>
        <v>-2.187161655853862</v>
      </c>
      <c r="I77" s="89"/>
      <c r="J77" s="94">
        <f>H77*1000000/$D$74</f>
        <v>-1.0132616068732982</v>
      </c>
      <c r="K77" s="94"/>
      <c r="L77" s="90">
        <f>J77*$S$4</f>
        <v>-972.08265516996744</v>
      </c>
      <c r="M77" s="90"/>
    </row>
    <row r="78" spans="2:20" x14ac:dyDescent="0.3">
      <c r="B78" s="62"/>
      <c r="C78" s="62"/>
      <c r="D78" s="35"/>
      <c r="F78" s="109" t="s">
        <v>177</v>
      </c>
      <c r="G78" s="109"/>
      <c r="H78" s="98">
        <f>H77/12</f>
        <v>-0.18226347132115517</v>
      </c>
      <c r="I78" s="98"/>
      <c r="J78" s="98">
        <f>J77/12</f>
        <v>-8.4438467239441525E-2</v>
      </c>
      <c r="K78" s="98"/>
      <c r="L78" s="99">
        <f t="shared" ref="L78" si="26">L77/12</f>
        <v>-81.006887930830615</v>
      </c>
      <c r="M78" s="99"/>
    </row>
    <row r="79" spans="2:20" x14ac:dyDescent="0.3">
      <c r="B79" s="86" t="s">
        <v>178</v>
      </c>
      <c r="C79" s="86"/>
      <c r="D79" s="4">
        <f>SUM(D73:D77)</f>
        <v>7741011</v>
      </c>
    </row>
  </sheetData>
  <mergeCells count="131">
    <mergeCell ref="B79:C79"/>
    <mergeCell ref="B78:C78"/>
    <mergeCell ref="F78:G78"/>
    <mergeCell ref="H78:I78"/>
    <mergeCell ref="J78:K78"/>
    <mergeCell ref="L78:M78"/>
    <mergeCell ref="J76:K76"/>
    <mergeCell ref="L76:M76"/>
    <mergeCell ref="B77:C77"/>
    <mergeCell ref="F77:G77"/>
    <mergeCell ref="H77:I77"/>
    <mergeCell ref="J77:K77"/>
    <mergeCell ref="L77:M77"/>
    <mergeCell ref="B75:C75"/>
    <mergeCell ref="F75:G75"/>
    <mergeCell ref="B76:C76"/>
    <mergeCell ref="F76:G76"/>
    <mergeCell ref="H76:I76"/>
    <mergeCell ref="B74:C74"/>
    <mergeCell ref="F74:G74"/>
    <mergeCell ref="H74:I74"/>
    <mergeCell ref="J74:K74"/>
    <mergeCell ref="L74:M74"/>
    <mergeCell ref="J72:K72"/>
    <mergeCell ref="L72:M72"/>
    <mergeCell ref="B73:C73"/>
    <mergeCell ref="F73:G73"/>
    <mergeCell ref="H73:I73"/>
    <mergeCell ref="J73:K73"/>
    <mergeCell ref="L73:M73"/>
    <mergeCell ref="B71:C71"/>
    <mergeCell ref="F71:G71"/>
    <mergeCell ref="B72:C72"/>
    <mergeCell ref="F72:G72"/>
    <mergeCell ref="H72:I72"/>
    <mergeCell ref="B70:C70"/>
    <mergeCell ref="F70:G70"/>
    <mergeCell ref="H70:I70"/>
    <mergeCell ref="J70:K70"/>
    <mergeCell ref="L70:M70"/>
    <mergeCell ref="B69:C69"/>
    <mergeCell ref="F69:G69"/>
    <mergeCell ref="H69:I69"/>
    <mergeCell ref="J69:K69"/>
    <mergeCell ref="L69:M69"/>
    <mergeCell ref="L67:M67"/>
    <mergeCell ref="B68:C68"/>
    <mergeCell ref="F68:G68"/>
    <mergeCell ref="H68:I68"/>
    <mergeCell ref="J68:K68"/>
    <mergeCell ref="L68:M68"/>
    <mergeCell ref="B63:E63"/>
    <mergeCell ref="B64:E64"/>
    <mergeCell ref="B67:C67"/>
    <mergeCell ref="H67:I67"/>
    <mergeCell ref="J67:K67"/>
    <mergeCell ref="L4:P4"/>
    <mergeCell ref="B2:E2"/>
    <mergeCell ref="G2:K2"/>
    <mergeCell ref="B4:C4"/>
    <mergeCell ref="D4:E4"/>
    <mergeCell ref="G4:I4"/>
    <mergeCell ref="B5:C5"/>
    <mergeCell ref="D5:E5"/>
    <mergeCell ref="G5:I5"/>
    <mergeCell ref="L5:P5"/>
    <mergeCell ref="B6:C6"/>
    <mergeCell ref="D6:E6"/>
    <mergeCell ref="G6:I6"/>
    <mergeCell ref="L6:P6"/>
    <mergeCell ref="B14:U14"/>
    <mergeCell ref="B7:C7"/>
    <mergeCell ref="D7:E7"/>
    <mergeCell ref="G7:I7"/>
    <mergeCell ref="L7:P7"/>
    <mergeCell ref="B8:C8"/>
    <mergeCell ref="D8:E8"/>
    <mergeCell ref="G8:I8"/>
    <mergeCell ref="L8:P8"/>
    <mergeCell ref="B9:C9"/>
    <mergeCell ref="D9:E9"/>
    <mergeCell ref="G9:I9"/>
    <mergeCell ref="L9:P9"/>
    <mergeCell ref="B12:D13"/>
    <mergeCell ref="B15:B19"/>
    <mergeCell ref="C15:E15"/>
    <mergeCell ref="C16:U16"/>
    <mergeCell ref="C17:E17"/>
    <mergeCell ref="C18:E18"/>
    <mergeCell ref="C19:E19"/>
    <mergeCell ref="C20:U20"/>
    <mergeCell ref="B21:B25"/>
    <mergeCell ref="C21:E21"/>
    <mergeCell ref="C22:E22"/>
    <mergeCell ref="C23:E23"/>
    <mergeCell ref="C24:E24"/>
    <mergeCell ref="C25:E25"/>
    <mergeCell ref="B26:U26"/>
    <mergeCell ref="B27:D28"/>
    <mergeCell ref="B30:B36"/>
    <mergeCell ref="C30:E30"/>
    <mergeCell ref="C31:E31"/>
    <mergeCell ref="C32:E32"/>
    <mergeCell ref="C33:E33"/>
    <mergeCell ref="C34:E34"/>
    <mergeCell ref="C35:E35"/>
    <mergeCell ref="C36:E36"/>
    <mergeCell ref="B37:U37"/>
    <mergeCell ref="B38:B43"/>
    <mergeCell ref="C38:E38"/>
    <mergeCell ref="C39:E39"/>
    <mergeCell ref="C40:E40"/>
    <mergeCell ref="C41:E41"/>
    <mergeCell ref="C42:E42"/>
    <mergeCell ref="C43:E43"/>
    <mergeCell ref="B58:E58"/>
    <mergeCell ref="B60:E60"/>
    <mergeCell ref="B61:E61"/>
    <mergeCell ref="B44:U44"/>
    <mergeCell ref="B47:B5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B45:E45"/>
  </mergeCells>
  <conditionalFormatting sqref="F30:U36">
    <cfRule type="cellIs" dxfId="31" priority="9" operator="lessThan">
      <formula>0</formula>
    </cfRule>
  </conditionalFormatting>
  <conditionalFormatting sqref="F38:U43">
    <cfRule type="cellIs" dxfId="30" priority="7" operator="lessThan">
      <formula>0</formula>
    </cfRule>
  </conditionalFormatting>
  <conditionalFormatting sqref="F45:U45">
    <cfRule type="cellIs" dxfId="29" priority="5" operator="lessThan">
      <formula>0</formula>
    </cfRule>
  </conditionalFormatting>
  <conditionalFormatting sqref="F47:U56">
    <cfRule type="cellIs" dxfId="28" priority="8" operator="lessThan">
      <formula>0</formula>
    </cfRule>
  </conditionalFormatting>
  <conditionalFormatting sqref="F58:U61">
    <cfRule type="cellIs" dxfId="27" priority="3" operator="lessThan">
      <formula>0</formula>
    </cfRule>
  </conditionalFormatting>
  <conditionalFormatting sqref="F63:U64">
    <cfRule type="cellIs" dxfId="26" priority="2" operator="lessThan">
      <formula>0</formula>
    </cfRule>
  </conditionalFormatting>
  <conditionalFormatting sqref="H68:M69 H70 J70 H72:M73 H74 J74 H76:M78">
    <cfRule type="cellIs" dxfId="25" priority="4" operator="lessThan">
      <formula>0</formula>
    </cfRule>
  </conditionalFormatting>
  <conditionalFormatting sqref="L70 L74">
    <cfRule type="cellIs" dxfId="24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55AA-1ED8-4810-8142-D250EDA9A0E7}">
  <sheetPr>
    <tabColor theme="9" tint="-0.499984740745262"/>
  </sheetPr>
  <dimension ref="A1:Q26"/>
  <sheetViews>
    <sheetView zoomScale="80" zoomScaleNormal="80" workbookViewId="0">
      <selection activeCell="G11" sqref="G11"/>
    </sheetView>
  </sheetViews>
  <sheetFormatPr baseColWidth="10" defaultRowHeight="14.4" x14ac:dyDescent="0.3"/>
  <cols>
    <col min="1" max="1" width="42.77734375" bestFit="1" customWidth="1"/>
    <col min="2" max="11" width="12" bestFit="1" customWidth="1"/>
    <col min="12" max="17" width="12.88671875" bestFit="1" customWidth="1"/>
  </cols>
  <sheetData>
    <row r="1" spans="1:17" x14ac:dyDescent="0.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</row>
    <row r="2" spans="1:17" x14ac:dyDescent="0.3">
      <c r="A2" t="s">
        <v>113</v>
      </c>
      <c r="B2">
        <v>7398893.3837516867</v>
      </c>
      <c r="C2">
        <v>7622339.9639409883</v>
      </c>
      <c r="D2">
        <v>7852534.6308520073</v>
      </c>
      <c r="E2">
        <v>8089681.1767037362</v>
      </c>
      <c r="F2">
        <v>8333989.5482401904</v>
      </c>
      <c r="G2">
        <v>8585676.0325970426</v>
      </c>
      <c r="H2">
        <v>8844963.4487814736</v>
      </c>
      <c r="I2">
        <v>9112081.344934674</v>
      </c>
      <c r="J2">
        <v>9387266.2015517019</v>
      </c>
      <c r="K2">
        <v>9670761.6408385634</v>
      </c>
      <c r="L2">
        <v>9962818.6423918866</v>
      </c>
      <c r="M2">
        <v>10263695.765392121</v>
      </c>
      <c r="N2">
        <v>10573659.377506969</v>
      </c>
      <c r="O2">
        <v>10892983.890707679</v>
      </c>
      <c r="P2">
        <v>11221952.00420705</v>
      </c>
      <c r="Q2">
        <v>11560854.9547341</v>
      </c>
    </row>
    <row r="3" spans="1:17" x14ac:dyDescent="0.3">
      <c r="A3" t="s">
        <v>102</v>
      </c>
      <c r="B3">
        <v>3119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 x14ac:dyDescent="0.3">
      <c r="A4" t="s">
        <v>103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">
      <c r="A5" t="s">
        <v>104</v>
      </c>
      <c r="B5">
        <v>32811</v>
      </c>
      <c r="C5">
        <v>15</v>
      </c>
      <c r="D5">
        <v>15</v>
      </c>
      <c r="E5">
        <v>15</v>
      </c>
      <c r="F5">
        <v>15</v>
      </c>
      <c r="G5">
        <v>15</v>
      </c>
      <c r="H5">
        <v>15</v>
      </c>
      <c r="I5">
        <v>15</v>
      </c>
      <c r="J5">
        <v>15</v>
      </c>
      <c r="K5">
        <v>15</v>
      </c>
      <c r="L5">
        <v>15</v>
      </c>
      <c r="M5">
        <v>15</v>
      </c>
      <c r="N5">
        <v>15</v>
      </c>
      <c r="O5">
        <v>15</v>
      </c>
      <c r="P5">
        <v>15</v>
      </c>
      <c r="Q5">
        <v>15</v>
      </c>
    </row>
    <row r="6" spans="1:17" x14ac:dyDescent="0.3">
      <c r="A6" t="s">
        <v>133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134</v>
      </c>
      <c r="B7">
        <v>154.34666666666669</v>
      </c>
      <c r="C7">
        <v>154.34666666666669</v>
      </c>
      <c r="D7">
        <v>154.34666666666669</v>
      </c>
      <c r="E7">
        <v>154.34666666666669</v>
      </c>
      <c r="F7">
        <v>154.34666666666669</v>
      </c>
      <c r="G7">
        <v>154.34666666666669</v>
      </c>
      <c r="H7">
        <v>154.34666666666669</v>
      </c>
      <c r="I7">
        <v>154.34666666666669</v>
      </c>
      <c r="J7">
        <v>154.34666666666669</v>
      </c>
      <c r="K7">
        <v>154.34666666666669</v>
      </c>
      <c r="L7">
        <v>154.34666666666669</v>
      </c>
      <c r="M7">
        <v>154.34666666666669</v>
      </c>
      <c r="N7">
        <v>154.34666666666669</v>
      </c>
      <c r="O7">
        <v>154.34666666666669</v>
      </c>
      <c r="P7">
        <v>154.34666666666669</v>
      </c>
      <c r="Q7">
        <v>154.34666666666669</v>
      </c>
    </row>
    <row r="8" spans="1:17" x14ac:dyDescent="0.3">
      <c r="A8" t="s">
        <v>135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">
      <c r="A9" t="s">
        <v>136</v>
      </c>
      <c r="B9">
        <v>779.93200000000002</v>
      </c>
      <c r="C9">
        <v>779.93200000000013</v>
      </c>
      <c r="D9">
        <v>779.93200000000013</v>
      </c>
      <c r="E9">
        <v>779.93200000000013</v>
      </c>
      <c r="F9">
        <v>779.93200000000013</v>
      </c>
      <c r="G9">
        <v>779.93200000000013</v>
      </c>
      <c r="H9">
        <v>779.93200000000013</v>
      </c>
      <c r="I9">
        <v>779.93200000000013</v>
      </c>
      <c r="J9">
        <v>779.93200000000013</v>
      </c>
      <c r="K9">
        <v>779.93200000000013</v>
      </c>
      <c r="L9">
        <v>779.93200000000013</v>
      </c>
      <c r="M9">
        <v>779.93200000000013</v>
      </c>
      <c r="N9">
        <v>779.93200000000013</v>
      </c>
      <c r="O9">
        <v>779.93200000000013</v>
      </c>
      <c r="P9">
        <v>779.93200000000013</v>
      </c>
      <c r="Q9">
        <v>779.93200000000013</v>
      </c>
    </row>
    <row r="10" spans="1:17" x14ac:dyDescent="0.3">
      <c r="A10" t="s">
        <v>137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">
      <c r="A11" t="s">
        <v>82</v>
      </c>
      <c r="B11">
        <v>659351.42999999993</v>
      </c>
      <c r="C11">
        <v>293.61599999999999</v>
      </c>
      <c r="D11">
        <v>293.61599999999999</v>
      </c>
      <c r="E11">
        <v>293.61599999999999</v>
      </c>
      <c r="F11">
        <v>293.61599999999999</v>
      </c>
      <c r="G11">
        <v>293.61599999999999</v>
      </c>
      <c r="H11">
        <v>293.61599999999999</v>
      </c>
      <c r="I11">
        <v>293.61599999999999</v>
      </c>
      <c r="J11">
        <v>293.61599999999999</v>
      </c>
      <c r="K11">
        <v>293.61599999999999</v>
      </c>
      <c r="L11">
        <v>293.61599999999999</v>
      </c>
      <c r="M11">
        <v>293.61599999999999</v>
      </c>
      <c r="N11">
        <v>293.61599999999999</v>
      </c>
      <c r="O11">
        <v>293.61599999999999</v>
      </c>
      <c r="P11">
        <v>293.61599999999999</v>
      </c>
      <c r="Q11">
        <v>293.61599999999999</v>
      </c>
    </row>
    <row r="12" spans="1:17" x14ac:dyDescent="0.3">
      <c r="A12" t="s">
        <v>141</v>
      </c>
      <c r="B12">
        <v>49545.578947368427</v>
      </c>
      <c r="C12">
        <v>22.06315789473684</v>
      </c>
      <c r="D12">
        <v>22.06315789473684</v>
      </c>
      <c r="E12">
        <v>22.06315789473684</v>
      </c>
      <c r="F12">
        <v>22.06315789473684</v>
      </c>
      <c r="G12">
        <v>22.06315789473684</v>
      </c>
      <c r="H12">
        <v>22.06315789473684</v>
      </c>
      <c r="I12">
        <v>22.06315789473684</v>
      </c>
      <c r="J12">
        <v>22.06315789473684</v>
      </c>
      <c r="K12">
        <v>22.06315789473684</v>
      </c>
      <c r="L12">
        <v>22.06315789473684</v>
      </c>
      <c r="M12">
        <v>22.06315789473684</v>
      </c>
      <c r="N12">
        <v>22.06315789473684</v>
      </c>
      <c r="O12">
        <v>22.06315789473684</v>
      </c>
      <c r="P12">
        <v>22.06315789473684</v>
      </c>
      <c r="Q12">
        <v>22.06315789473684</v>
      </c>
    </row>
    <row r="13" spans="1:17" x14ac:dyDescent="0.3">
      <c r="A13" t="s">
        <v>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">
      <c r="A14" t="s">
        <v>84</v>
      </c>
      <c r="B14">
        <v>604026.6844563043</v>
      </c>
      <c r="C14">
        <v>604026.6844563043</v>
      </c>
      <c r="D14">
        <v>604026.6844563043</v>
      </c>
      <c r="E14">
        <v>604026.6844563043</v>
      </c>
      <c r="F14">
        <v>604026.6844563043</v>
      </c>
      <c r="G14">
        <v>604026.6844563043</v>
      </c>
      <c r="H14">
        <v>604026.6844563043</v>
      </c>
      <c r="I14">
        <v>604026.6844563043</v>
      </c>
      <c r="J14">
        <v>604026.6844563043</v>
      </c>
      <c r="K14">
        <v>604026.6844563043</v>
      </c>
      <c r="L14">
        <v>604026.6844563043</v>
      </c>
      <c r="M14">
        <v>604026.6844563043</v>
      </c>
      <c r="N14">
        <v>604026.6844563043</v>
      </c>
      <c r="O14">
        <v>604026.6844563043</v>
      </c>
      <c r="P14">
        <v>604026.6844563043</v>
      </c>
      <c r="Q14">
        <v>604026.6844563043</v>
      </c>
    </row>
    <row r="15" spans="1:17" x14ac:dyDescent="0.3">
      <c r="A15" t="s">
        <v>85</v>
      </c>
      <c r="B15">
        <v>286912.67511674447</v>
      </c>
      <c r="C15">
        <v>287040.44029352907</v>
      </c>
      <c r="D15">
        <v>287168.20547031361</v>
      </c>
      <c r="E15">
        <v>287295.97064709809</v>
      </c>
      <c r="F15">
        <v>287423.73582388263</v>
      </c>
      <c r="G15">
        <v>287551.50100066711</v>
      </c>
      <c r="H15">
        <v>287679.26617745159</v>
      </c>
      <c r="I15">
        <v>287807.03135423618</v>
      </c>
      <c r="J15">
        <v>287934.79653102072</v>
      </c>
      <c r="K15">
        <v>288062.5617078052</v>
      </c>
      <c r="L15">
        <v>288190.32688458968</v>
      </c>
      <c r="M15">
        <v>288318.09206137422</v>
      </c>
      <c r="N15">
        <v>288445.85723815882</v>
      </c>
      <c r="O15">
        <v>288573.6224149433</v>
      </c>
      <c r="P15">
        <v>288701.38759172778</v>
      </c>
      <c r="Q15">
        <v>288829.15276851237</v>
      </c>
    </row>
    <row r="16" spans="1:17" x14ac:dyDescent="0.3">
      <c r="A16" t="s">
        <v>142</v>
      </c>
      <c r="B16">
        <v>40720.981842105262</v>
      </c>
      <c r="C16">
        <v>40739.115315789473</v>
      </c>
      <c r="D16">
        <v>40757.248789473677</v>
      </c>
      <c r="E16">
        <v>40775.382263157902</v>
      </c>
      <c r="F16">
        <v>40793.515736842113</v>
      </c>
      <c r="G16">
        <v>40811.649210526317</v>
      </c>
      <c r="H16">
        <v>40829.782684210528</v>
      </c>
      <c r="I16">
        <v>40847.916157894739</v>
      </c>
      <c r="J16">
        <v>40866.04963157895</v>
      </c>
      <c r="K16">
        <v>40884.183105263161</v>
      </c>
      <c r="L16">
        <v>40902.316578947371</v>
      </c>
      <c r="M16">
        <v>40920.450052631582</v>
      </c>
      <c r="N16">
        <v>40938.583526315793</v>
      </c>
      <c r="O16">
        <v>40956.716999999997</v>
      </c>
      <c r="P16">
        <v>40974.850473684222</v>
      </c>
      <c r="Q16">
        <v>40992.983947368433</v>
      </c>
    </row>
    <row r="17" spans="1:17" x14ac:dyDescent="0.3">
      <c r="A17" t="s">
        <v>86</v>
      </c>
      <c r="B17">
        <v>44625.06</v>
      </c>
      <c r="C17">
        <v>44644.932000000001</v>
      </c>
      <c r="D17">
        <v>44664.803999999996</v>
      </c>
      <c r="E17">
        <v>44684.676000000007</v>
      </c>
      <c r="F17">
        <v>44704.548000000003</v>
      </c>
      <c r="G17">
        <v>44724.420000000013</v>
      </c>
      <c r="H17">
        <v>44744.292000000001</v>
      </c>
      <c r="I17">
        <v>44764.163999999997</v>
      </c>
      <c r="J17">
        <v>44784.036000000007</v>
      </c>
      <c r="K17">
        <v>44803.908000000003</v>
      </c>
      <c r="L17">
        <v>44823.78</v>
      </c>
      <c r="M17">
        <v>44843.652000000002</v>
      </c>
      <c r="N17">
        <v>44863.523999999998</v>
      </c>
      <c r="O17">
        <v>44883.396000000008</v>
      </c>
      <c r="P17">
        <v>44903.268000000011</v>
      </c>
      <c r="Q17">
        <v>44923.140000000007</v>
      </c>
    </row>
    <row r="18" spans="1:17" x14ac:dyDescent="0.3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">
      <c r="A20" t="s">
        <v>89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t="s">
        <v>90</v>
      </c>
      <c r="B21">
        <v>756029.52716798778</v>
      </c>
      <c r="C21">
        <v>756029.52716798778</v>
      </c>
      <c r="D21">
        <v>756029.52716798778</v>
      </c>
      <c r="E21">
        <v>756029.52716798778</v>
      </c>
      <c r="F21">
        <v>756029.52716798778</v>
      </c>
      <c r="G21">
        <v>756029.52716798778</v>
      </c>
      <c r="H21">
        <v>756029.52716798778</v>
      </c>
      <c r="I21">
        <v>756029.52716798778</v>
      </c>
      <c r="J21">
        <v>756029.52716798778</v>
      </c>
      <c r="K21">
        <v>756029.52716798778</v>
      </c>
      <c r="L21">
        <v>756029.52716798778</v>
      </c>
      <c r="M21">
        <v>756029.52716798778</v>
      </c>
      <c r="N21">
        <v>756029.52716798778</v>
      </c>
      <c r="O21">
        <v>756029.52716798778</v>
      </c>
      <c r="P21">
        <v>756029.52716798778</v>
      </c>
      <c r="Q21">
        <v>756029.52716798778</v>
      </c>
    </row>
    <row r="22" spans="1:17" x14ac:dyDescent="0.3">
      <c r="A22" t="s">
        <v>139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91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">
      <c r="A24" t="s">
        <v>92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">
      <c r="A25" t="s">
        <v>93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">
      <c r="A26" t="s">
        <v>94</v>
      </c>
      <c r="B26">
        <v>2218209.898863636</v>
      </c>
      <c r="C26">
        <v>2219843.647954545</v>
      </c>
      <c r="D26">
        <v>2221522.855681818</v>
      </c>
      <c r="E26">
        <v>2246006.1288636359</v>
      </c>
      <c r="F26">
        <v>2251273.584318182</v>
      </c>
      <c r="G26">
        <v>2254702.0920454538</v>
      </c>
      <c r="H26">
        <v>2257170.5227272729</v>
      </c>
      <c r="I26">
        <v>2259579.4629545459</v>
      </c>
      <c r="J26">
        <v>2278256.0356818191</v>
      </c>
      <c r="K26">
        <v>2283082.3240909092</v>
      </c>
      <c r="L26">
        <v>2286904.1793181822</v>
      </c>
      <c r="M26">
        <v>2290735.2665909091</v>
      </c>
      <c r="N26">
        <v>2295278.1345454552</v>
      </c>
      <c r="O26">
        <v>2302036.3593181819</v>
      </c>
      <c r="P26">
        <v>2308814.4847727269</v>
      </c>
      <c r="Q26">
        <v>2315612.5554545461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8FC0B-61B7-4FDA-BCA5-07F9080E5DD0}">
  <sheetPr>
    <tabColor theme="9" tint="-0.499984740745262"/>
  </sheetPr>
  <dimension ref="B2:Z79"/>
  <sheetViews>
    <sheetView topLeftCell="F35" zoomScale="80" zoomScaleNormal="80" workbookViewId="0">
      <selection activeCell="V40" sqref="V40"/>
    </sheetView>
  </sheetViews>
  <sheetFormatPr baseColWidth="10" defaultRowHeight="14.4" x14ac:dyDescent="0.3"/>
  <cols>
    <col min="1" max="1" width="5.33203125" customWidth="1"/>
    <col min="2" max="2" width="17.33203125" customWidth="1"/>
    <col min="3" max="3" width="14" bestFit="1" customWidth="1"/>
    <col min="4" max="4" width="12.5546875" bestFit="1" customWidth="1"/>
    <col min="5" max="5" width="18.109375" customWidth="1"/>
    <col min="6" max="6" width="19.109375" bestFit="1" customWidth="1"/>
    <col min="7" max="11" width="12" bestFit="1" customWidth="1"/>
    <col min="12" max="21" width="12.5546875" bestFit="1" customWidth="1"/>
  </cols>
  <sheetData>
    <row r="2" spans="2:21" ht="18.600000000000001" thickBot="1" x14ac:dyDescent="0.4">
      <c r="B2" s="81" t="s">
        <v>50</v>
      </c>
      <c r="C2" s="81"/>
      <c r="D2" s="81"/>
      <c r="E2" s="81"/>
      <c r="G2" s="81" t="s">
        <v>41</v>
      </c>
      <c r="H2" s="81"/>
      <c r="I2" s="81"/>
      <c r="J2" s="81"/>
      <c r="K2" s="81"/>
      <c r="M2" s="28"/>
      <c r="N2" s="28"/>
      <c r="O2" s="28"/>
      <c r="P2" s="28"/>
      <c r="Q2" s="28"/>
    </row>
    <row r="3" spans="2:21" ht="15" customHeight="1" x14ac:dyDescent="0.35">
      <c r="G3" s="5"/>
      <c r="H3" s="5"/>
      <c r="I3" s="5"/>
      <c r="J3" s="5"/>
    </row>
    <row r="4" spans="2:21" x14ac:dyDescent="0.3">
      <c r="B4" s="80" t="s">
        <v>51</v>
      </c>
      <c r="C4" s="80"/>
      <c r="D4" s="80" t="s">
        <v>40</v>
      </c>
      <c r="E4" s="80"/>
      <c r="G4" s="80" t="s">
        <v>17</v>
      </c>
      <c r="H4" s="80"/>
      <c r="I4" s="80"/>
      <c r="J4" s="18">
        <v>0.06</v>
      </c>
      <c r="K4" s="16" t="s">
        <v>29</v>
      </c>
      <c r="L4" s="68"/>
      <c r="M4" s="68"/>
      <c r="N4" s="68"/>
      <c r="O4" s="68"/>
      <c r="P4" s="68"/>
      <c r="R4" s="26" t="s">
        <v>42</v>
      </c>
      <c r="S4" s="27">
        <v>959.36</v>
      </c>
      <c r="T4" s="20" t="s">
        <v>44</v>
      </c>
      <c r="U4" s="29">
        <v>45946</v>
      </c>
    </row>
    <row r="5" spans="2:21" x14ac:dyDescent="0.3">
      <c r="B5" s="68" t="s">
        <v>52</v>
      </c>
      <c r="C5" s="68"/>
      <c r="D5" s="68" t="s">
        <v>150</v>
      </c>
      <c r="E5" s="68"/>
      <c r="G5" s="80" t="s">
        <v>46</v>
      </c>
      <c r="H5" s="80"/>
      <c r="I5" s="80"/>
      <c r="J5" s="19">
        <v>15</v>
      </c>
      <c r="K5" s="20" t="s">
        <v>47</v>
      </c>
      <c r="L5" s="43"/>
      <c r="M5" s="43"/>
      <c r="N5" s="43"/>
      <c r="O5" s="43"/>
      <c r="P5" s="43"/>
      <c r="R5" s="26" t="s">
        <v>43</v>
      </c>
      <c r="S5" s="27">
        <v>39521.26</v>
      </c>
      <c r="T5" s="20" t="s">
        <v>45</v>
      </c>
      <c r="U5" s="29">
        <v>45946</v>
      </c>
    </row>
    <row r="6" spans="2:21" x14ac:dyDescent="0.3">
      <c r="B6" s="68" t="s">
        <v>53</v>
      </c>
      <c r="C6" s="68"/>
      <c r="D6" s="68" t="s">
        <v>150</v>
      </c>
      <c r="E6" s="68"/>
      <c r="G6" s="86" t="s">
        <v>106</v>
      </c>
      <c r="H6" s="86"/>
      <c r="I6" s="86"/>
      <c r="J6" s="20">
        <v>3</v>
      </c>
      <c r="K6" s="20" t="s">
        <v>47</v>
      </c>
      <c r="L6" s="43"/>
      <c r="M6" s="43"/>
      <c r="N6" s="43"/>
      <c r="O6" s="43"/>
      <c r="P6" s="43"/>
    </row>
    <row r="7" spans="2:21" x14ac:dyDescent="0.3">
      <c r="B7" s="68" t="s">
        <v>54</v>
      </c>
      <c r="C7" s="68"/>
      <c r="D7" s="68" t="s">
        <v>150</v>
      </c>
      <c r="E7" s="68"/>
      <c r="G7" s="86" t="s">
        <v>128</v>
      </c>
      <c r="H7" s="86"/>
      <c r="I7" s="86"/>
      <c r="J7" s="21">
        <f>(SUMIF($F$12:$U$12,"&lt;="&amp;$J$6,$F$17:$U$17)) / ($J$6)</f>
        <v>1040.6666666666667</v>
      </c>
      <c r="K7" s="20" t="s">
        <v>107</v>
      </c>
      <c r="L7" s="43" t="str">
        <f>"Razonable para chile en torno a 1M y 1,5M por año."</f>
        <v>Razonable para chile en torno a 1M y 1,5M por año.</v>
      </c>
      <c r="M7" s="43"/>
      <c r="N7" s="43"/>
      <c r="O7" s="43"/>
      <c r="P7" s="43"/>
    </row>
    <row r="8" spans="2:21" x14ac:dyDescent="0.3">
      <c r="B8" s="68" t="s">
        <v>55</v>
      </c>
      <c r="C8" s="68"/>
      <c r="D8" s="68" t="s">
        <v>150</v>
      </c>
      <c r="E8" s="68"/>
      <c r="G8" s="86" t="s">
        <v>129</v>
      </c>
      <c r="H8" s="86"/>
      <c r="I8" s="86"/>
      <c r="J8" s="21">
        <f>(SUMIF($F$12:$U$12,"&lt;="&amp;$J$6,$F$18:$U$18)) / ($J$6)</f>
        <v>0</v>
      </c>
      <c r="K8" s="20" t="s">
        <v>107</v>
      </c>
      <c r="L8" s="43" t="str">
        <f t="shared" ref="L8:L9" si="0">"Razonable para chile en torno a 1M y 1,5M por año."</f>
        <v>Razonable para chile en torno a 1M y 1,5M por año.</v>
      </c>
      <c r="M8" s="43"/>
      <c r="N8" s="43"/>
      <c r="O8" s="43"/>
      <c r="P8" s="43"/>
    </row>
    <row r="9" spans="2:21" x14ac:dyDescent="0.3">
      <c r="B9" s="68" t="s">
        <v>56</v>
      </c>
      <c r="C9" s="68"/>
      <c r="D9" s="68" t="s">
        <v>150</v>
      </c>
      <c r="E9" s="68"/>
      <c r="G9" s="86" t="s">
        <v>130</v>
      </c>
      <c r="H9" s="86"/>
      <c r="I9" s="86"/>
      <c r="J9" s="21">
        <f>(SUMIF($F$12:$U$12,"&lt;="&amp;$J$6,$F$19:$U$19)) / ($J$6)</f>
        <v>10952</v>
      </c>
      <c r="K9" s="20" t="s">
        <v>107</v>
      </c>
      <c r="L9" s="43" t="str">
        <f t="shared" si="0"/>
        <v>Razonable para chile en torno a 1M y 1,5M por año.</v>
      </c>
      <c r="M9" s="43"/>
      <c r="N9" s="43"/>
      <c r="O9" s="43"/>
      <c r="P9" s="43"/>
    </row>
    <row r="12" spans="2:21" x14ac:dyDescent="0.3">
      <c r="B12" s="83" t="s">
        <v>121</v>
      </c>
      <c r="C12" s="83"/>
      <c r="D12" s="83"/>
      <c r="E12" s="22" t="s">
        <v>48</v>
      </c>
      <c r="F12" s="24">
        <v>0</v>
      </c>
      <c r="G12" s="24">
        <v>1</v>
      </c>
      <c r="H12" s="24">
        <v>2</v>
      </c>
      <c r="I12" s="24">
        <v>3</v>
      </c>
      <c r="J12" s="24">
        <v>4</v>
      </c>
      <c r="K12" s="24">
        <v>5</v>
      </c>
      <c r="L12" s="24">
        <v>6</v>
      </c>
      <c r="M12" s="24">
        <v>7</v>
      </c>
      <c r="N12" s="24">
        <v>8</v>
      </c>
      <c r="O12" s="24">
        <v>9</v>
      </c>
      <c r="P12" s="24">
        <v>10</v>
      </c>
      <c r="Q12" s="24">
        <v>11</v>
      </c>
      <c r="R12" s="24">
        <v>12</v>
      </c>
      <c r="S12" s="24">
        <v>13</v>
      </c>
      <c r="T12" s="24">
        <v>14</v>
      </c>
      <c r="U12" s="24">
        <v>15</v>
      </c>
    </row>
    <row r="13" spans="2:21" x14ac:dyDescent="0.3">
      <c r="B13" s="84"/>
      <c r="C13" s="84"/>
      <c r="D13" s="84"/>
      <c r="E13" s="23" t="s">
        <v>49</v>
      </c>
      <c r="F13" s="25">
        <v>2025</v>
      </c>
      <c r="G13" s="25">
        <v>2026</v>
      </c>
      <c r="H13" s="25">
        <v>2027</v>
      </c>
      <c r="I13" s="25">
        <v>2028</v>
      </c>
      <c r="J13" s="25">
        <v>2029</v>
      </c>
      <c r="K13" s="25">
        <v>2030</v>
      </c>
      <c r="L13" s="25">
        <v>2031</v>
      </c>
      <c r="M13" s="25">
        <v>2032</v>
      </c>
      <c r="N13" s="25">
        <v>2033</v>
      </c>
      <c r="O13" s="25">
        <v>2034</v>
      </c>
      <c r="P13" s="25">
        <v>2035</v>
      </c>
      <c r="Q13" s="25">
        <v>2036</v>
      </c>
      <c r="R13" s="25">
        <v>2037</v>
      </c>
      <c r="S13" s="25">
        <v>2038</v>
      </c>
      <c r="T13" s="25">
        <v>2039</v>
      </c>
      <c r="U13" s="25">
        <v>2040</v>
      </c>
    </row>
    <row r="14" spans="2:21" x14ac:dyDescent="0.3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</row>
    <row r="15" spans="2:21" x14ac:dyDescent="0.3">
      <c r="B15" s="65" t="s">
        <v>122</v>
      </c>
      <c r="C15" s="69" t="s">
        <v>138</v>
      </c>
      <c r="D15" s="70"/>
      <c r="E15" s="70"/>
      <c r="F15" s="4">
        <f>CB_SMI_Mixto_BAJA!B2/1000</f>
        <v>7398.893383751687</v>
      </c>
      <c r="G15" s="4">
        <f>CB_SMI_Mixto_BAJA!C2/1000</f>
        <v>7622.3399639409881</v>
      </c>
      <c r="H15" s="4">
        <f>CB_SMI_Mixto_BAJA!D2/1000</f>
        <v>7852.5346308520075</v>
      </c>
      <c r="I15" s="4">
        <f>CB_SMI_Mixto_BAJA!E2/1000</f>
        <v>8089.6811767037361</v>
      </c>
      <c r="J15" s="4">
        <f>CB_SMI_Mixto_BAJA!F2/1000</f>
        <v>8333.9895482401898</v>
      </c>
      <c r="K15" s="4">
        <f>CB_SMI_Mixto_BAJA!G2/1000</f>
        <v>8585.6760325970426</v>
      </c>
      <c r="L15" s="4">
        <f>CB_SMI_Mixto_BAJA!H2/1000</f>
        <v>8844.9634487814728</v>
      </c>
      <c r="M15" s="4">
        <f>CB_SMI_Mixto_BAJA!I2/1000</f>
        <v>9112.0813449346733</v>
      </c>
      <c r="N15" s="4">
        <f>CB_SMI_Mixto_BAJA!J2/1000</f>
        <v>9387.2662015517017</v>
      </c>
      <c r="O15" s="4">
        <f>CB_SMI_Mixto_BAJA!K2/1000</f>
        <v>9670.7616408385638</v>
      </c>
      <c r="P15" s="4">
        <f>CB_SMI_Mixto_BAJA!L2/1000</f>
        <v>9962.8186423918869</v>
      </c>
      <c r="Q15" s="4">
        <f>CB_SMI_Mixto_BAJA!M2/1000</f>
        <v>10263.695765392122</v>
      </c>
      <c r="R15" s="4">
        <f>CB_SMI_Mixto_BAJA!N2/1000</f>
        <v>10573.659377506969</v>
      </c>
      <c r="S15" s="4">
        <f>CB_SMI_Mixto_BAJA!O2/1000</f>
        <v>10892.983890707679</v>
      </c>
      <c r="T15" s="4">
        <f>CB_SMI_Mixto_BAJA!P2/1000</f>
        <v>11221.952004207051</v>
      </c>
      <c r="U15" s="4">
        <f>CB_SMI_Mixto_BAJA!Q2/1000</f>
        <v>11560.854954734101</v>
      </c>
    </row>
    <row r="16" spans="2:21" x14ac:dyDescent="0.3">
      <c r="B16" s="66"/>
      <c r="C16" s="71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</row>
    <row r="17" spans="2:26" x14ac:dyDescent="0.3">
      <c r="B17" s="66"/>
      <c r="C17" s="61" t="s">
        <v>115</v>
      </c>
      <c r="D17" s="62"/>
      <c r="E17" s="62"/>
      <c r="F17" s="12">
        <f>CB_SMI_Mixto_BAJA!B3</f>
        <v>3119</v>
      </c>
      <c r="G17" s="12">
        <f>CB_SMI_Mixto_BAJA!C3</f>
        <v>1</v>
      </c>
      <c r="H17" s="12">
        <f>CB_SMI_Mixto_BAJA!D3</f>
        <v>1</v>
      </c>
      <c r="I17" s="12">
        <f>CB_SMI_Mixto_BAJA!E3</f>
        <v>1</v>
      </c>
      <c r="J17" s="12">
        <f>CB_SMI_Mixto_BAJA!F3</f>
        <v>1</v>
      </c>
      <c r="K17" s="12">
        <f>CB_SMI_Mixto_BAJA!G3</f>
        <v>1</v>
      </c>
      <c r="L17" s="12">
        <f>CB_SMI_Mixto_BAJA!H3</f>
        <v>1</v>
      </c>
      <c r="M17" s="12">
        <f>CB_SMI_Mixto_BAJA!I3</f>
        <v>1</v>
      </c>
      <c r="N17" s="12">
        <f>CB_SMI_Mixto_BAJA!J3</f>
        <v>1</v>
      </c>
      <c r="O17" s="12">
        <f>CB_SMI_Mixto_BAJA!K3</f>
        <v>1</v>
      </c>
      <c r="P17" s="12">
        <f>CB_SMI_Mixto_BAJA!L3</f>
        <v>1</v>
      </c>
      <c r="Q17" s="12">
        <f>CB_SMI_Mixto_BAJA!M3</f>
        <v>1</v>
      </c>
      <c r="R17" s="12">
        <f>CB_SMI_Mixto_BAJA!N3</f>
        <v>1</v>
      </c>
      <c r="S17" s="12">
        <f>CB_SMI_Mixto_BAJA!O3</f>
        <v>1</v>
      </c>
      <c r="T17" s="12">
        <f>CB_SMI_Mixto_BAJA!P3</f>
        <v>1</v>
      </c>
      <c r="U17" s="12">
        <f>CB_SMI_Mixto_BAJA!Q3</f>
        <v>1</v>
      </c>
    </row>
    <row r="18" spans="2:26" x14ac:dyDescent="0.3">
      <c r="B18" s="66"/>
      <c r="C18" s="61" t="s">
        <v>116</v>
      </c>
      <c r="D18" s="62"/>
      <c r="E18" s="62"/>
      <c r="F18" s="12">
        <f>CB_SMI_Mixto_BAJA!B4</f>
        <v>0</v>
      </c>
      <c r="G18" s="12">
        <f>CB_SMI_Mixto_BAJA!C4</f>
        <v>0</v>
      </c>
      <c r="H18" s="12">
        <f>CB_SMI_Mixto_BAJA!D4</f>
        <v>0</v>
      </c>
      <c r="I18" s="12">
        <f>CB_SMI_Mixto_BAJA!E4</f>
        <v>0</v>
      </c>
      <c r="J18" s="12">
        <f>CB_SMI_Mixto_BAJA!F4</f>
        <v>0</v>
      </c>
      <c r="K18" s="12">
        <f>CB_SMI_Mixto_BAJA!G4</f>
        <v>0</v>
      </c>
      <c r="L18" s="12">
        <f>CB_SMI_Mixto_BAJA!H4</f>
        <v>0</v>
      </c>
      <c r="M18" s="12">
        <f>CB_SMI_Mixto_BAJA!I4</f>
        <v>0</v>
      </c>
      <c r="N18" s="12">
        <f>CB_SMI_Mixto_BAJA!J4</f>
        <v>0</v>
      </c>
      <c r="O18" s="12">
        <f>CB_SMI_Mixto_BAJA!K4</f>
        <v>0</v>
      </c>
      <c r="P18" s="12">
        <f>CB_SMI_Mixto_BAJA!L4</f>
        <v>0</v>
      </c>
      <c r="Q18" s="12">
        <f>CB_SMI_Mixto_BAJA!M4</f>
        <v>0</v>
      </c>
      <c r="R18" s="12">
        <f>CB_SMI_Mixto_BAJA!N4</f>
        <v>0</v>
      </c>
      <c r="S18" s="12">
        <f>CB_SMI_Mixto_BAJA!O4</f>
        <v>0</v>
      </c>
      <c r="T18" s="12">
        <f>CB_SMI_Mixto_BAJA!P4</f>
        <v>0</v>
      </c>
      <c r="U18" s="12">
        <f>CB_SMI_Mixto_BAJA!Q4</f>
        <v>0</v>
      </c>
    </row>
    <row r="19" spans="2:26" x14ac:dyDescent="0.3">
      <c r="B19" s="67"/>
      <c r="C19" s="61" t="s">
        <v>117</v>
      </c>
      <c r="D19" s="62"/>
      <c r="E19" s="62"/>
      <c r="F19" s="13">
        <f>CB_SMI_Mixto_BAJA!B5</f>
        <v>32811</v>
      </c>
      <c r="G19" s="13">
        <f>CB_SMI_Mixto_BAJA!C5</f>
        <v>15</v>
      </c>
      <c r="H19" s="13">
        <f>CB_SMI_Mixto_BAJA!D5</f>
        <v>15</v>
      </c>
      <c r="I19" s="13">
        <f>CB_SMI_Mixto_BAJA!E5</f>
        <v>15</v>
      </c>
      <c r="J19" s="13">
        <f>CB_SMI_Mixto_BAJA!F5</f>
        <v>15</v>
      </c>
      <c r="K19" s="13">
        <f>CB_SMI_Mixto_BAJA!G5</f>
        <v>15</v>
      </c>
      <c r="L19" s="13">
        <f>CB_SMI_Mixto_BAJA!H5</f>
        <v>15</v>
      </c>
      <c r="M19" s="13">
        <f>CB_SMI_Mixto_BAJA!I5</f>
        <v>15</v>
      </c>
      <c r="N19" s="13">
        <f>CB_SMI_Mixto_BAJA!J5</f>
        <v>15</v>
      </c>
      <c r="O19" s="13">
        <f>CB_SMI_Mixto_BAJA!K5</f>
        <v>15</v>
      </c>
      <c r="P19" s="13">
        <f>CB_SMI_Mixto_BAJA!L5</f>
        <v>15</v>
      </c>
      <c r="Q19" s="13">
        <f>CB_SMI_Mixto_BAJA!M5</f>
        <v>15</v>
      </c>
      <c r="R19" s="13">
        <f>CB_SMI_Mixto_BAJA!N5</f>
        <v>15</v>
      </c>
      <c r="S19" s="13">
        <f>CB_SMI_Mixto_BAJA!O5</f>
        <v>15</v>
      </c>
      <c r="T19" s="13">
        <f>CB_SMI_Mixto_BAJA!P5</f>
        <v>15</v>
      </c>
      <c r="U19" s="13">
        <f>CB_SMI_Mixto_BAJA!Q5</f>
        <v>15</v>
      </c>
    </row>
    <row r="20" spans="2:26" x14ac:dyDescent="0.3">
      <c r="B20" s="10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</row>
    <row r="21" spans="2:26" x14ac:dyDescent="0.3">
      <c r="B21" s="58" t="s">
        <v>105</v>
      </c>
      <c r="C21" s="56" t="s">
        <v>125</v>
      </c>
      <c r="D21" s="57"/>
      <c r="E21" s="57"/>
      <c r="F21" s="9">
        <v>0</v>
      </c>
      <c r="G21" s="11">
        <f>IF(G$12&lt;=$J$6,$J7,G17)</f>
        <v>1040.6666666666667</v>
      </c>
      <c r="H21" s="11">
        <f t="shared" ref="H21:U23" si="1">IF(H$12&lt;=$J$6,$J7,H17)</f>
        <v>1040.6666666666667</v>
      </c>
      <c r="I21" s="11">
        <f t="shared" si="1"/>
        <v>1040.6666666666667</v>
      </c>
      <c r="J21" s="11">
        <f t="shared" si="1"/>
        <v>1</v>
      </c>
      <c r="K21" s="11">
        <f t="shared" si="1"/>
        <v>1</v>
      </c>
      <c r="L21" s="11">
        <f t="shared" si="1"/>
        <v>1</v>
      </c>
      <c r="M21" s="11">
        <f t="shared" si="1"/>
        <v>1</v>
      </c>
      <c r="N21" s="11">
        <f t="shared" si="1"/>
        <v>1</v>
      </c>
      <c r="O21" s="11">
        <f t="shared" si="1"/>
        <v>1</v>
      </c>
      <c r="P21" s="11">
        <f t="shared" si="1"/>
        <v>1</v>
      </c>
      <c r="Q21" s="11">
        <f t="shared" si="1"/>
        <v>1</v>
      </c>
      <c r="R21" s="11">
        <f t="shared" si="1"/>
        <v>1</v>
      </c>
      <c r="S21" s="11">
        <f t="shared" si="1"/>
        <v>1</v>
      </c>
      <c r="T21" s="11">
        <f t="shared" si="1"/>
        <v>1</v>
      </c>
      <c r="U21" s="11">
        <f t="shared" si="1"/>
        <v>1</v>
      </c>
    </row>
    <row r="22" spans="2:26" x14ac:dyDescent="0.3">
      <c r="B22" s="59"/>
      <c r="C22" s="56" t="s">
        <v>126</v>
      </c>
      <c r="D22" s="57"/>
      <c r="E22" s="57"/>
      <c r="F22" s="9">
        <v>0</v>
      </c>
      <c r="G22" s="11">
        <f>IF(G$12&lt;=$J$6,$J8,G18)</f>
        <v>0</v>
      </c>
      <c r="H22" s="11">
        <f t="shared" si="1"/>
        <v>0</v>
      </c>
      <c r="I22" s="11">
        <f t="shared" si="1"/>
        <v>0</v>
      </c>
      <c r="J22" s="11">
        <f t="shared" si="1"/>
        <v>0</v>
      </c>
      <c r="K22" s="11">
        <f t="shared" si="1"/>
        <v>0</v>
      </c>
      <c r="L22" s="11">
        <f t="shared" si="1"/>
        <v>0</v>
      </c>
      <c r="M22" s="11">
        <f t="shared" si="1"/>
        <v>0</v>
      </c>
      <c r="N22" s="11">
        <f>IF(N$12&lt;=$J$6,$J8,N18)</f>
        <v>0</v>
      </c>
      <c r="O22" s="11">
        <f t="shared" si="1"/>
        <v>0</v>
      </c>
      <c r="P22" s="11">
        <f t="shared" si="1"/>
        <v>0</v>
      </c>
      <c r="Q22" s="11">
        <f t="shared" si="1"/>
        <v>0</v>
      </c>
      <c r="R22" s="11">
        <f t="shared" si="1"/>
        <v>0</v>
      </c>
      <c r="S22" s="11">
        <f t="shared" si="1"/>
        <v>0</v>
      </c>
      <c r="T22" s="11">
        <f t="shared" si="1"/>
        <v>0</v>
      </c>
      <c r="U22" s="11">
        <f t="shared" si="1"/>
        <v>0</v>
      </c>
    </row>
    <row r="23" spans="2:26" x14ac:dyDescent="0.3">
      <c r="B23" s="59"/>
      <c r="C23" s="56" t="s">
        <v>127</v>
      </c>
      <c r="D23" s="57"/>
      <c r="E23" s="57"/>
      <c r="F23" s="9">
        <v>0</v>
      </c>
      <c r="G23" s="11">
        <f>IF(G$12&lt;=$J$6,$J9,G19)</f>
        <v>10952</v>
      </c>
      <c r="H23" s="11">
        <f t="shared" si="1"/>
        <v>10952</v>
      </c>
      <c r="I23" s="11">
        <f t="shared" si="1"/>
        <v>10952</v>
      </c>
      <c r="J23" s="11">
        <f t="shared" si="1"/>
        <v>15</v>
      </c>
      <c r="K23" s="11">
        <f t="shared" si="1"/>
        <v>15</v>
      </c>
      <c r="L23" s="11">
        <f t="shared" si="1"/>
        <v>15</v>
      </c>
      <c r="M23" s="11">
        <f t="shared" si="1"/>
        <v>15</v>
      </c>
      <c r="N23" s="11">
        <f t="shared" si="1"/>
        <v>15</v>
      </c>
      <c r="O23" s="11">
        <f t="shared" si="1"/>
        <v>15</v>
      </c>
      <c r="P23" s="11">
        <f t="shared" si="1"/>
        <v>15</v>
      </c>
      <c r="Q23" s="11">
        <f t="shared" si="1"/>
        <v>15</v>
      </c>
      <c r="R23" s="11">
        <f t="shared" si="1"/>
        <v>15</v>
      </c>
      <c r="S23" s="11">
        <f t="shared" si="1"/>
        <v>15</v>
      </c>
      <c r="T23" s="11">
        <f t="shared" si="1"/>
        <v>15</v>
      </c>
      <c r="U23" s="11">
        <f t="shared" si="1"/>
        <v>15</v>
      </c>
    </row>
    <row r="24" spans="2:26" x14ac:dyDescent="0.3">
      <c r="B24" s="59"/>
      <c r="C24" s="71" t="s">
        <v>114</v>
      </c>
      <c r="D24" s="64"/>
      <c r="E24" s="64"/>
      <c r="F24" s="4">
        <f>SUM(F17:F19)</f>
        <v>35930</v>
      </c>
      <c r="G24" s="7">
        <f>SUM(F24,G17:G19)-SUM(G21:G23)</f>
        <v>23953.333333333336</v>
      </c>
      <c r="H24" s="7">
        <f t="shared" ref="H24:U24" si="2">SUM(G24,H17:H19)-SUM(H21:H23)</f>
        <v>11976.66666666667</v>
      </c>
      <c r="I24" s="7">
        <f t="shared" si="2"/>
        <v>0</v>
      </c>
      <c r="J24" s="7">
        <f t="shared" si="2"/>
        <v>0</v>
      </c>
      <c r="K24" s="7">
        <f t="shared" si="2"/>
        <v>0</v>
      </c>
      <c r="L24" s="7">
        <f t="shared" si="2"/>
        <v>0</v>
      </c>
      <c r="M24" s="7">
        <f t="shared" si="2"/>
        <v>0</v>
      </c>
      <c r="N24" s="7">
        <f t="shared" si="2"/>
        <v>0</v>
      </c>
      <c r="O24" s="7">
        <f t="shared" si="2"/>
        <v>0</v>
      </c>
      <c r="P24" s="7">
        <f>SUM(O24,P17:P19)-SUM(P21:P23)</f>
        <v>0</v>
      </c>
      <c r="Q24" s="7">
        <f>SUM(P24,Q17:Q19)-SUM(Q21:Q23)</f>
        <v>0</v>
      </c>
      <c r="R24" s="7">
        <f t="shared" si="2"/>
        <v>0</v>
      </c>
      <c r="S24" s="7">
        <f t="shared" si="2"/>
        <v>0</v>
      </c>
      <c r="T24" s="7">
        <f t="shared" si="2"/>
        <v>0</v>
      </c>
      <c r="U24" s="7">
        <f t="shared" si="2"/>
        <v>0</v>
      </c>
    </row>
    <row r="25" spans="2:26" x14ac:dyDescent="0.3">
      <c r="B25" s="60"/>
      <c r="C25" s="63" t="s">
        <v>108</v>
      </c>
      <c r="D25" s="63"/>
      <c r="E25" s="63"/>
      <c r="F25" s="17">
        <v>0</v>
      </c>
      <c r="G25" s="17">
        <f>IF(G$12&lt;=$J$6,SUM($F$21:G23)/SUM($F$17:G19),1)</f>
        <v>0.33363007474174222</v>
      </c>
      <c r="H25" s="17">
        <f>IF(H$12&lt;=$J$6,SUM($F$21:H23)/SUM($F$17:H19),1)</f>
        <v>0.66696327605064609</v>
      </c>
      <c r="I25" s="17">
        <f>IF(I$12&lt;=$J$6,SUM($F$21:I23)/SUM($F$17:I19),1)</f>
        <v>1</v>
      </c>
      <c r="J25" s="17">
        <f>IF(J$12&lt;=$J$6,SUM($F$21:J23)/SUM($F$17:J19),1)</f>
        <v>1</v>
      </c>
      <c r="K25" s="17">
        <f>IF(K$12&lt;=$J$6,SUM($F$21:K23)/SUM($F$17:K19),1)</f>
        <v>1</v>
      </c>
      <c r="L25" s="17">
        <f>IF(L$12&lt;=$J$6,SUM($F$21:L23)/SUM($F$17:L19),1)</f>
        <v>1</v>
      </c>
      <c r="M25" s="17">
        <f>IF(M$12&lt;=$J$6,SUM($F$21:M23)/SUM($F$17:M19),1)</f>
        <v>1</v>
      </c>
      <c r="N25" s="17">
        <f>IF(N$12&lt;=$J$6,SUM($F$21:N23)/SUM($F$17:N19),1)</f>
        <v>1</v>
      </c>
      <c r="O25" s="17">
        <f>IF(O$12&lt;=$J$6,SUM($F$21:O23)/SUM($F$17:O19),1)</f>
        <v>1</v>
      </c>
      <c r="P25" s="17">
        <f>IF(P$12&lt;=$J$6,SUM($F$21:P23)/SUM($F$17:P19),1)</f>
        <v>1</v>
      </c>
      <c r="Q25" s="17">
        <f>IF(Q$12&lt;=$J$6,SUM($F$21:Q23)/SUM($F$17:Q19),1)</f>
        <v>1</v>
      </c>
      <c r="R25" s="17">
        <f>IF(R$12&lt;=$J$6,SUM($F$21:R23)/SUM($F$17:R19),1)</f>
        <v>1</v>
      </c>
      <c r="S25" s="17">
        <f>IF(S$12&lt;=$J$6,SUM($F$21:S23)/SUM($F$17:S19),1)</f>
        <v>1</v>
      </c>
      <c r="T25" s="17">
        <f>IF(T$12&lt;=$J$6,SUM($F$21:T23)/SUM($F$17:T19),1)</f>
        <v>1</v>
      </c>
      <c r="U25" s="17">
        <f>IF(U$12&lt;=$J$6,SUM($F$21:U23)/SUM($F$17:U19),1)</f>
        <v>1</v>
      </c>
    </row>
    <row r="26" spans="2:26" ht="28.2" customHeight="1" x14ac:dyDescent="0.3"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</row>
    <row r="27" spans="2:26" x14ac:dyDescent="0.3">
      <c r="B27" s="46" t="s">
        <v>124</v>
      </c>
      <c r="C27" s="47"/>
      <c r="D27" s="48"/>
      <c r="E27" s="22" t="s">
        <v>48</v>
      </c>
      <c r="F27" s="24">
        <v>0</v>
      </c>
      <c r="G27" s="24">
        <v>1</v>
      </c>
      <c r="H27" s="24">
        <v>2</v>
      </c>
      <c r="I27" s="24">
        <v>3</v>
      </c>
      <c r="J27" s="24">
        <v>4</v>
      </c>
      <c r="K27" s="24">
        <v>5</v>
      </c>
      <c r="L27" s="24">
        <v>6</v>
      </c>
      <c r="M27" s="24">
        <v>7</v>
      </c>
      <c r="N27" s="24">
        <v>8</v>
      </c>
      <c r="O27" s="24">
        <v>9</v>
      </c>
      <c r="P27" s="24">
        <v>10</v>
      </c>
      <c r="Q27" s="24">
        <v>11</v>
      </c>
      <c r="R27" s="24">
        <v>12</v>
      </c>
      <c r="S27" s="24">
        <v>13</v>
      </c>
      <c r="T27" s="24">
        <v>14</v>
      </c>
      <c r="U27" s="24">
        <v>15</v>
      </c>
    </row>
    <row r="28" spans="2:26" x14ac:dyDescent="0.3">
      <c r="B28" s="49"/>
      <c r="C28" s="50"/>
      <c r="D28" s="51"/>
      <c r="E28" s="23" t="s">
        <v>49</v>
      </c>
      <c r="F28" s="25">
        <v>2025</v>
      </c>
      <c r="G28" s="25">
        <v>2026</v>
      </c>
      <c r="H28" s="25">
        <v>2027</v>
      </c>
      <c r="I28" s="25">
        <v>2028</v>
      </c>
      <c r="J28" s="25">
        <v>2029</v>
      </c>
      <c r="K28" s="25">
        <v>2030</v>
      </c>
      <c r="L28" s="25">
        <v>2031</v>
      </c>
      <c r="M28" s="25">
        <v>2032</v>
      </c>
      <c r="N28" s="25">
        <v>2033</v>
      </c>
      <c r="O28" s="25">
        <v>2034</v>
      </c>
      <c r="P28" s="25">
        <v>2035</v>
      </c>
      <c r="Q28" s="25">
        <v>2036</v>
      </c>
      <c r="R28" s="25">
        <v>2037</v>
      </c>
      <c r="S28" s="25">
        <v>2038</v>
      </c>
      <c r="T28" s="25">
        <v>2039</v>
      </c>
      <c r="U28" s="25">
        <v>2040</v>
      </c>
      <c r="W28" s="40" t="s">
        <v>179</v>
      </c>
      <c r="X28" s="40" t="s">
        <v>180</v>
      </c>
      <c r="Y28" s="1" t="s">
        <v>181</v>
      </c>
      <c r="Z28" s="41" t="s">
        <v>182</v>
      </c>
    </row>
    <row r="29" spans="2:26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2:26" x14ac:dyDescent="0.3">
      <c r="B30" s="52" t="s">
        <v>118</v>
      </c>
      <c r="C30" s="44" t="s">
        <v>57</v>
      </c>
      <c r="D30" s="45"/>
      <c r="E30" s="45"/>
      <c r="F30" s="8">
        <v>0</v>
      </c>
      <c r="G30" s="8">
        <f>((-CB_SMI_Mixto_BAJA!C7)*G21)/1000000</f>
        <v>-0.16062343111111116</v>
      </c>
      <c r="H30" s="8">
        <f>((-CB_SMI_Mixto_BAJA!D7)*H21)/1000000</f>
        <v>-0.16062343111111116</v>
      </c>
      <c r="I30" s="8">
        <f>((-CB_SMI_Mixto_BAJA!E7)*I21)/1000000</f>
        <v>-0.16062343111111116</v>
      </c>
      <c r="J30" s="8">
        <f>((-CB_SMI_Mixto_BAJA!F7)*J21)/1000000</f>
        <v>-1.543466666666667E-4</v>
      </c>
      <c r="K30" s="8">
        <f>((-CB_SMI_Mixto_BAJA!G7)*K21)/1000000</f>
        <v>-1.543466666666667E-4</v>
      </c>
      <c r="L30" s="8">
        <f>((-CB_SMI_Mixto_BAJA!H7)*L21)/1000000</f>
        <v>-1.543466666666667E-4</v>
      </c>
      <c r="M30" s="8">
        <f>((-CB_SMI_Mixto_BAJA!I7)*M21)/1000000</f>
        <v>-1.543466666666667E-4</v>
      </c>
      <c r="N30" s="8">
        <f>((-CB_SMI_Mixto_BAJA!J7)*N21)/1000000</f>
        <v>-1.543466666666667E-4</v>
      </c>
      <c r="O30" s="8">
        <f>((-CB_SMI_Mixto_BAJA!K7)*O21)/1000000</f>
        <v>-1.543466666666667E-4</v>
      </c>
      <c r="P30" s="8">
        <f>((-CB_SMI_Mixto_BAJA!L7)*P21)/1000000</f>
        <v>-1.543466666666667E-4</v>
      </c>
      <c r="Q30" s="8">
        <f>((-CB_SMI_Mixto_BAJA!M7)*Q21)/1000000</f>
        <v>-1.543466666666667E-4</v>
      </c>
      <c r="R30" s="8">
        <f>((-CB_SMI_Mixto_BAJA!N7)*R21)/1000000</f>
        <v>-1.543466666666667E-4</v>
      </c>
      <c r="S30" s="8">
        <f>((-CB_SMI_Mixto_BAJA!O7)*S21)/1000000</f>
        <v>-1.543466666666667E-4</v>
      </c>
      <c r="T30" s="8">
        <f>((-CB_SMI_Mixto_BAJA!P7)*T21)/1000000</f>
        <v>-1.543466666666667E-4</v>
      </c>
      <c r="U30" s="8">
        <f>((-CB_SMI_Mixto_BAJA!Q7)*U21)/1000000</f>
        <v>-1.543466666666667E-4</v>
      </c>
      <c r="W30" s="42">
        <f t="shared" ref="W30:W36" si="3">NPV($D$67,G30:U30)+F30</f>
        <v>-0.43043483349626299</v>
      </c>
      <c r="X30" s="42">
        <f t="shared" ref="X30:X36" si="4">PMT($D$67,15,-W30)</f>
        <v>-4.4318760159420059E-2</v>
      </c>
      <c r="Y30" s="42">
        <f>W30*1000000/7744865</f>
        <v>-5.5576802629389022E-2</v>
      </c>
      <c r="Z30" s="30">
        <f t="shared" ref="Z30:Z36" si="5">W30/$W$36</f>
        <v>1.7892198343906832E-2</v>
      </c>
    </row>
    <row r="31" spans="2:26" x14ac:dyDescent="0.3">
      <c r="B31" s="53"/>
      <c r="C31" s="44" t="s">
        <v>58</v>
      </c>
      <c r="D31" s="45"/>
      <c r="E31" s="45"/>
      <c r="F31" s="8">
        <v>0</v>
      </c>
      <c r="G31" s="8">
        <f>((-CB_SMI_Mixto_BAJA!C8)*G22)/1000000</f>
        <v>0</v>
      </c>
      <c r="H31" s="8">
        <f>((-CB_SMI_Mixto_BAJA!D8)*H22)/1000000</f>
        <v>0</v>
      </c>
      <c r="I31" s="8">
        <f>((-CB_SMI_Mixto_BAJA!E8)*I22)/1000000</f>
        <v>0</v>
      </c>
      <c r="J31" s="8">
        <f>((-CB_SMI_Mixto_BAJA!F8)*J22)/1000000</f>
        <v>0</v>
      </c>
      <c r="K31" s="8">
        <f>((-CB_SMI_Mixto_BAJA!G8)*K22)/1000000</f>
        <v>0</v>
      </c>
      <c r="L31" s="8">
        <f>((-CB_SMI_Mixto_BAJA!H8)*L22)/1000000</f>
        <v>0</v>
      </c>
      <c r="M31" s="8">
        <f>((-CB_SMI_Mixto_BAJA!I8)*M22)/1000000</f>
        <v>0</v>
      </c>
      <c r="N31" s="8">
        <f>((-CB_SMI_Mixto_BAJA!J8)*N22)/1000000</f>
        <v>0</v>
      </c>
      <c r="O31" s="8">
        <f>((-CB_SMI_Mixto_BAJA!K8)*O22)/1000000</f>
        <v>0</v>
      </c>
      <c r="P31" s="8">
        <f>((-CB_SMI_Mixto_BAJA!L8)*P22)/1000000</f>
        <v>0</v>
      </c>
      <c r="Q31" s="8">
        <f>((-CB_SMI_Mixto_BAJA!M8)*Q22)/1000000</f>
        <v>0</v>
      </c>
      <c r="R31" s="8">
        <f>((-CB_SMI_Mixto_BAJA!N8)*R22)/1000000</f>
        <v>0</v>
      </c>
      <c r="S31" s="8">
        <f>((-CB_SMI_Mixto_BAJA!O8)*S22)/1000000</f>
        <v>0</v>
      </c>
      <c r="T31" s="8">
        <f>((-CB_SMI_Mixto_BAJA!P8)*T22)/1000000</f>
        <v>0</v>
      </c>
      <c r="U31" s="8">
        <f>((-CB_SMI_Mixto_BAJA!Q8)*U22)/1000000</f>
        <v>0</v>
      </c>
      <c r="W31" s="42">
        <f t="shared" si="3"/>
        <v>0</v>
      </c>
      <c r="X31" s="42">
        <f t="shared" si="4"/>
        <v>0</v>
      </c>
      <c r="Y31" s="42">
        <f t="shared" ref="Y31:Y56" si="6">W31*1000000/7744865</f>
        <v>0</v>
      </c>
      <c r="Z31" s="30">
        <f t="shared" si="5"/>
        <v>0</v>
      </c>
    </row>
    <row r="32" spans="2:26" x14ac:dyDescent="0.3">
      <c r="B32" s="53"/>
      <c r="C32" s="44" t="s">
        <v>59</v>
      </c>
      <c r="D32" s="45"/>
      <c r="E32" s="45"/>
      <c r="F32" s="8">
        <v>0</v>
      </c>
      <c r="G32" s="8">
        <f>((-CB_SMI_Mixto_BAJA!C9)*G23)/1000000</f>
        <v>-8.541815264000002</v>
      </c>
      <c r="H32" s="8">
        <f>((-CB_SMI_Mixto_BAJA!D9)*H23)/1000000</f>
        <v>-8.541815264000002</v>
      </c>
      <c r="I32" s="8">
        <f>((-CB_SMI_Mixto_BAJA!E9)*I23)/1000000</f>
        <v>-8.541815264000002</v>
      </c>
      <c r="J32" s="8">
        <f>((-CB_SMI_Mixto_BAJA!F9)*J23)/1000000</f>
        <v>-1.1698980000000001E-2</v>
      </c>
      <c r="K32" s="8">
        <f>((-CB_SMI_Mixto_BAJA!G9)*K23)/1000000</f>
        <v>-1.1698980000000001E-2</v>
      </c>
      <c r="L32" s="8">
        <f>((-CB_SMI_Mixto_BAJA!H9)*L23)/1000000</f>
        <v>-1.1698980000000001E-2</v>
      </c>
      <c r="M32" s="8">
        <f>((-CB_SMI_Mixto_BAJA!I9)*M23)/1000000</f>
        <v>-1.1698980000000001E-2</v>
      </c>
      <c r="N32" s="8">
        <f>((-CB_SMI_Mixto_BAJA!J9)*N23)/1000000</f>
        <v>-1.1698980000000001E-2</v>
      </c>
      <c r="O32" s="8">
        <f>((-CB_SMI_Mixto_BAJA!K9)*O23)/1000000</f>
        <v>-1.1698980000000001E-2</v>
      </c>
      <c r="P32" s="8">
        <f>((-CB_SMI_Mixto_BAJA!L9)*P23)/1000000</f>
        <v>-1.1698980000000001E-2</v>
      </c>
      <c r="Q32" s="8">
        <f>((-CB_SMI_Mixto_BAJA!M9)*Q23)/1000000</f>
        <v>-1.1698980000000001E-2</v>
      </c>
      <c r="R32" s="8">
        <f>((-CB_SMI_Mixto_BAJA!N9)*R23)/1000000</f>
        <v>-1.1698980000000001E-2</v>
      </c>
      <c r="S32" s="8">
        <f>((-CB_SMI_Mixto_BAJA!O9)*S23)/1000000</f>
        <v>-1.1698980000000001E-2</v>
      </c>
      <c r="T32" s="8">
        <f>((-CB_SMI_Mixto_BAJA!P9)*T23)/1000000</f>
        <v>-1.1698980000000001E-2</v>
      </c>
      <c r="U32" s="8">
        <f>((-CB_SMI_Mixto_BAJA!Q9)*U23)/1000000</f>
        <v>-1.1698980000000001E-2</v>
      </c>
      <c r="W32" s="42">
        <f t="shared" si="3"/>
        <v>-22.914726164091885</v>
      </c>
      <c r="X32" s="42">
        <f t="shared" si="4"/>
        <v>-2.3593635411340208</v>
      </c>
      <c r="Y32" s="42">
        <f t="shared" si="6"/>
        <v>-2.958699236731936</v>
      </c>
      <c r="Z32" s="30">
        <f t="shared" si="5"/>
        <v>0.95251311840634967</v>
      </c>
    </row>
    <row r="33" spans="2:26" x14ac:dyDescent="0.3">
      <c r="B33" s="53"/>
      <c r="C33" s="44" t="s">
        <v>60</v>
      </c>
      <c r="D33" s="45"/>
      <c r="E33" s="45"/>
      <c r="F33" s="8">
        <f>((-CB_SMI_Mixto_BAJA!B10)*CB_SMI_Mixto_BAJA!B6)/1000000</f>
        <v>0</v>
      </c>
      <c r="G33" s="8">
        <f>((-CB_SMI_Mixto_BAJA!C10)*CB_SMI_Mixto_BAJA!C6)/1000000</f>
        <v>0</v>
      </c>
      <c r="H33" s="8">
        <f>((-CB_SMI_Mixto_BAJA!D10)*CB_SMI_Mixto_BAJA!D6)/1000000</f>
        <v>0</v>
      </c>
      <c r="I33" s="8">
        <f>((-CB_SMI_Mixto_BAJA!E10)*CB_SMI_Mixto_BAJA!E6)/1000000</f>
        <v>0</v>
      </c>
      <c r="J33" s="8">
        <f>((-CB_SMI_Mixto_BAJA!F10)*CB_SMI_Mixto_BAJA!F6)/1000000</f>
        <v>0</v>
      </c>
      <c r="K33" s="8">
        <f>((-CB_SMI_Mixto_BAJA!G10)*CB_SMI_Mixto_BAJA!G6)/1000000</f>
        <v>0</v>
      </c>
      <c r="L33" s="8">
        <f>((-CB_SMI_Mixto_BAJA!H10)*CB_SMI_Mixto_BAJA!H6)/1000000</f>
        <v>0</v>
      </c>
      <c r="M33" s="8">
        <f>((-CB_SMI_Mixto_BAJA!I10)*CB_SMI_Mixto_BAJA!I6)/1000000</f>
        <v>0</v>
      </c>
      <c r="N33" s="8">
        <f>((-CB_SMI_Mixto_BAJA!J10)*CB_SMI_Mixto_BAJA!J6)/1000000</f>
        <v>0</v>
      </c>
      <c r="O33" s="8">
        <f>((-CB_SMI_Mixto_BAJA!K10)*CB_SMI_Mixto_BAJA!K6)/1000000</f>
        <v>0</v>
      </c>
      <c r="P33" s="8">
        <f>((-CB_SMI_Mixto_BAJA!L10)*CB_SMI_Mixto_BAJA!L6)/1000000</f>
        <v>0</v>
      </c>
      <c r="Q33" s="8">
        <f>((-CB_SMI_Mixto_BAJA!M10)*CB_SMI_Mixto_BAJA!M6)/1000000</f>
        <v>0</v>
      </c>
      <c r="R33" s="8">
        <f>((-CB_SMI_Mixto_BAJA!N10)*CB_SMI_Mixto_BAJA!N6)/1000000</f>
        <v>0</v>
      </c>
      <c r="S33" s="8">
        <f>((-CB_SMI_Mixto_BAJA!O10)*CB_SMI_Mixto_BAJA!O6)/1000000</f>
        <v>0</v>
      </c>
      <c r="T33" s="8">
        <f>((-CB_SMI_Mixto_BAJA!P10)*CB_SMI_Mixto_BAJA!P6)/1000000</f>
        <v>0</v>
      </c>
      <c r="U33" s="8">
        <f>((-CB_SMI_Mixto_BAJA!Q10)*CB_SMI_Mixto_BAJA!Q6)/1000000</f>
        <v>0</v>
      </c>
      <c r="W33" s="42">
        <f t="shared" si="3"/>
        <v>0</v>
      </c>
      <c r="X33" s="42">
        <f t="shared" si="4"/>
        <v>0</v>
      </c>
      <c r="Y33" s="42">
        <f t="shared" si="6"/>
        <v>0</v>
      </c>
      <c r="Z33" s="30">
        <f t="shared" si="5"/>
        <v>0</v>
      </c>
    </row>
    <row r="34" spans="2:26" x14ac:dyDescent="0.3">
      <c r="B34" s="53"/>
      <c r="C34" s="44" t="s">
        <v>145</v>
      </c>
      <c r="D34" s="45"/>
      <c r="E34" s="45"/>
      <c r="F34" s="8">
        <f>(-CB_SMI_Mixto_BAJA!B11)/1000000</f>
        <v>-0.65935142999999996</v>
      </c>
      <c r="G34" s="8">
        <f>(-CB_SMI_Mixto_BAJA!C11)/1000000</f>
        <v>-2.9361599999999996E-4</v>
      </c>
      <c r="H34" s="8">
        <f>(-CB_SMI_Mixto_BAJA!D11)/1000000</f>
        <v>-2.9361599999999996E-4</v>
      </c>
      <c r="I34" s="8">
        <f>(-CB_SMI_Mixto_BAJA!E11)/1000000</f>
        <v>-2.9361599999999996E-4</v>
      </c>
      <c r="J34" s="8">
        <f>(-CB_SMI_Mixto_BAJA!F11)/1000000</f>
        <v>-2.9361599999999996E-4</v>
      </c>
      <c r="K34" s="8">
        <f>(-CB_SMI_Mixto_BAJA!G11)/1000000</f>
        <v>-2.9361599999999996E-4</v>
      </c>
      <c r="L34" s="8">
        <f>(-CB_SMI_Mixto_BAJA!H11)/1000000</f>
        <v>-2.9361599999999996E-4</v>
      </c>
      <c r="M34" s="8">
        <f>(-CB_SMI_Mixto_BAJA!I11)/1000000</f>
        <v>-2.9361599999999996E-4</v>
      </c>
      <c r="N34" s="8">
        <f>(-CB_SMI_Mixto_BAJA!J11)/1000000</f>
        <v>-2.9361599999999996E-4</v>
      </c>
      <c r="O34" s="8">
        <f>(-CB_SMI_Mixto_BAJA!K11)/1000000</f>
        <v>-2.9361599999999996E-4</v>
      </c>
      <c r="P34" s="8">
        <f>(-CB_SMI_Mixto_BAJA!L11)/1000000</f>
        <v>-2.9361599999999996E-4</v>
      </c>
      <c r="Q34" s="8">
        <f>(-CB_SMI_Mixto_BAJA!M11)/1000000</f>
        <v>-2.9361599999999996E-4</v>
      </c>
      <c r="R34" s="8">
        <f>(-CB_SMI_Mixto_BAJA!N11)/1000000</f>
        <v>-2.9361599999999996E-4</v>
      </c>
      <c r="S34" s="8">
        <f>(-CB_SMI_Mixto_BAJA!O11)/1000000</f>
        <v>-2.9361599999999996E-4</v>
      </c>
      <c r="T34" s="8">
        <f>(-CB_SMI_Mixto_BAJA!P11)/1000000</f>
        <v>-2.9361599999999996E-4</v>
      </c>
      <c r="U34" s="8">
        <f>(-CB_SMI_Mixto_BAJA!Q11)/1000000</f>
        <v>-2.9361599999999996E-4</v>
      </c>
      <c r="W34" s="42">
        <f t="shared" si="3"/>
        <v>-0.66220310169878449</v>
      </c>
      <c r="X34" s="42">
        <f t="shared" si="4"/>
        <v>-6.8182261650687873E-2</v>
      </c>
      <c r="Y34" s="42">
        <f t="shared" si="6"/>
        <v>-8.5502213621384562E-2</v>
      </c>
      <c r="Z34" s="30">
        <f t="shared" si="5"/>
        <v>2.7526278817413194E-2</v>
      </c>
    </row>
    <row r="35" spans="2:26" x14ac:dyDescent="0.3">
      <c r="B35" s="53"/>
      <c r="C35" s="44" t="s">
        <v>143</v>
      </c>
      <c r="D35" s="45"/>
      <c r="E35" s="45"/>
      <c r="F35" s="8">
        <f>(-CB_SMI_Mixto_BAJA!B12)/1000000</f>
        <v>-4.9545578947368427E-2</v>
      </c>
      <c r="G35" s="8">
        <f>(-CB_SMI_Mixto_BAJA!C12)/1000000</f>
        <v>-2.2063157894736838E-5</v>
      </c>
      <c r="H35" s="8">
        <f>(-CB_SMI_Mixto_BAJA!D12)/1000000</f>
        <v>-2.2063157894736838E-5</v>
      </c>
      <c r="I35" s="8">
        <f>(-CB_SMI_Mixto_BAJA!E12)/1000000</f>
        <v>-2.2063157894736838E-5</v>
      </c>
      <c r="J35" s="8">
        <f>(-CB_SMI_Mixto_BAJA!F12)/1000000</f>
        <v>-2.2063157894736838E-5</v>
      </c>
      <c r="K35" s="8">
        <f>(-CB_SMI_Mixto_BAJA!G12)/1000000</f>
        <v>-2.2063157894736838E-5</v>
      </c>
      <c r="L35" s="8">
        <f>(-CB_SMI_Mixto_BAJA!H12)/1000000</f>
        <v>-2.2063157894736838E-5</v>
      </c>
      <c r="M35" s="8">
        <f>(-CB_SMI_Mixto_BAJA!I12)/1000000</f>
        <v>-2.2063157894736838E-5</v>
      </c>
      <c r="N35" s="8">
        <f>(-CB_SMI_Mixto_BAJA!J12)/1000000</f>
        <v>-2.2063157894736838E-5</v>
      </c>
      <c r="O35" s="8">
        <f>(-CB_SMI_Mixto_BAJA!K12)/1000000</f>
        <v>-2.2063157894736838E-5</v>
      </c>
      <c r="P35" s="8">
        <f>(-CB_SMI_Mixto_BAJA!L12)/1000000</f>
        <v>-2.2063157894736838E-5</v>
      </c>
      <c r="Q35" s="8">
        <f>(-CB_SMI_Mixto_BAJA!M12)/1000000</f>
        <v>-2.2063157894736838E-5</v>
      </c>
      <c r="R35" s="8">
        <f>(-CB_SMI_Mixto_BAJA!N12)/1000000</f>
        <v>-2.2063157894736838E-5</v>
      </c>
      <c r="S35" s="8">
        <f>(-CB_SMI_Mixto_BAJA!O12)/1000000</f>
        <v>-2.2063157894736838E-5</v>
      </c>
      <c r="T35" s="8">
        <f>(-CB_SMI_Mixto_BAJA!P12)/1000000</f>
        <v>-2.2063157894736838E-5</v>
      </c>
      <c r="U35" s="8">
        <f>(-CB_SMI_Mixto_BAJA!Q12)/1000000</f>
        <v>-2.2063157894736838E-5</v>
      </c>
      <c r="W35" s="42">
        <f t="shared" si="3"/>
        <v>-4.9759861830297951E-2</v>
      </c>
      <c r="X35" s="42">
        <f t="shared" si="4"/>
        <v>-5.1234129080819429E-3</v>
      </c>
      <c r="Y35" s="42">
        <f t="shared" si="6"/>
        <v>-6.4248843369507343E-3</v>
      </c>
      <c r="Z35" s="30">
        <f t="shared" si="5"/>
        <v>2.0684044323304503E-3</v>
      </c>
    </row>
    <row r="36" spans="2:26" x14ac:dyDescent="0.3">
      <c r="B36" s="54"/>
      <c r="C36" s="55" t="s">
        <v>123</v>
      </c>
      <c r="D36" s="55"/>
      <c r="E36" s="55"/>
      <c r="F36" s="15">
        <f>SUM(F30:F35)</f>
        <v>-0.7088970089473684</v>
      </c>
      <c r="G36" s="15">
        <f t="shared" ref="G36:U36" si="7">SUM(G30:G35)</f>
        <v>-8.7027543742690074</v>
      </c>
      <c r="H36" s="15">
        <f t="shared" si="7"/>
        <v>-8.7027543742690074</v>
      </c>
      <c r="I36" s="15">
        <f t="shared" si="7"/>
        <v>-8.7027543742690074</v>
      </c>
      <c r="J36" s="15">
        <f t="shared" si="7"/>
        <v>-1.2169005824561404E-2</v>
      </c>
      <c r="K36" s="15">
        <f t="shared" si="7"/>
        <v>-1.2169005824561404E-2</v>
      </c>
      <c r="L36" s="15">
        <f t="shared" si="7"/>
        <v>-1.2169005824561404E-2</v>
      </c>
      <c r="M36" s="15">
        <f t="shared" si="7"/>
        <v>-1.2169005824561404E-2</v>
      </c>
      <c r="N36" s="15">
        <f t="shared" si="7"/>
        <v>-1.2169005824561404E-2</v>
      </c>
      <c r="O36" s="15">
        <f t="shared" si="7"/>
        <v>-1.2169005824561404E-2</v>
      </c>
      <c r="P36" s="15">
        <f t="shared" si="7"/>
        <v>-1.2169005824561404E-2</v>
      </c>
      <c r="Q36" s="15">
        <f t="shared" si="7"/>
        <v>-1.2169005824561404E-2</v>
      </c>
      <c r="R36" s="15">
        <f t="shared" si="7"/>
        <v>-1.2169005824561404E-2</v>
      </c>
      <c r="S36" s="15">
        <f t="shared" si="7"/>
        <v>-1.2169005824561404E-2</v>
      </c>
      <c r="T36" s="15">
        <f t="shared" si="7"/>
        <v>-1.2169005824561404E-2</v>
      </c>
      <c r="U36" s="15">
        <f t="shared" si="7"/>
        <v>-1.2169005824561404E-2</v>
      </c>
      <c r="W36" s="42">
        <f t="shared" si="3"/>
        <v>-24.057123961117227</v>
      </c>
      <c r="X36" s="42">
        <f t="shared" si="4"/>
        <v>-2.4769879758522104</v>
      </c>
      <c r="Y36" s="42">
        <f t="shared" si="6"/>
        <v>-3.1062031373196599</v>
      </c>
      <c r="Z36" s="30">
        <f t="shared" si="5"/>
        <v>1</v>
      </c>
    </row>
    <row r="37" spans="2:26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W37" s="42"/>
      <c r="X37" s="42"/>
      <c r="Y37" s="42"/>
    </row>
    <row r="38" spans="2:26" x14ac:dyDescent="0.3">
      <c r="B38" s="52" t="s">
        <v>119</v>
      </c>
      <c r="C38" s="44" t="s">
        <v>100</v>
      </c>
      <c r="D38" s="45"/>
      <c r="E38" s="45"/>
      <c r="F38" s="8">
        <v>0</v>
      </c>
      <c r="G38" s="8">
        <f>(-CB_SMI_Mixto_BAJA!C13/1000000)*G$25</f>
        <v>0</v>
      </c>
      <c r="H38" s="8">
        <f>(-CB_SMI_Mixto_BAJA!D13/1000000)*H$25</f>
        <v>0</v>
      </c>
      <c r="I38" s="8">
        <f>(-CB_SMI_Mixto_BAJA!E13/1000000)*I$25</f>
        <v>0</v>
      </c>
      <c r="J38" s="8">
        <f>(-CB_SMI_Mixto_BAJA!F13/1000000)*J$25</f>
        <v>0</v>
      </c>
      <c r="K38" s="8">
        <f>(-CB_SMI_Mixto_BAJA!G13/1000000)*K$25</f>
        <v>0</v>
      </c>
      <c r="L38" s="8">
        <f>(-CB_SMI_Mixto_BAJA!H13/1000000)*L$25</f>
        <v>0</v>
      </c>
      <c r="M38" s="8">
        <f>(-CB_SMI_Mixto_BAJA!I13/1000000)*M$25</f>
        <v>0</v>
      </c>
      <c r="N38" s="8">
        <f>(-CB_SMI_Mixto_BAJA!J13/1000000)*N$25</f>
        <v>0</v>
      </c>
      <c r="O38" s="8">
        <f>(-CB_SMI_Mixto_BAJA!K13/1000000)*O$25</f>
        <v>0</v>
      </c>
      <c r="P38" s="8">
        <f>(-CB_SMI_Mixto_BAJA!L13/1000000)*P$25</f>
        <v>0</v>
      </c>
      <c r="Q38" s="8">
        <f>(-CB_SMI_Mixto_BAJA!M13/1000000)*Q$25</f>
        <v>0</v>
      </c>
      <c r="R38" s="8">
        <f>(-CB_SMI_Mixto_BAJA!N13/1000000)*R$25</f>
        <v>0</v>
      </c>
      <c r="S38" s="8">
        <f>(-CB_SMI_Mixto_BAJA!O13/1000000)*S$25</f>
        <v>0</v>
      </c>
      <c r="T38" s="8">
        <f>(-CB_SMI_Mixto_BAJA!P13/1000000)*T$25</f>
        <v>0</v>
      </c>
      <c r="U38" s="8">
        <f>(-CB_SMI_Mixto_BAJA!Q13/1000000)*U$25</f>
        <v>0</v>
      </c>
      <c r="W38" s="42">
        <f t="shared" ref="W38:W43" si="8">NPV($D$67,G38:U38)+F38</f>
        <v>0</v>
      </c>
      <c r="X38" s="42">
        <f t="shared" ref="X38:X43" si="9">PMT($D$67,15,-W38)</f>
        <v>0</v>
      </c>
      <c r="Y38" s="42">
        <f t="shared" si="6"/>
        <v>0</v>
      </c>
      <c r="Z38" s="30">
        <f t="shared" ref="Z38:Z43" si="10">W38/$W$43</f>
        <v>0</v>
      </c>
    </row>
    <row r="39" spans="2:26" x14ac:dyDescent="0.3">
      <c r="B39" s="53"/>
      <c r="C39" s="44" t="s">
        <v>101</v>
      </c>
      <c r="D39" s="45"/>
      <c r="E39" s="45"/>
      <c r="F39" s="8">
        <v>0</v>
      </c>
      <c r="G39" s="8">
        <f>(-CB_SMI_Mixto_BAJA!C14/1000000)*G$25</f>
        <v>-0.20152146788116354</v>
      </c>
      <c r="H39" s="8">
        <f>(-CB_SMI_Mixto_BAJA!D14/1000000)*H$25</f>
        <v>-0.40286361628698658</v>
      </c>
      <c r="I39" s="8">
        <f>(-CB_SMI_Mixto_BAJA!E14/1000000)*I$25</f>
        <v>-0.60402668445630425</v>
      </c>
      <c r="J39" s="8">
        <f>(-CB_SMI_Mixto_BAJA!F14/1000000)*J$25</f>
        <v>-0.60402668445630425</v>
      </c>
      <c r="K39" s="8">
        <f>(-CB_SMI_Mixto_BAJA!G14/1000000)*K$25</f>
        <v>-0.60402668445630425</v>
      </c>
      <c r="L39" s="8">
        <f>(-CB_SMI_Mixto_BAJA!H14/1000000)*L$25</f>
        <v>-0.60402668445630425</v>
      </c>
      <c r="M39" s="8">
        <f>(-CB_SMI_Mixto_BAJA!I14/1000000)*M$25</f>
        <v>-0.60402668445630425</v>
      </c>
      <c r="N39" s="8">
        <f>(-CB_SMI_Mixto_BAJA!J14/1000000)*N$25</f>
        <v>-0.60402668445630425</v>
      </c>
      <c r="O39" s="8">
        <f>(-CB_SMI_Mixto_BAJA!K14/1000000)*O$25</f>
        <v>-0.60402668445630425</v>
      </c>
      <c r="P39" s="8">
        <f>(-CB_SMI_Mixto_BAJA!L14/1000000)*P$25</f>
        <v>-0.60402668445630425</v>
      </c>
      <c r="Q39" s="8">
        <f>(-CB_SMI_Mixto_BAJA!M14/1000000)*Q$25</f>
        <v>-0.60402668445630425</v>
      </c>
      <c r="R39" s="8">
        <f>(-CB_SMI_Mixto_BAJA!N14/1000000)*R$25</f>
        <v>-0.60402668445630425</v>
      </c>
      <c r="S39" s="8">
        <f>(-CB_SMI_Mixto_BAJA!O14/1000000)*S$25</f>
        <v>-0.60402668445630425</v>
      </c>
      <c r="T39" s="8">
        <f>(-CB_SMI_Mixto_BAJA!P14/1000000)*T$25</f>
        <v>-0.60402668445630425</v>
      </c>
      <c r="U39" s="8">
        <f>(-CB_SMI_Mixto_BAJA!Q14/1000000)*U$25</f>
        <v>-0.60402668445630425</v>
      </c>
      <c r="W39" s="42">
        <f t="shared" si="8"/>
        <v>-5.3077012377168709</v>
      </c>
      <c r="X39" s="42">
        <f t="shared" si="9"/>
        <v>-0.54649558968436329</v>
      </c>
      <c r="Y39" s="42">
        <f t="shared" si="6"/>
        <v>-0.68531875477711635</v>
      </c>
      <c r="Z39" s="30">
        <f t="shared" si="10"/>
        <v>0.61791029568727052</v>
      </c>
    </row>
    <row r="40" spans="2:26" x14ac:dyDescent="0.3">
      <c r="B40" s="53"/>
      <c r="C40" s="44" t="s">
        <v>146</v>
      </c>
      <c r="D40" s="45"/>
      <c r="E40" s="45"/>
      <c r="F40" s="8">
        <v>0</v>
      </c>
      <c r="G40" s="8">
        <f>(-CB_SMI_Mixto_BAJA!C15/1000000)*G$25</f>
        <v>-9.5765323549032708E-2</v>
      </c>
      <c r="H40" s="8">
        <f>(-CB_SMI_Mixto_BAJA!D15/1000000)*H$25</f>
        <v>-0.19153064709806544</v>
      </c>
      <c r="I40" s="8">
        <f>(-CB_SMI_Mixto_BAJA!E15/1000000)*I$25</f>
        <v>-0.28729597064709811</v>
      </c>
      <c r="J40" s="8">
        <f>(-CB_SMI_Mixto_BAJA!F15/1000000)*J$25</f>
        <v>-0.28742373582388264</v>
      </c>
      <c r="K40" s="8">
        <f>(-CB_SMI_Mixto_BAJA!G15/1000000)*K$25</f>
        <v>-0.28755150100066712</v>
      </c>
      <c r="L40" s="8">
        <f>(-CB_SMI_Mixto_BAJA!H15/1000000)*L$25</f>
        <v>-0.2876792661774516</v>
      </c>
      <c r="M40" s="8">
        <f>(-CB_SMI_Mixto_BAJA!I15/1000000)*M$25</f>
        <v>-0.28780703135423619</v>
      </c>
      <c r="N40" s="8">
        <f>(-CB_SMI_Mixto_BAJA!J15/1000000)*N$25</f>
        <v>-0.28793479653102072</v>
      </c>
      <c r="O40" s="8">
        <f>(-CB_SMI_Mixto_BAJA!K15/1000000)*O$25</f>
        <v>-0.2880625617078052</v>
      </c>
      <c r="P40" s="8">
        <f>(-CB_SMI_Mixto_BAJA!L15/1000000)*P$25</f>
        <v>-0.28819032688458968</v>
      </c>
      <c r="Q40" s="8">
        <f>(-CB_SMI_Mixto_BAJA!M15/1000000)*Q$25</f>
        <v>-0.28831809206137421</v>
      </c>
      <c r="R40" s="8">
        <f>(-CB_SMI_Mixto_BAJA!N15/1000000)*R$25</f>
        <v>-0.2884458572381588</v>
      </c>
      <c r="S40" s="8">
        <f>(-CB_SMI_Mixto_BAJA!O15/1000000)*S$25</f>
        <v>-0.28857362241494328</v>
      </c>
      <c r="T40" s="8">
        <f>(-CB_SMI_Mixto_BAJA!P15/1000000)*T$25</f>
        <v>-0.28870138759172775</v>
      </c>
      <c r="U40" s="8">
        <f>(-CB_SMI_Mixto_BAJA!Q15/1000000)*U$25</f>
        <v>-0.2888291527685124</v>
      </c>
      <c r="W40" s="42">
        <f t="shared" si="8"/>
        <v>-2.5295963832735806</v>
      </c>
      <c r="X40" s="42">
        <f t="shared" si="9"/>
        <v>-0.26045423531321044</v>
      </c>
      <c r="Y40" s="42">
        <f t="shared" si="6"/>
        <v>-0.32661594272767575</v>
      </c>
      <c r="Z40" s="30">
        <f t="shared" si="10"/>
        <v>0.29448975727020882</v>
      </c>
    </row>
    <row r="41" spans="2:26" x14ac:dyDescent="0.3">
      <c r="B41" s="53"/>
      <c r="C41" s="44" t="s">
        <v>144</v>
      </c>
      <c r="D41" s="45"/>
      <c r="E41" s="45"/>
      <c r="F41" s="8">
        <v>0</v>
      </c>
      <c r="G41" s="8">
        <f>(-CB_SMI_Mixto_BAJA!C16/1000000)*G$25</f>
        <v>-1.3591794087719296E-2</v>
      </c>
      <c r="H41" s="8">
        <f>(-CB_SMI_Mixto_BAJA!D16/1000000)*H$25</f>
        <v>-2.7183588175438592E-2</v>
      </c>
      <c r="I41" s="8">
        <f>(-CB_SMI_Mixto_BAJA!E16/1000000)*I$25</f>
        <v>-4.0775382263157904E-2</v>
      </c>
      <c r="J41" s="8">
        <f>(-CB_SMI_Mixto_BAJA!F16/1000000)*J$25</f>
        <v>-4.0793515736842111E-2</v>
      </c>
      <c r="K41" s="8">
        <f>(-CB_SMI_Mixto_BAJA!G16/1000000)*K$25</f>
        <v>-4.0811649210526317E-2</v>
      </c>
      <c r="L41" s="8">
        <f>(-CB_SMI_Mixto_BAJA!H16/1000000)*L$25</f>
        <v>-4.082978268421053E-2</v>
      </c>
      <c r="M41" s="8">
        <f>(-CB_SMI_Mixto_BAJA!I16/1000000)*M$25</f>
        <v>-4.0847916157894737E-2</v>
      </c>
      <c r="N41" s="8">
        <f>(-CB_SMI_Mixto_BAJA!J16/1000000)*N$25</f>
        <v>-4.086604963157895E-2</v>
      </c>
      <c r="O41" s="8">
        <f>(-CB_SMI_Mixto_BAJA!K16/1000000)*O$25</f>
        <v>-4.0884183105263164E-2</v>
      </c>
      <c r="P41" s="8">
        <f>(-CB_SMI_Mixto_BAJA!L16/1000000)*P$25</f>
        <v>-4.090231657894737E-2</v>
      </c>
      <c r="Q41" s="8">
        <f>(-CB_SMI_Mixto_BAJA!M16/1000000)*Q$25</f>
        <v>-4.0920450052631584E-2</v>
      </c>
      <c r="R41" s="8">
        <f>(-CB_SMI_Mixto_BAJA!N16/1000000)*R$25</f>
        <v>-4.093858352631579E-2</v>
      </c>
      <c r="S41" s="8">
        <f>(-CB_SMI_Mixto_BAJA!O16/1000000)*S$25</f>
        <v>-4.0956716999999997E-2</v>
      </c>
      <c r="T41" s="8">
        <f>(-CB_SMI_Mixto_BAJA!P16/1000000)*T$25</f>
        <v>-4.0974850473684224E-2</v>
      </c>
      <c r="U41" s="8">
        <f>(-CB_SMI_Mixto_BAJA!Q16/1000000)*U$25</f>
        <v>-4.099298394736843E-2</v>
      </c>
      <c r="W41" s="42">
        <f t="shared" si="8"/>
        <v>-0.35902090539996157</v>
      </c>
      <c r="X41" s="42">
        <f t="shared" si="9"/>
        <v>-3.6965784737718894E-2</v>
      </c>
      <c r="Y41" s="42">
        <f t="shared" si="6"/>
        <v>-4.6355992699674116E-2</v>
      </c>
      <c r="Z41" s="30">
        <f t="shared" si="10"/>
        <v>4.1796383006106871E-2</v>
      </c>
    </row>
    <row r="42" spans="2:26" x14ac:dyDescent="0.3">
      <c r="B42" s="53"/>
      <c r="C42" s="44" t="s">
        <v>61</v>
      </c>
      <c r="D42" s="45"/>
      <c r="E42" s="45"/>
      <c r="F42" s="8">
        <v>0</v>
      </c>
      <c r="G42" s="8">
        <f>(-CB_SMI_Mixto_BAJA!C17/1000000)*G$25</f>
        <v>-1.4894891999999998E-2</v>
      </c>
      <c r="H42" s="8">
        <f>(-CB_SMI_Mixto_BAJA!D17/1000000)*H$25</f>
        <v>-2.9789784E-2</v>
      </c>
      <c r="I42" s="8">
        <f>(-CB_SMI_Mixto_BAJA!E17/1000000)*I$25</f>
        <v>-4.4684676000000007E-2</v>
      </c>
      <c r="J42" s="8">
        <f>(-CB_SMI_Mixto_BAJA!F17/1000000)*J$25</f>
        <v>-4.4704548000000004E-2</v>
      </c>
      <c r="K42" s="8">
        <f>(-CB_SMI_Mixto_BAJA!G17/1000000)*K$25</f>
        <v>-4.4724420000000015E-2</v>
      </c>
      <c r="L42" s="8">
        <f>(-CB_SMI_Mixto_BAJA!H17/1000000)*L$25</f>
        <v>-4.4744291999999998E-2</v>
      </c>
      <c r="M42" s="8">
        <f>(-CB_SMI_Mixto_BAJA!I17/1000000)*M$25</f>
        <v>-4.4764163999999995E-2</v>
      </c>
      <c r="N42" s="8">
        <f>(-CB_SMI_Mixto_BAJA!J17/1000000)*N$25</f>
        <v>-4.4784036000000006E-2</v>
      </c>
      <c r="O42" s="8">
        <f>(-CB_SMI_Mixto_BAJA!K17/1000000)*O$25</f>
        <v>-4.4803908000000003E-2</v>
      </c>
      <c r="P42" s="8">
        <f>(-CB_SMI_Mixto_BAJA!L17/1000000)*P$25</f>
        <v>-4.4823780000000001E-2</v>
      </c>
      <c r="Q42" s="8">
        <f>(-CB_SMI_Mixto_BAJA!M17/1000000)*Q$25</f>
        <v>-4.4843652000000005E-2</v>
      </c>
      <c r="R42" s="8">
        <f>(-CB_SMI_Mixto_BAJA!N17/1000000)*R$25</f>
        <v>-4.4863523999999995E-2</v>
      </c>
      <c r="S42" s="8">
        <f>(-CB_SMI_Mixto_BAJA!O17/1000000)*S$25</f>
        <v>-4.4883396000000006E-2</v>
      </c>
      <c r="T42" s="8">
        <f>(-CB_SMI_Mixto_BAJA!P17/1000000)*T$25</f>
        <v>-4.490326800000001E-2</v>
      </c>
      <c r="U42" s="8">
        <f>(-CB_SMI_Mixto_BAJA!Q17/1000000)*U$25</f>
        <v>-4.4923140000000007E-2</v>
      </c>
      <c r="W42" s="42">
        <f t="shared" si="8"/>
        <v>-0.39344162935093197</v>
      </c>
      <c r="X42" s="42">
        <f t="shared" si="9"/>
        <v>-4.0509837613053636E-2</v>
      </c>
      <c r="Y42" s="42">
        <f t="shared" si="6"/>
        <v>-5.0800321161302613E-2</v>
      </c>
      <c r="Z42" s="30">
        <f t="shared" si="10"/>
        <v>4.5803564036413495E-2</v>
      </c>
    </row>
    <row r="43" spans="2:26" x14ac:dyDescent="0.3">
      <c r="B43" s="54"/>
      <c r="C43" s="55" t="s">
        <v>131</v>
      </c>
      <c r="D43" s="55"/>
      <c r="E43" s="55"/>
      <c r="F43" s="15">
        <f>SUM(F38:F42)</f>
        <v>0</v>
      </c>
      <c r="G43" s="15">
        <f>SUM(G38:G42)</f>
        <v>-0.32577347751791558</v>
      </c>
      <c r="H43" s="15">
        <f t="shared" ref="H43:T43" si="11">SUM(H38:H42)</f>
        <v>-0.65136763556049071</v>
      </c>
      <c r="I43" s="15">
        <f t="shared" si="11"/>
        <v>-0.97678271336656031</v>
      </c>
      <c r="J43" s="15">
        <f t="shared" si="11"/>
        <v>-0.97694848401702905</v>
      </c>
      <c r="K43" s="15">
        <f t="shared" si="11"/>
        <v>-0.97711425466749757</v>
      </c>
      <c r="L43" s="15">
        <f t="shared" si="11"/>
        <v>-0.97728002531796643</v>
      </c>
      <c r="M43" s="15">
        <f t="shared" si="11"/>
        <v>-0.97744579596843528</v>
      </c>
      <c r="N43" s="15">
        <f t="shared" si="11"/>
        <v>-0.97761156661890392</v>
      </c>
      <c r="O43" s="15">
        <f t="shared" si="11"/>
        <v>-0.97777733726937266</v>
      </c>
      <c r="P43" s="15">
        <f t="shared" si="11"/>
        <v>-0.97794310791984129</v>
      </c>
      <c r="Q43" s="15">
        <f t="shared" si="11"/>
        <v>-0.97810887857030993</v>
      </c>
      <c r="R43" s="15">
        <f t="shared" si="11"/>
        <v>-0.97827464922077878</v>
      </c>
      <c r="S43" s="15">
        <f t="shared" si="11"/>
        <v>-0.97844041987124764</v>
      </c>
      <c r="T43" s="15">
        <f t="shared" si="11"/>
        <v>-0.97860619052171616</v>
      </c>
      <c r="U43" s="15">
        <f>SUM(U38:U42)</f>
        <v>-0.97877196117218501</v>
      </c>
      <c r="W43" s="42">
        <f t="shared" si="8"/>
        <v>-8.589760155741347</v>
      </c>
      <c r="X43" s="42">
        <f t="shared" si="9"/>
        <v>-0.88442544734834638</v>
      </c>
      <c r="Y43" s="42">
        <f t="shared" si="6"/>
        <v>-1.109091011365769</v>
      </c>
      <c r="Z43" s="30">
        <f t="shared" si="10"/>
        <v>1</v>
      </c>
    </row>
    <row r="44" spans="2:26" x14ac:dyDescent="0.3"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W44" s="42"/>
      <c r="X44" s="42"/>
      <c r="Y44" s="42"/>
    </row>
    <row r="45" spans="2:26" x14ac:dyDescent="0.3">
      <c r="B45" s="88" t="s">
        <v>155</v>
      </c>
      <c r="C45" s="55"/>
      <c r="D45" s="55"/>
      <c r="E45" s="55"/>
      <c r="F45" s="15">
        <f>F36+F43</f>
        <v>-0.7088970089473684</v>
      </c>
      <c r="G45" s="15">
        <f t="shared" ref="G45:U45" si="12">G36+G43</f>
        <v>-9.0285278517869223</v>
      </c>
      <c r="H45" s="15">
        <f t="shared" si="12"/>
        <v>-9.3541220098294975</v>
      </c>
      <c r="I45" s="15">
        <f t="shared" si="12"/>
        <v>-9.679537087635568</v>
      </c>
      <c r="J45" s="15">
        <f t="shared" si="12"/>
        <v>-0.98911748984159042</v>
      </c>
      <c r="K45" s="15">
        <f t="shared" si="12"/>
        <v>-0.98928326049205895</v>
      </c>
      <c r="L45" s="15">
        <f t="shared" si="12"/>
        <v>-0.9894490311425278</v>
      </c>
      <c r="M45" s="15">
        <f t="shared" si="12"/>
        <v>-0.98961480179299666</v>
      </c>
      <c r="N45" s="15">
        <f t="shared" si="12"/>
        <v>-0.98978057244346529</v>
      </c>
      <c r="O45" s="15">
        <f t="shared" si="12"/>
        <v>-0.98994634309393403</v>
      </c>
      <c r="P45" s="15">
        <f t="shared" si="12"/>
        <v>-0.99011211374440267</v>
      </c>
      <c r="Q45" s="15">
        <f t="shared" si="12"/>
        <v>-0.9902778843948713</v>
      </c>
      <c r="R45" s="15">
        <f t="shared" si="12"/>
        <v>-0.99044365504534015</v>
      </c>
      <c r="S45" s="15">
        <f t="shared" si="12"/>
        <v>-0.99060942569580901</v>
      </c>
      <c r="T45" s="15">
        <f t="shared" si="12"/>
        <v>-0.99077519634627753</v>
      </c>
      <c r="U45" s="15">
        <f t="shared" si="12"/>
        <v>-0.99094096699674639</v>
      </c>
      <c r="W45" s="42">
        <f>NPV($D$67,G45:U45)+F45</f>
        <v>-32.646884116858587</v>
      </c>
      <c r="X45" s="42">
        <f>PMT($D$67,15,-W45)</f>
        <v>-3.3614134232005584</v>
      </c>
      <c r="Y45" s="42">
        <f t="shared" si="6"/>
        <v>-4.2152941486854303</v>
      </c>
    </row>
    <row r="46" spans="2:26" x14ac:dyDescent="0.3">
      <c r="B46" s="9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W46" s="42"/>
      <c r="X46" s="42"/>
      <c r="Y46" s="42"/>
    </row>
    <row r="47" spans="2:26" x14ac:dyDescent="0.3">
      <c r="B47" s="74" t="s">
        <v>120</v>
      </c>
      <c r="C47" s="44" t="s">
        <v>112</v>
      </c>
      <c r="D47" s="45"/>
      <c r="E47" s="45"/>
      <c r="F47" s="8">
        <v>0</v>
      </c>
      <c r="G47" s="8">
        <f>(CB_SMI_Mixto_BAJA!C18/1000000)*G$25</f>
        <v>0</v>
      </c>
      <c r="H47" s="8">
        <f>(CB_SMI_Mixto_BAJA!D18/1000000)*H$25</f>
        <v>0</v>
      </c>
      <c r="I47" s="8">
        <f>(CB_SMI_Mixto_BAJA!E18/1000000)*I$25</f>
        <v>0</v>
      </c>
      <c r="J47" s="8">
        <f>(CB_SMI_Mixto_BAJA!F18/1000000)*J$25</f>
        <v>0</v>
      </c>
      <c r="K47" s="8">
        <f>(CB_SMI_Mixto_BAJA!G18/1000000)*K$25</f>
        <v>0</v>
      </c>
      <c r="L47" s="8">
        <f>(CB_SMI_Mixto_BAJA!H18/1000000)*L$25</f>
        <v>0</v>
      </c>
      <c r="M47" s="8">
        <f>(CB_SMI_Mixto_BAJA!I18/1000000)*M$25</f>
        <v>0</v>
      </c>
      <c r="N47" s="8">
        <f>(CB_SMI_Mixto_BAJA!J18/1000000)*N$25</f>
        <v>0</v>
      </c>
      <c r="O47" s="8">
        <f>(CB_SMI_Mixto_BAJA!K18/1000000)*O$25</f>
        <v>0</v>
      </c>
      <c r="P47" s="8">
        <f>(CB_SMI_Mixto_BAJA!L18/1000000)*P$25</f>
        <v>0</v>
      </c>
      <c r="Q47" s="8">
        <f>(CB_SMI_Mixto_BAJA!M18/1000000)*Q$25</f>
        <v>0</v>
      </c>
      <c r="R47" s="8">
        <f>(CB_SMI_Mixto_BAJA!N18/1000000)*R$25</f>
        <v>0</v>
      </c>
      <c r="S47" s="8">
        <f>(CB_SMI_Mixto_BAJA!O18/1000000)*S$25</f>
        <v>0</v>
      </c>
      <c r="T47" s="8">
        <f>(CB_SMI_Mixto_BAJA!P18/1000000)*T$25</f>
        <v>0</v>
      </c>
      <c r="U47" s="8">
        <f>(CB_SMI_Mixto_BAJA!Q18/1000000)*U$25</f>
        <v>0</v>
      </c>
      <c r="V47" s="30">
        <f>U47/$U$56</f>
        <v>0</v>
      </c>
      <c r="W47" s="42">
        <f>NPV($D$67,G47:U47)+F47</f>
        <v>0</v>
      </c>
      <c r="X47" s="42">
        <f t="shared" ref="X47:X56" si="13">PMT($D$67,15,-W47)</f>
        <v>0</v>
      </c>
      <c r="Y47" s="42">
        <f>W47*1000000/7744865</f>
        <v>0</v>
      </c>
      <c r="Z47" s="30">
        <f>W47/$W$56</f>
        <v>0</v>
      </c>
    </row>
    <row r="48" spans="2:26" x14ac:dyDescent="0.3">
      <c r="B48" s="75"/>
      <c r="C48" s="44" t="s">
        <v>62</v>
      </c>
      <c r="D48" s="45"/>
      <c r="E48" s="45"/>
      <c r="F48" s="8">
        <v>0</v>
      </c>
      <c r="G48" s="8">
        <f>(CB_SMI_Mixto_BAJA!C19/1000000)*G$25</f>
        <v>0</v>
      </c>
      <c r="H48" s="8">
        <f>(CB_SMI_Mixto_BAJA!D19/1000000)*H$25</f>
        <v>0</v>
      </c>
      <c r="I48" s="8">
        <f>(CB_SMI_Mixto_BAJA!E19/1000000)*I$25</f>
        <v>0</v>
      </c>
      <c r="J48" s="8">
        <f>(CB_SMI_Mixto_BAJA!F19/1000000)*J$25</f>
        <v>0</v>
      </c>
      <c r="K48" s="8">
        <f>(CB_SMI_Mixto_BAJA!G19/1000000)*K$25</f>
        <v>0</v>
      </c>
      <c r="L48" s="8">
        <f>(CB_SMI_Mixto_BAJA!H19/1000000)*L$25</f>
        <v>0</v>
      </c>
      <c r="M48" s="8">
        <f>(CB_SMI_Mixto_BAJA!I19/1000000)*M$25</f>
        <v>0</v>
      </c>
      <c r="N48" s="8">
        <f>(CB_SMI_Mixto_BAJA!J19/1000000)*N$25</f>
        <v>0</v>
      </c>
      <c r="O48" s="8">
        <f>(CB_SMI_Mixto_BAJA!K19/1000000)*O$25</f>
        <v>0</v>
      </c>
      <c r="P48" s="8">
        <f>(CB_SMI_Mixto_BAJA!L19/1000000)*P$25</f>
        <v>0</v>
      </c>
      <c r="Q48" s="8">
        <f>(CB_SMI_Mixto_BAJA!M19/1000000)*Q$25</f>
        <v>0</v>
      </c>
      <c r="R48" s="8">
        <f>(CB_SMI_Mixto_BAJA!N19/1000000)*R$25</f>
        <v>0</v>
      </c>
      <c r="S48" s="8">
        <f>(CB_SMI_Mixto_BAJA!O19/1000000)*S$25</f>
        <v>0</v>
      </c>
      <c r="T48" s="8">
        <f>(CB_SMI_Mixto_BAJA!P19/1000000)*T$25</f>
        <v>0</v>
      </c>
      <c r="U48" s="8">
        <f>(CB_SMI_Mixto_BAJA!Q19/1000000)*U$25</f>
        <v>0</v>
      </c>
      <c r="V48" s="30">
        <f t="shared" ref="V48:V55" si="14">U48/$U$56</f>
        <v>0</v>
      </c>
      <c r="W48" s="42">
        <f t="shared" ref="W48:W55" si="15">NPV($D$67,G48:U48)+F48</f>
        <v>0</v>
      </c>
      <c r="X48" s="42">
        <f t="shared" si="13"/>
        <v>0</v>
      </c>
      <c r="Y48" s="42">
        <f t="shared" si="6"/>
        <v>0</v>
      </c>
      <c r="Z48" s="30">
        <f t="shared" ref="Z48:Z56" si="16">W48/$W$56</f>
        <v>0</v>
      </c>
    </row>
    <row r="49" spans="2:26" x14ac:dyDescent="0.3">
      <c r="B49" s="75"/>
      <c r="C49" s="44" t="s">
        <v>95</v>
      </c>
      <c r="D49" s="45"/>
      <c r="E49" s="45"/>
      <c r="F49" s="8">
        <v>0</v>
      </c>
      <c r="G49" s="8">
        <f>(CB_SMI_Mixto_BAJA!C20/1000000)*G$25</f>
        <v>0</v>
      </c>
      <c r="H49" s="8">
        <f>(CB_SMI_Mixto_BAJA!D20/1000000)*H$25</f>
        <v>0</v>
      </c>
      <c r="I49" s="8">
        <f>(CB_SMI_Mixto_BAJA!E20/1000000)*I$25</f>
        <v>0</v>
      </c>
      <c r="J49" s="8">
        <f>(CB_SMI_Mixto_BAJA!F20/1000000)*J$25</f>
        <v>0</v>
      </c>
      <c r="K49" s="8">
        <f>(CB_SMI_Mixto_BAJA!G20/1000000)*K$25</f>
        <v>0</v>
      </c>
      <c r="L49" s="8">
        <f>(CB_SMI_Mixto_BAJA!H20/1000000)*L$25</f>
        <v>0</v>
      </c>
      <c r="M49" s="8">
        <f>(CB_SMI_Mixto_BAJA!I20/1000000)*M$25</f>
        <v>0</v>
      </c>
      <c r="N49" s="8">
        <f>(CB_SMI_Mixto_BAJA!J20/1000000)*N$25</f>
        <v>0</v>
      </c>
      <c r="O49" s="8">
        <f>(CB_SMI_Mixto_BAJA!K20/1000000)*O$25</f>
        <v>0</v>
      </c>
      <c r="P49" s="8">
        <f>(CB_SMI_Mixto_BAJA!L20/1000000)*P$25</f>
        <v>0</v>
      </c>
      <c r="Q49" s="8">
        <f>(CB_SMI_Mixto_BAJA!M20/1000000)*Q$25</f>
        <v>0</v>
      </c>
      <c r="R49" s="8">
        <f>(CB_SMI_Mixto_BAJA!N20/1000000)*R$25</f>
        <v>0</v>
      </c>
      <c r="S49" s="8">
        <f>(CB_SMI_Mixto_BAJA!O20/1000000)*S$25</f>
        <v>0</v>
      </c>
      <c r="T49" s="8">
        <f>(CB_SMI_Mixto_BAJA!P20/1000000)*T$25</f>
        <v>0</v>
      </c>
      <c r="U49" s="8">
        <f>(CB_SMI_Mixto_BAJA!Q20/1000000)*U$25</f>
        <v>0</v>
      </c>
      <c r="V49" s="30">
        <f t="shared" si="14"/>
        <v>0</v>
      </c>
      <c r="W49" s="42">
        <f t="shared" si="15"/>
        <v>0</v>
      </c>
      <c r="X49" s="42">
        <f t="shared" si="13"/>
        <v>0</v>
      </c>
      <c r="Y49" s="42">
        <f t="shared" si="6"/>
        <v>0</v>
      </c>
      <c r="Z49" s="30">
        <f t="shared" si="16"/>
        <v>0</v>
      </c>
    </row>
    <row r="50" spans="2:26" x14ac:dyDescent="0.3">
      <c r="B50" s="75"/>
      <c r="C50" s="44" t="s">
        <v>96</v>
      </c>
      <c r="D50" s="45"/>
      <c r="E50" s="45"/>
      <c r="F50" s="8">
        <v>0</v>
      </c>
      <c r="G50" s="8">
        <f>(CB_SMI_Mixto_BAJA!C21/1000000)*G$25</f>
        <v>0.25223418765601979</v>
      </c>
      <c r="H50" s="8">
        <f>(CB_SMI_Mixto_BAJA!D21/1000000)*H$25</f>
        <v>0.50424393023098202</v>
      </c>
      <c r="I50" s="8">
        <f>(CB_SMI_Mixto_BAJA!E21/1000000)*I$25</f>
        <v>0.75602952716798777</v>
      </c>
      <c r="J50" s="8">
        <f>(CB_SMI_Mixto_BAJA!F21/1000000)*J$25</f>
        <v>0.75602952716798777</v>
      </c>
      <c r="K50" s="8">
        <f>(CB_SMI_Mixto_BAJA!G21/1000000)*K$25</f>
        <v>0.75602952716798777</v>
      </c>
      <c r="L50" s="8">
        <f>(CB_SMI_Mixto_BAJA!H21/1000000)*L$25</f>
        <v>0.75602952716798777</v>
      </c>
      <c r="M50" s="8">
        <f>(CB_SMI_Mixto_BAJA!I21/1000000)*M$25</f>
        <v>0.75602952716798777</v>
      </c>
      <c r="N50" s="8">
        <f>(CB_SMI_Mixto_BAJA!J21/1000000)*N$25</f>
        <v>0.75602952716798777</v>
      </c>
      <c r="O50" s="8">
        <f>(CB_SMI_Mixto_BAJA!K21/1000000)*O$25</f>
        <v>0.75602952716798777</v>
      </c>
      <c r="P50" s="8">
        <f>(CB_SMI_Mixto_BAJA!L21/1000000)*P$25</f>
        <v>0.75602952716798777</v>
      </c>
      <c r="Q50" s="8">
        <f>(CB_SMI_Mixto_BAJA!M21/1000000)*Q$25</f>
        <v>0.75602952716798777</v>
      </c>
      <c r="R50" s="8">
        <f>(CB_SMI_Mixto_BAJA!N21/1000000)*R$25</f>
        <v>0.75602952716798777</v>
      </c>
      <c r="S50" s="8">
        <f>(CB_SMI_Mixto_BAJA!O21/1000000)*S$25</f>
        <v>0.75602952716798777</v>
      </c>
      <c r="T50" s="8">
        <f>(CB_SMI_Mixto_BAJA!P21/1000000)*T$25</f>
        <v>0.75602952716798777</v>
      </c>
      <c r="U50" s="8">
        <f>(CB_SMI_Mixto_BAJA!Q21/1000000)*U$25</f>
        <v>0.75602952716798777</v>
      </c>
      <c r="V50" s="30">
        <f t="shared" si="14"/>
        <v>0.24613203844456322</v>
      </c>
      <c r="W50" s="42">
        <f t="shared" si="15"/>
        <v>6.6433801028376864</v>
      </c>
      <c r="X50" s="42">
        <f t="shared" si="13"/>
        <v>0.68402077739389777</v>
      </c>
      <c r="Y50" s="42">
        <f t="shared" si="6"/>
        <v>0.85777868340347918</v>
      </c>
      <c r="Z50" s="30">
        <f t="shared" si="16"/>
        <v>0.24993494150872339</v>
      </c>
    </row>
    <row r="51" spans="2:26" x14ac:dyDescent="0.3">
      <c r="B51" s="75"/>
      <c r="C51" s="44" t="s">
        <v>140</v>
      </c>
      <c r="D51" s="45"/>
      <c r="E51" s="45"/>
      <c r="F51" s="8">
        <v>0</v>
      </c>
      <c r="G51" s="8">
        <f>(CB_SMI_Mixto_BAJA!C22/1000000)*G$25</f>
        <v>0</v>
      </c>
      <c r="H51" s="8">
        <f>(CB_SMI_Mixto_BAJA!D22/1000000)*H$25</f>
        <v>0</v>
      </c>
      <c r="I51" s="8">
        <f>(CB_SMI_Mixto_BAJA!E22/1000000)*I$25</f>
        <v>0</v>
      </c>
      <c r="J51" s="8">
        <f>(CB_SMI_Mixto_BAJA!F22/1000000)*J$25</f>
        <v>0</v>
      </c>
      <c r="K51" s="8">
        <f>(CB_SMI_Mixto_BAJA!G22/1000000)*K$25</f>
        <v>0</v>
      </c>
      <c r="L51" s="8">
        <f>(CB_SMI_Mixto_BAJA!H22/1000000)*L$25</f>
        <v>0</v>
      </c>
      <c r="M51" s="8">
        <f>(CB_SMI_Mixto_BAJA!I22/1000000)*M$25</f>
        <v>0</v>
      </c>
      <c r="N51" s="8">
        <f>(CB_SMI_Mixto_BAJA!J22/1000000)*N$25</f>
        <v>0</v>
      </c>
      <c r="O51" s="8">
        <f>(CB_SMI_Mixto_BAJA!K22/1000000)*O$25</f>
        <v>0</v>
      </c>
      <c r="P51" s="8">
        <f>(CB_SMI_Mixto_BAJA!L22/1000000)*P$25</f>
        <v>0</v>
      </c>
      <c r="Q51" s="8">
        <f>(CB_SMI_Mixto_BAJA!M22/1000000)*Q$25</f>
        <v>0</v>
      </c>
      <c r="R51" s="8">
        <f>(CB_SMI_Mixto_BAJA!N22/1000000)*R$25</f>
        <v>0</v>
      </c>
      <c r="S51" s="8">
        <f>(CB_SMI_Mixto_BAJA!O22/1000000)*S$25</f>
        <v>0</v>
      </c>
      <c r="T51" s="8">
        <f>(CB_SMI_Mixto_BAJA!P22/1000000)*T$25</f>
        <v>0</v>
      </c>
      <c r="U51" s="8">
        <f>(CB_SMI_Mixto_BAJA!Q22/1000000)*U$25</f>
        <v>0</v>
      </c>
      <c r="V51" s="30">
        <f t="shared" si="14"/>
        <v>0</v>
      </c>
      <c r="W51" s="42">
        <f t="shared" si="15"/>
        <v>0</v>
      </c>
      <c r="X51" s="42">
        <f t="shared" si="13"/>
        <v>0</v>
      </c>
      <c r="Y51" s="42">
        <f t="shared" si="6"/>
        <v>0</v>
      </c>
      <c r="Z51" s="30">
        <f t="shared" si="16"/>
        <v>0</v>
      </c>
    </row>
    <row r="52" spans="2:26" x14ac:dyDescent="0.3">
      <c r="B52" s="75"/>
      <c r="C52" s="44" t="s">
        <v>98</v>
      </c>
      <c r="D52" s="45"/>
      <c r="E52" s="45"/>
      <c r="F52" s="8">
        <v>0</v>
      </c>
      <c r="G52" s="8">
        <f>(CB_SMI_Mixto_BAJA!C23/1000000)*G$25</f>
        <v>0</v>
      </c>
      <c r="H52" s="8">
        <f>(CB_SMI_Mixto_BAJA!D23/1000000)*H$25</f>
        <v>0</v>
      </c>
      <c r="I52" s="8">
        <f>(CB_SMI_Mixto_BAJA!E23/1000000)*I$25</f>
        <v>0</v>
      </c>
      <c r="J52" s="8">
        <f>(CB_SMI_Mixto_BAJA!F23/1000000)*J$25</f>
        <v>0</v>
      </c>
      <c r="K52" s="8">
        <f>(CB_SMI_Mixto_BAJA!G23/1000000)*K$25</f>
        <v>0</v>
      </c>
      <c r="L52" s="8">
        <f>(CB_SMI_Mixto_BAJA!H23/1000000)*L$25</f>
        <v>0</v>
      </c>
      <c r="M52" s="8">
        <f>(CB_SMI_Mixto_BAJA!I23/1000000)*M$25</f>
        <v>0</v>
      </c>
      <c r="N52" s="8">
        <f>(CB_SMI_Mixto_BAJA!J23/1000000)*N$25</f>
        <v>0</v>
      </c>
      <c r="O52" s="8">
        <f>(CB_SMI_Mixto_BAJA!K23/1000000)*O$25</f>
        <v>0</v>
      </c>
      <c r="P52" s="8">
        <f>(CB_SMI_Mixto_BAJA!L23/1000000)*P$25</f>
        <v>0</v>
      </c>
      <c r="Q52" s="8">
        <f>(CB_SMI_Mixto_BAJA!M23/1000000)*Q$25</f>
        <v>0</v>
      </c>
      <c r="R52" s="8">
        <f>(CB_SMI_Mixto_BAJA!N23/1000000)*R$25</f>
        <v>0</v>
      </c>
      <c r="S52" s="8">
        <f>(CB_SMI_Mixto_BAJA!O23/1000000)*S$25</f>
        <v>0</v>
      </c>
      <c r="T52" s="8">
        <f>(CB_SMI_Mixto_BAJA!P23/1000000)*T$25</f>
        <v>0</v>
      </c>
      <c r="U52" s="8">
        <f>(CB_SMI_Mixto_BAJA!Q23/1000000)*U$25</f>
        <v>0</v>
      </c>
      <c r="V52" s="30">
        <f t="shared" si="14"/>
        <v>0</v>
      </c>
      <c r="W52" s="42">
        <f t="shared" si="15"/>
        <v>0</v>
      </c>
      <c r="X52" s="42">
        <f t="shared" si="13"/>
        <v>0</v>
      </c>
      <c r="Y52" s="42">
        <f t="shared" si="6"/>
        <v>0</v>
      </c>
      <c r="Z52" s="30">
        <f t="shared" si="16"/>
        <v>0</v>
      </c>
    </row>
    <row r="53" spans="2:26" x14ac:dyDescent="0.3">
      <c r="B53" s="75"/>
      <c r="C53" s="44" t="s">
        <v>63</v>
      </c>
      <c r="D53" s="45"/>
      <c r="E53" s="45"/>
      <c r="F53" s="8">
        <v>0</v>
      </c>
      <c r="G53" s="8">
        <f>(CB_SMI_Mixto_BAJA!C24/1000000)*G$25</f>
        <v>0</v>
      </c>
      <c r="H53" s="8">
        <f>(CB_SMI_Mixto_BAJA!D24/1000000)*H$25</f>
        <v>0</v>
      </c>
      <c r="I53" s="8">
        <f>(CB_SMI_Mixto_BAJA!E24/1000000)*I$25</f>
        <v>0</v>
      </c>
      <c r="J53" s="8">
        <f>(CB_SMI_Mixto_BAJA!F24/1000000)*J$25</f>
        <v>0</v>
      </c>
      <c r="K53" s="8">
        <f>(CB_SMI_Mixto_BAJA!G24/1000000)*K$25</f>
        <v>0</v>
      </c>
      <c r="L53" s="8">
        <f>(CB_SMI_Mixto_BAJA!H24/1000000)*L$25</f>
        <v>0</v>
      </c>
      <c r="M53" s="8">
        <f>(CB_SMI_Mixto_BAJA!I24/1000000)*M$25</f>
        <v>0</v>
      </c>
      <c r="N53" s="8">
        <f>(CB_SMI_Mixto_BAJA!J24/1000000)*N$25</f>
        <v>0</v>
      </c>
      <c r="O53" s="8">
        <f>(CB_SMI_Mixto_BAJA!K24/1000000)*O$25</f>
        <v>0</v>
      </c>
      <c r="P53" s="8">
        <f>(CB_SMI_Mixto_BAJA!L24/1000000)*P$25</f>
        <v>0</v>
      </c>
      <c r="Q53" s="8">
        <f>(CB_SMI_Mixto_BAJA!M24/1000000)*Q$25</f>
        <v>0</v>
      </c>
      <c r="R53" s="8">
        <f>(CB_SMI_Mixto_BAJA!N24/1000000)*R$25</f>
        <v>0</v>
      </c>
      <c r="S53" s="8">
        <f>(CB_SMI_Mixto_BAJA!O24/1000000)*S$25</f>
        <v>0</v>
      </c>
      <c r="T53" s="8">
        <f>(CB_SMI_Mixto_BAJA!P24/1000000)*T$25</f>
        <v>0</v>
      </c>
      <c r="U53" s="8">
        <f>(CB_SMI_Mixto_BAJA!Q24/1000000)*U$25</f>
        <v>0</v>
      </c>
      <c r="V53" s="30">
        <f t="shared" si="14"/>
        <v>0</v>
      </c>
      <c r="W53" s="42">
        <f t="shared" si="15"/>
        <v>0</v>
      </c>
      <c r="X53" s="42">
        <f t="shared" si="13"/>
        <v>0</v>
      </c>
      <c r="Y53" s="42">
        <f t="shared" si="6"/>
        <v>0</v>
      </c>
      <c r="Z53" s="30">
        <f t="shared" si="16"/>
        <v>0</v>
      </c>
    </row>
    <row r="54" spans="2:26" x14ac:dyDescent="0.3">
      <c r="B54" s="75"/>
      <c r="C54" s="44" t="s">
        <v>99</v>
      </c>
      <c r="D54" s="45"/>
      <c r="E54" s="45"/>
      <c r="F54" s="8">
        <v>0</v>
      </c>
      <c r="G54" s="8">
        <f>(CB_SMI_Mixto_BAJA!C25/1000000)*G$25</f>
        <v>0</v>
      </c>
      <c r="H54" s="8">
        <f>(CB_SMI_Mixto_BAJA!D25/1000000)*H$25</f>
        <v>0</v>
      </c>
      <c r="I54" s="8">
        <f>(CB_SMI_Mixto_BAJA!E25/1000000)*I$25</f>
        <v>0</v>
      </c>
      <c r="J54" s="8">
        <f>(CB_SMI_Mixto_BAJA!F25/1000000)*J$25</f>
        <v>0</v>
      </c>
      <c r="K54" s="8">
        <f>(CB_SMI_Mixto_BAJA!G25/1000000)*K$25</f>
        <v>0</v>
      </c>
      <c r="L54" s="8">
        <f>(CB_SMI_Mixto_BAJA!H25/1000000)*L$25</f>
        <v>0</v>
      </c>
      <c r="M54" s="8">
        <f>(CB_SMI_Mixto_BAJA!I25/1000000)*M$25</f>
        <v>0</v>
      </c>
      <c r="N54" s="8">
        <f>(CB_SMI_Mixto_BAJA!J25/1000000)*N$25</f>
        <v>0</v>
      </c>
      <c r="O54" s="8">
        <f>(CB_SMI_Mixto_BAJA!K25/1000000)*O$25</f>
        <v>0</v>
      </c>
      <c r="P54" s="8">
        <f>(CB_SMI_Mixto_BAJA!L25/1000000)*P$25</f>
        <v>0</v>
      </c>
      <c r="Q54" s="8">
        <f>(CB_SMI_Mixto_BAJA!M25/1000000)*Q$25</f>
        <v>0</v>
      </c>
      <c r="R54" s="8">
        <f>(CB_SMI_Mixto_BAJA!N25/1000000)*R$25</f>
        <v>0</v>
      </c>
      <c r="S54" s="8">
        <f>(CB_SMI_Mixto_BAJA!O25/1000000)*S$25</f>
        <v>0</v>
      </c>
      <c r="T54" s="8">
        <f>(CB_SMI_Mixto_BAJA!P25/1000000)*T$25</f>
        <v>0</v>
      </c>
      <c r="U54" s="8">
        <f>(CB_SMI_Mixto_BAJA!Q25/1000000)*U$25</f>
        <v>0</v>
      </c>
      <c r="V54" s="30">
        <f t="shared" si="14"/>
        <v>0</v>
      </c>
      <c r="W54" s="42">
        <f t="shared" si="15"/>
        <v>0</v>
      </c>
      <c r="X54" s="42">
        <f t="shared" si="13"/>
        <v>0</v>
      </c>
      <c r="Y54" s="42">
        <f t="shared" si="6"/>
        <v>0</v>
      </c>
      <c r="Z54" s="30">
        <f t="shared" si="16"/>
        <v>0</v>
      </c>
    </row>
    <row r="55" spans="2:26" x14ac:dyDescent="0.3">
      <c r="B55" s="75"/>
      <c r="C55" s="44" t="s">
        <v>97</v>
      </c>
      <c r="D55" s="45"/>
      <c r="E55" s="45"/>
      <c r="F55" s="8">
        <v>0</v>
      </c>
      <c r="G55" s="8">
        <f>(CB_SMI_Mixto_BAJA!C26/1000000)*G$25</f>
        <v>0.74060660218205665</v>
      </c>
      <c r="H55" s="8">
        <f>(CB_SMI_Mixto_BAJA!D26/1000000)*H$25</f>
        <v>1.481674161646932</v>
      </c>
      <c r="I55" s="8">
        <f>(CB_SMI_Mixto_BAJA!E26/1000000)*I$25</f>
        <v>2.2460061288636362</v>
      </c>
      <c r="J55" s="8">
        <f>(CB_SMI_Mixto_BAJA!F26/1000000)*J$25</f>
        <v>2.2512735843181821</v>
      </c>
      <c r="K55" s="8">
        <f>(CB_SMI_Mixto_BAJA!G26/1000000)*K$25</f>
        <v>2.2547020920454539</v>
      </c>
      <c r="L55" s="8">
        <f>(CB_SMI_Mixto_BAJA!H26/1000000)*L$25</f>
        <v>2.2571705227272729</v>
      </c>
      <c r="M55" s="8">
        <f>(CB_SMI_Mixto_BAJA!I26/1000000)*M$25</f>
        <v>2.2595794629545458</v>
      </c>
      <c r="N55" s="8">
        <f>(CB_SMI_Mixto_BAJA!J26/1000000)*N$25</f>
        <v>2.2782560356818191</v>
      </c>
      <c r="O55" s="8">
        <f>(CB_SMI_Mixto_BAJA!K26/1000000)*O$25</f>
        <v>2.2830823240909091</v>
      </c>
      <c r="P55" s="8">
        <f>(CB_SMI_Mixto_BAJA!L26/1000000)*P$25</f>
        <v>2.2869041793181824</v>
      </c>
      <c r="Q55" s="8">
        <f>(CB_SMI_Mixto_BAJA!M26/1000000)*Q$25</f>
        <v>2.2907352665909091</v>
      </c>
      <c r="R55" s="8">
        <f>(CB_SMI_Mixto_BAJA!N26/1000000)*R$25</f>
        <v>2.2952781345454554</v>
      </c>
      <c r="S55" s="8">
        <f>(CB_SMI_Mixto_BAJA!O26/1000000)*S$25</f>
        <v>2.3020363593181821</v>
      </c>
      <c r="T55" s="8">
        <f>(CB_SMI_Mixto_BAJA!P26/1000000)*T$25</f>
        <v>2.3088144847727268</v>
      </c>
      <c r="U55" s="8">
        <f>(CB_SMI_Mixto_BAJA!Q26/1000000)*U$25</f>
        <v>2.3156125554545461</v>
      </c>
      <c r="V55" s="30">
        <f t="shared" si="14"/>
        <v>0.75386796155543678</v>
      </c>
      <c r="W55" s="42">
        <f t="shared" si="15"/>
        <v>19.937057441169401</v>
      </c>
      <c r="X55" s="42">
        <f t="shared" si="13"/>
        <v>2.0527745392786358</v>
      </c>
      <c r="Y55" s="42">
        <f t="shared" si="6"/>
        <v>2.5742291752237643</v>
      </c>
      <c r="Z55" s="30">
        <f t="shared" si="16"/>
        <v>0.75006505849127669</v>
      </c>
    </row>
    <row r="56" spans="2:26" x14ac:dyDescent="0.3">
      <c r="B56" s="76"/>
      <c r="C56" s="77" t="s">
        <v>132</v>
      </c>
      <c r="D56" s="77"/>
      <c r="E56" s="77"/>
      <c r="F56" s="14">
        <f t="shared" ref="F56:T56" si="17">SUM(F47:F55)</f>
        <v>0</v>
      </c>
      <c r="G56" s="14">
        <f t="shared" si="17"/>
        <v>0.99284078983807644</v>
      </c>
      <c r="H56" s="14">
        <f t="shared" si="17"/>
        <v>1.985918091877914</v>
      </c>
      <c r="I56" s="14">
        <f t="shared" si="17"/>
        <v>3.0020356560316239</v>
      </c>
      <c r="J56" s="14">
        <f t="shared" si="17"/>
        <v>3.0073031114861699</v>
      </c>
      <c r="K56" s="14">
        <f t="shared" si="17"/>
        <v>3.0107316192134417</v>
      </c>
      <c r="L56" s="14">
        <f t="shared" si="17"/>
        <v>3.0132000498952607</v>
      </c>
      <c r="M56" s="14">
        <f t="shared" si="17"/>
        <v>3.0156089901225336</v>
      </c>
      <c r="N56" s="14">
        <f t="shared" si="17"/>
        <v>3.0342855628498069</v>
      </c>
      <c r="O56" s="14">
        <f t="shared" si="17"/>
        <v>3.0391118512588968</v>
      </c>
      <c r="P56" s="14">
        <f t="shared" si="17"/>
        <v>3.0429337064861701</v>
      </c>
      <c r="Q56" s="14">
        <f t="shared" si="17"/>
        <v>3.0467647937588969</v>
      </c>
      <c r="R56" s="14">
        <f t="shared" si="17"/>
        <v>3.0513076617134431</v>
      </c>
      <c r="S56" s="14">
        <f t="shared" si="17"/>
        <v>3.0580658864861698</v>
      </c>
      <c r="T56" s="14">
        <f t="shared" si="17"/>
        <v>3.0648440119407145</v>
      </c>
      <c r="U56" s="14">
        <f>SUM(U47:U55)</f>
        <v>3.0716420826225339</v>
      </c>
      <c r="W56" s="42">
        <f>NPV($D$67,G56:U56)+F56</f>
        <v>26.580437544007086</v>
      </c>
      <c r="X56" s="42">
        <f t="shared" si="13"/>
        <v>2.7367953166725334</v>
      </c>
      <c r="Y56" s="42">
        <f t="shared" si="6"/>
        <v>3.4320078586272436</v>
      </c>
      <c r="Z56" s="30">
        <f t="shared" si="16"/>
        <v>1</v>
      </c>
    </row>
    <row r="58" spans="2:26" x14ac:dyDescent="0.3">
      <c r="B58" s="72" t="s">
        <v>64</v>
      </c>
      <c r="C58" s="73"/>
      <c r="D58" s="73"/>
      <c r="E58" s="73"/>
      <c r="F58" s="31">
        <f>F45+F56</f>
        <v>-0.7088970089473684</v>
      </c>
      <c r="G58" s="31">
        <f>G45+G56</f>
        <v>-8.0356870619488454</v>
      </c>
      <c r="H58" s="31">
        <f t="shared" ref="H58:U58" si="18">H45+H56</f>
        <v>-7.3682039179515835</v>
      </c>
      <c r="I58" s="31">
        <f t="shared" si="18"/>
        <v>-6.677501431603944</v>
      </c>
      <c r="J58" s="31">
        <f t="shared" si="18"/>
        <v>2.0181856216445793</v>
      </c>
      <c r="K58" s="31">
        <f t="shared" si="18"/>
        <v>2.0214483587213827</v>
      </c>
      <c r="L58" s="31">
        <f t="shared" si="18"/>
        <v>2.023751018752733</v>
      </c>
      <c r="M58" s="31">
        <f t="shared" si="18"/>
        <v>2.0259941883295367</v>
      </c>
      <c r="N58" s="31">
        <f t="shared" si="18"/>
        <v>2.0445049904063417</v>
      </c>
      <c r="O58" s="31">
        <f t="shared" si="18"/>
        <v>2.0491655081649629</v>
      </c>
      <c r="P58" s="31">
        <f t="shared" si="18"/>
        <v>2.0528215927417675</v>
      </c>
      <c r="Q58" s="31">
        <f t="shared" si="18"/>
        <v>2.0564869093640255</v>
      </c>
      <c r="R58" s="31">
        <f t="shared" si="18"/>
        <v>2.060864006668103</v>
      </c>
      <c r="S58" s="31">
        <f t="shared" si="18"/>
        <v>2.0674564607903609</v>
      </c>
      <c r="T58" s="31">
        <f t="shared" si="18"/>
        <v>2.0740688155944369</v>
      </c>
      <c r="U58" s="31">
        <f t="shared" si="18"/>
        <v>2.0807011156257875</v>
      </c>
    </row>
    <row r="60" spans="2:26" x14ac:dyDescent="0.3">
      <c r="B60" s="72" t="s">
        <v>156</v>
      </c>
      <c r="C60" s="73"/>
      <c r="D60" s="73"/>
      <c r="E60" s="73"/>
      <c r="F60" s="31">
        <v>0</v>
      </c>
      <c r="G60" s="31">
        <f>F61</f>
        <v>-0.7088970089473684</v>
      </c>
      <c r="H60" s="31">
        <f t="shared" ref="H60:U60" si="19">G61</f>
        <v>-8.744584070896213</v>
      </c>
      <c r="I60" s="31">
        <f t="shared" si="19"/>
        <v>-16.112787988847796</v>
      </c>
      <c r="J60" s="31">
        <f t="shared" si="19"/>
        <v>-22.790289420451739</v>
      </c>
      <c r="K60" s="31">
        <f t="shared" si="19"/>
        <v>-20.772103798807159</v>
      </c>
      <c r="L60" s="31">
        <f>K61</f>
        <v>-18.750655440085776</v>
      </c>
      <c r="M60" s="31">
        <f t="shared" si="19"/>
        <v>-16.726904421333042</v>
      </c>
      <c r="N60" s="31">
        <f t="shared" si="19"/>
        <v>-14.700910233003505</v>
      </c>
      <c r="O60" s="31">
        <f t="shared" si="19"/>
        <v>-12.656405242597163</v>
      </c>
      <c r="P60" s="31">
        <f t="shared" si="19"/>
        <v>-10.6072397344322</v>
      </c>
      <c r="Q60" s="31">
        <f t="shared" si="19"/>
        <v>-8.5544181416904337</v>
      </c>
      <c r="R60" s="31">
        <f t="shared" si="19"/>
        <v>-6.4979312323264082</v>
      </c>
      <c r="S60" s="31">
        <f t="shared" si="19"/>
        <v>-4.4370672256583052</v>
      </c>
      <c r="T60" s="31">
        <f t="shared" si="19"/>
        <v>-2.3696107648679443</v>
      </c>
      <c r="U60" s="31">
        <f t="shared" si="19"/>
        <v>-0.29554194927350741</v>
      </c>
    </row>
    <row r="61" spans="2:26" x14ac:dyDescent="0.3">
      <c r="B61" s="72" t="s">
        <v>109</v>
      </c>
      <c r="C61" s="73"/>
      <c r="D61" s="73"/>
      <c r="E61" s="73"/>
      <c r="F61" s="31">
        <f>F58+F60</f>
        <v>-0.7088970089473684</v>
      </c>
      <c r="G61" s="31">
        <f>G58+G60</f>
        <v>-8.744584070896213</v>
      </c>
      <c r="H61" s="31">
        <f t="shared" ref="H61:U61" si="20">H58+H60</f>
        <v>-16.112787988847796</v>
      </c>
      <c r="I61" s="31">
        <f t="shared" si="20"/>
        <v>-22.790289420451739</v>
      </c>
      <c r="J61" s="31">
        <f t="shared" si="20"/>
        <v>-20.772103798807159</v>
      </c>
      <c r="K61" s="31">
        <f t="shared" si="20"/>
        <v>-18.750655440085776</v>
      </c>
      <c r="L61" s="31">
        <f t="shared" si="20"/>
        <v>-16.726904421333042</v>
      </c>
      <c r="M61" s="31">
        <f t="shared" si="20"/>
        <v>-14.700910233003505</v>
      </c>
      <c r="N61" s="31">
        <f t="shared" si="20"/>
        <v>-12.656405242597163</v>
      </c>
      <c r="O61" s="31">
        <f t="shared" si="20"/>
        <v>-10.6072397344322</v>
      </c>
      <c r="P61" s="31">
        <f t="shared" si="20"/>
        <v>-8.5544181416904337</v>
      </c>
      <c r="Q61" s="31">
        <f t="shared" si="20"/>
        <v>-6.4979312323264082</v>
      </c>
      <c r="R61" s="31">
        <f t="shared" si="20"/>
        <v>-4.4370672256583052</v>
      </c>
      <c r="S61" s="31">
        <f t="shared" si="20"/>
        <v>-2.3696107648679443</v>
      </c>
      <c r="T61" s="31">
        <f t="shared" si="20"/>
        <v>-0.29554194927350741</v>
      </c>
      <c r="U61" s="31">
        <f t="shared" si="20"/>
        <v>1.7851591663522801</v>
      </c>
    </row>
    <row r="62" spans="2:26" x14ac:dyDescent="0.3"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</row>
    <row r="63" spans="2:26" x14ac:dyDescent="0.3">
      <c r="B63" s="78" t="s">
        <v>157</v>
      </c>
      <c r="C63" s="79"/>
      <c r="D63" s="79"/>
      <c r="E63" s="79"/>
      <c r="F63" s="33">
        <f>F58/(1+0.06)^F27</f>
        <v>-0.7088970089473684</v>
      </c>
      <c r="G63" s="33">
        <f>G58/(1+0.06)^G27</f>
        <v>-7.5808368508951371</v>
      </c>
      <c r="H63" s="33">
        <f t="shared" ref="H63:T63" si="21">H58/(1+0.06)^H27</f>
        <v>-6.5576752562758829</v>
      </c>
      <c r="I63" s="33">
        <f t="shared" si="21"/>
        <v>-5.6065589644504712</v>
      </c>
      <c r="J63" s="33">
        <f t="shared" si="21"/>
        <v>1.5985920421427562</v>
      </c>
      <c r="K63" s="33">
        <f t="shared" si="21"/>
        <v>1.51054380708123</v>
      </c>
      <c r="L63" s="33">
        <f t="shared" si="21"/>
        <v>1.4266646118952722</v>
      </c>
      <c r="M63" s="33">
        <f>M58/(1+0.06)^M27</f>
        <v>1.3474018471060691</v>
      </c>
      <c r="N63" s="33">
        <f t="shared" si="21"/>
        <v>1.282747724251041</v>
      </c>
      <c r="O63" s="33">
        <f t="shared" si="21"/>
        <v>1.2128979158015645</v>
      </c>
      <c r="P63" s="33">
        <f t="shared" si="21"/>
        <v>1.1462848553255762</v>
      </c>
      <c r="Q63" s="33">
        <f t="shared" si="21"/>
        <v>1.0833316499841368</v>
      </c>
      <c r="R63" s="33">
        <f t="shared" si="21"/>
        <v>1.0241862738125944</v>
      </c>
      <c r="S63" s="33">
        <f t="shared" si="21"/>
        <v>0.96930426560579575</v>
      </c>
      <c r="T63" s="33">
        <f t="shared" si="21"/>
        <v>0.91736263732722545</v>
      </c>
      <c r="U63" s="33">
        <f>U58/(1+0.06)^U27</f>
        <v>0.86820387738410076</v>
      </c>
    </row>
    <row r="64" spans="2:26" x14ac:dyDescent="0.3">
      <c r="B64" s="78" t="s">
        <v>158</v>
      </c>
      <c r="C64" s="79"/>
      <c r="D64" s="79"/>
      <c r="E64" s="79"/>
      <c r="F64" s="33">
        <f>F63</f>
        <v>-0.7088970089473684</v>
      </c>
      <c r="G64" s="33">
        <f>F64+G63</f>
        <v>-8.2897338598425048</v>
      </c>
      <c r="H64" s="33">
        <f t="shared" ref="H64:U64" si="22">G64+H63</f>
        <v>-14.847409116118389</v>
      </c>
      <c r="I64" s="33">
        <f t="shared" si="22"/>
        <v>-20.45396808056886</v>
      </c>
      <c r="J64" s="33">
        <f t="shared" si="22"/>
        <v>-18.855376038426105</v>
      </c>
      <c r="K64" s="33">
        <f t="shared" si="22"/>
        <v>-17.344832231344874</v>
      </c>
      <c r="L64" s="33">
        <f t="shared" si="22"/>
        <v>-15.918167619449601</v>
      </c>
      <c r="M64" s="33">
        <f t="shared" si="22"/>
        <v>-14.570765772343533</v>
      </c>
      <c r="N64" s="33">
        <f t="shared" si="22"/>
        <v>-13.288018048092493</v>
      </c>
      <c r="O64" s="33">
        <f t="shared" si="22"/>
        <v>-12.075120132290929</v>
      </c>
      <c r="P64" s="33">
        <f t="shared" si="22"/>
        <v>-10.928835276965351</v>
      </c>
      <c r="Q64" s="33">
        <f t="shared" si="22"/>
        <v>-9.8455036269812144</v>
      </c>
      <c r="R64" s="33">
        <f t="shared" si="22"/>
        <v>-8.8213173531686202</v>
      </c>
      <c r="S64" s="33">
        <f t="shared" si="22"/>
        <v>-7.852013087562824</v>
      </c>
      <c r="T64" s="33">
        <f t="shared" si="22"/>
        <v>-6.9346504502355986</v>
      </c>
      <c r="U64" s="33">
        <f t="shared" si="22"/>
        <v>-6.0664465728514978</v>
      </c>
    </row>
    <row r="67" spans="2:20" x14ac:dyDescent="0.3">
      <c r="B67" s="85" t="s">
        <v>159</v>
      </c>
      <c r="C67" s="85"/>
      <c r="D67" s="34">
        <f>J4</f>
        <v>0.06</v>
      </c>
      <c r="H67" s="93" t="s">
        <v>160</v>
      </c>
      <c r="I67" s="93"/>
      <c r="J67" s="93" t="s">
        <v>161</v>
      </c>
      <c r="K67" s="93"/>
      <c r="L67" s="93" t="s">
        <v>162</v>
      </c>
      <c r="M67" s="93"/>
    </row>
    <row r="68" spans="2:20" x14ac:dyDescent="0.3">
      <c r="B68" s="62"/>
      <c r="C68" s="62"/>
      <c r="F68" s="100" t="s">
        <v>163</v>
      </c>
      <c r="G68" s="100"/>
      <c r="H68" s="94">
        <f>NPV(D67,G45:U45)+F45</f>
        <v>-32.646884116858587</v>
      </c>
      <c r="I68" s="94"/>
      <c r="J68" s="94">
        <f>H68*1000000/$D$75</f>
        <v>-27.822539274310898</v>
      </c>
      <c r="K68" s="94"/>
      <c r="L68" s="95">
        <f>J68*$S$4</f>
        <v>-26691.831278202902</v>
      </c>
      <c r="M68" s="95"/>
      <c r="S68" s="6"/>
      <c r="T68" s="6"/>
    </row>
    <row r="69" spans="2:20" x14ac:dyDescent="0.3">
      <c r="B69" s="80" t="s">
        <v>110</v>
      </c>
      <c r="C69" s="80"/>
      <c r="D69" s="36">
        <f>NPV(D67,G58:U58)+F58</f>
        <v>-6.066446572851496</v>
      </c>
      <c r="F69" s="101" t="s">
        <v>164</v>
      </c>
      <c r="G69" s="101"/>
      <c r="H69" s="89">
        <f>PMT(D67,15,-H68)</f>
        <v>-3.3614134232005584</v>
      </c>
      <c r="I69" s="89"/>
      <c r="J69" s="89">
        <f>H69*1000000/$D$75</f>
        <v>-2.8646855439382906</v>
      </c>
      <c r="K69" s="89"/>
      <c r="L69" s="90">
        <f t="shared" ref="L69" si="23">J69*$S$4</f>
        <v>-2748.2647234326387</v>
      </c>
      <c r="M69" s="90"/>
    </row>
    <row r="70" spans="2:20" x14ac:dyDescent="0.3">
      <c r="B70" s="80" t="s">
        <v>111</v>
      </c>
      <c r="C70" s="80"/>
      <c r="D70" s="37">
        <f>IRR(F58:U58)</f>
        <v>9.9713553784672726E-3</v>
      </c>
      <c r="F70" s="102" t="s">
        <v>165</v>
      </c>
      <c r="G70" s="102"/>
      <c r="H70" s="91">
        <f>H69/12</f>
        <v>-0.28011778526671322</v>
      </c>
      <c r="I70" s="91"/>
      <c r="J70" s="91">
        <f t="shared" ref="J70" si="24">J69/12</f>
        <v>-0.23872379532819088</v>
      </c>
      <c r="K70" s="91"/>
      <c r="L70" s="92">
        <f>L69/12</f>
        <v>-229.02206028605323</v>
      </c>
      <c r="M70" s="92"/>
    </row>
    <row r="71" spans="2:20" x14ac:dyDescent="0.3">
      <c r="B71" s="80" t="s">
        <v>166</v>
      </c>
      <c r="C71" s="80"/>
      <c r="D71" s="38">
        <f>NPV(D67,G56:U56)/-(F36+NPV(D67,G36:U36)+NPV(D67,G43:U43))</f>
        <v>0.81417992139351436</v>
      </c>
      <c r="F71" s="103"/>
      <c r="G71" s="103"/>
      <c r="L71" s="39"/>
      <c r="M71" s="39"/>
    </row>
    <row r="72" spans="2:20" x14ac:dyDescent="0.3">
      <c r="B72" s="62"/>
      <c r="C72" s="62"/>
      <c r="F72" s="104" t="s">
        <v>167</v>
      </c>
      <c r="G72" s="104"/>
      <c r="H72" s="94">
        <f>NPV(D67,G56:U56)+F56</f>
        <v>26.580437544007086</v>
      </c>
      <c r="I72" s="94"/>
      <c r="J72" s="94">
        <f>H72*1000000/$D$75</f>
        <v>22.652552839326404</v>
      </c>
      <c r="K72" s="94"/>
      <c r="L72" s="95">
        <f>J72*$S$4</f>
        <v>21731.953091936179</v>
      </c>
      <c r="M72" s="95"/>
    </row>
    <row r="73" spans="2:20" x14ac:dyDescent="0.3">
      <c r="B73" s="80" t="s">
        <v>168</v>
      </c>
      <c r="C73" s="80"/>
      <c r="D73" s="4">
        <v>2527114</v>
      </c>
      <c r="F73" s="105" t="s">
        <v>169</v>
      </c>
      <c r="G73" s="105"/>
      <c r="H73" s="89">
        <f>PMT(D67,15,-H72)</f>
        <v>2.7367953166725334</v>
      </c>
      <c r="I73" s="89"/>
      <c r="J73" s="94">
        <f>H73*1000000/$D$75</f>
        <v>2.3323694509808131</v>
      </c>
      <c r="K73" s="94"/>
      <c r="L73" s="90">
        <f>J73*$S$4</f>
        <v>2237.5819564929529</v>
      </c>
      <c r="M73" s="90"/>
    </row>
    <row r="74" spans="2:20" x14ac:dyDescent="0.3">
      <c r="B74" s="80" t="s">
        <v>170</v>
      </c>
      <c r="C74" s="80"/>
      <c r="D74" s="4">
        <v>2158536</v>
      </c>
      <c r="F74" s="106" t="s">
        <v>171</v>
      </c>
      <c r="G74" s="106"/>
      <c r="H74" s="96">
        <f>H73/12</f>
        <v>0.22806627638937779</v>
      </c>
      <c r="I74" s="96"/>
      <c r="J74" s="96">
        <f t="shared" ref="J74" si="25">J73/12</f>
        <v>0.19436412091506775</v>
      </c>
      <c r="K74" s="96"/>
      <c r="L74" s="97">
        <f>L73/12</f>
        <v>186.46516304107942</v>
      </c>
      <c r="M74" s="97"/>
    </row>
    <row r="75" spans="2:20" x14ac:dyDescent="0.3">
      <c r="B75" s="80" t="s">
        <v>172</v>
      </c>
      <c r="C75" s="80"/>
      <c r="D75" s="4">
        <v>1173397</v>
      </c>
      <c r="F75" s="103"/>
      <c r="G75" s="103"/>
      <c r="L75" s="39"/>
      <c r="M75" s="39"/>
    </row>
    <row r="76" spans="2:20" x14ac:dyDescent="0.3">
      <c r="B76" s="80" t="s">
        <v>173</v>
      </c>
      <c r="C76" s="80"/>
      <c r="D76" s="4">
        <v>1288141</v>
      </c>
      <c r="F76" s="107" t="s">
        <v>174</v>
      </c>
      <c r="G76" s="107"/>
      <c r="H76" s="94">
        <f>H72+H68</f>
        <v>-6.0664465728515005</v>
      </c>
      <c r="I76" s="94"/>
      <c r="J76" s="94">
        <f>H76*1000000/$D$75</f>
        <v>-5.1699864349844944</v>
      </c>
      <c r="K76" s="94"/>
      <c r="L76" s="95">
        <f>J76*$S$4</f>
        <v>-4959.8781862667247</v>
      </c>
      <c r="M76" s="95"/>
    </row>
    <row r="77" spans="2:20" x14ac:dyDescent="0.3">
      <c r="B77" s="80" t="s">
        <v>175</v>
      </c>
      <c r="C77" s="80"/>
      <c r="D77" s="4">
        <v>593823</v>
      </c>
      <c r="F77" s="108" t="s">
        <v>176</v>
      </c>
      <c r="G77" s="108"/>
      <c r="H77" s="89">
        <f>PMT(D67,15,-H76)</f>
        <v>-0.62461810652802474</v>
      </c>
      <c r="I77" s="89"/>
      <c r="J77" s="94">
        <f>H77*1000000/$D$75</f>
        <v>-0.53231609295747706</v>
      </c>
      <c r="K77" s="94"/>
      <c r="L77" s="90">
        <f>J77*$S$4</f>
        <v>-510.68276693968522</v>
      </c>
      <c r="M77" s="90"/>
    </row>
    <row r="78" spans="2:20" x14ac:dyDescent="0.3">
      <c r="B78" s="62"/>
      <c r="C78" s="62"/>
      <c r="D78" s="35"/>
      <c r="F78" s="109" t="s">
        <v>177</v>
      </c>
      <c r="G78" s="109"/>
      <c r="H78" s="98">
        <f>H77/12</f>
        <v>-5.2051508877335395E-2</v>
      </c>
      <c r="I78" s="98"/>
      <c r="J78" s="98">
        <f t="shared" ref="J78" si="26">J77/12</f>
        <v>-4.4359674413123086E-2</v>
      </c>
      <c r="K78" s="98"/>
      <c r="L78" s="99">
        <f t="shared" ref="L78" si="27">L77/12</f>
        <v>-42.556897244973769</v>
      </c>
      <c r="M78" s="99"/>
    </row>
    <row r="79" spans="2:20" x14ac:dyDescent="0.3">
      <c r="B79" s="86" t="s">
        <v>178</v>
      </c>
      <c r="C79" s="86"/>
      <c r="D79" s="4">
        <f>SUM(D73:D77)</f>
        <v>7741011</v>
      </c>
    </row>
  </sheetData>
  <mergeCells count="131">
    <mergeCell ref="B79:C79"/>
    <mergeCell ref="B78:C78"/>
    <mergeCell ref="F78:G78"/>
    <mergeCell ref="H78:I78"/>
    <mergeCell ref="J78:K78"/>
    <mergeCell ref="L78:M78"/>
    <mergeCell ref="J76:K76"/>
    <mergeCell ref="L76:M76"/>
    <mergeCell ref="B77:C77"/>
    <mergeCell ref="F77:G77"/>
    <mergeCell ref="H77:I77"/>
    <mergeCell ref="J77:K77"/>
    <mergeCell ref="L77:M77"/>
    <mergeCell ref="B75:C75"/>
    <mergeCell ref="F75:G75"/>
    <mergeCell ref="B76:C76"/>
    <mergeCell ref="F76:G76"/>
    <mergeCell ref="H76:I76"/>
    <mergeCell ref="B74:C74"/>
    <mergeCell ref="F74:G74"/>
    <mergeCell ref="H74:I74"/>
    <mergeCell ref="J74:K74"/>
    <mergeCell ref="L74:M74"/>
    <mergeCell ref="J72:K72"/>
    <mergeCell ref="L72:M72"/>
    <mergeCell ref="B73:C73"/>
    <mergeCell ref="F73:G73"/>
    <mergeCell ref="H73:I73"/>
    <mergeCell ref="J73:K73"/>
    <mergeCell ref="L73:M73"/>
    <mergeCell ref="B71:C71"/>
    <mergeCell ref="F71:G71"/>
    <mergeCell ref="B72:C72"/>
    <mergeCell ref="F72:G72"/>
    <mergeCell ref="H72:I72"/>
    <mergeCell ref="B70:C70"/>
    <mergeCell ref="F70:G70"/>
    <mergeCell ref="H70:I70"/>
    <mergeCell ref="J70:K70"/>
    <mergeCell ref="L70:M70"/>
    <mergeCell ref="B69:C69"/>
    <mergeCell ref="F69:G69"/>
    <mergeCell ref="H69:I69"/>
    <mergeCell ref="J69:K69"/>
    <mergeCell ref="L69:M69"/>
    <mergeCell ref="L67:M67"/>
    <mergeCell ref="B68:C68"/>
    <mergeCell ref="F68:G68"/>
    <mergeCell ref="H68:I68"/>
    <mergeCell ref="J68:K68"/>
    <mergeCell ref="L68:M68"/>
    <mergeCell ref="B63:E63"/>
    <mergeCell ref="B64:E64"/>
    <mergeCell ref="B67:C67"/>
    <mergeCell ref="H67:I67"/>
    <mergeCell ref="J67:K67"/>
    <mergeCell ref="L4:P4"/>
    <mergeCell ref="B2:E2"/>
    <mergeCell ref="G2:K2"/>
    <mergeCell ref="B4:C4"/>
    <mergeCell ref="D4:E4"/>
    <mergeCell ref="G4:I4"/>
    <mergeCell ref="B5:C5"/>
    <mergeCell ref="D5:E5"/>
    <mergeCell ref="G5:I5"/>
    <mergeCell ref="L5:P5"/>
    <mergeCell ref="B6:C6"/>
    <mergeCell ref="D6:E6"/>
    <mergeCell ref="G6:I6"/>
    <mergeCell ref="L6:P6"/>
    <mergeCell ref="B14:U14"/>
    <mergeCell ref="B7:C7"/>
    <mergeCell ref="D7:E7"/>
    <mergeCell ref="G7:I7"/>
    <mergeCell ref="L7:P7"/>
    <mergeCell ref="B8:C8"/>
    <mergeCell ref="D8:E8"/>
    <mergeCell ref="G8:I8"/>
    <mergeCell ref="L8:P8"/>
    <mergeCell ref="B9:C9"/>
    <mergeCell ref="D9:E9"/>
    <mergeCell ref="G9:I9"/>
    <mergeCell ref="L9:P9"/>
    <mergeCell ref="B12:D13"/>
    <mergeCell ref="B15:B19"/>
    <mergeCell ref="C15:E15"/>
    <mergeCell ref="C16:U16"/>
    <mergeCell ref="C17:E17"/>
    <mergeCell ref="C18:E18"/>
    <mergeCell ref="C19:E19"/>
    <mergeCell ref="C20:U20"/>
    <mergeCell ref="B21:B25"/>
    <mergeCell ref="C21:E21"/>
    <mergeCell ref="C22:E22"/>
    <mergeCell ref="C23:E23"/>
    <mergeCell ref="C24:E24"/>
    <mergeCell ref="C25:E25"/>
    <mergeCell ref="B26:U26"/>
    <mergeCell ref="B27:D28"/>
    <mergeCell ref="B30:B36"/>
    <mergeCell ref="C30:E30"/>
    <mergeCell ref="C31:E31"/>
    <mergeCell ref="C32:E32"/>
    <mergeCell ref="C33:E33"/>
    <mergeCell ref="C34:E34"/>
    <mergeCell ref="C35:E35"/>
    <mergeCell ref="C36:E36"/>
    <mergeCell ref="B37:U37"/>
    <mergeCell ref="B38:B43"/>
    <mergeCell ref="C38:E38"/>
    <mergeCell ref="C39:E39"/>
    <mergeCell ref="C40:E40"/>
    <mergeCell ref="C41:E41"/>
    <mergeCell ref="C42:E42"/>
    <mergeCell ref="C43:E43"/>
    <mergeCell ref="B58:E58"/>
    <mergeCell ref="B60:E60"/>
    <mergeCell ref="B61:E61"/>
    <mergeCell ref="B44:U44"/>
    <mergeCell ref="B47:B5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B45:E45"/>
  </mergeCells>
  <conditionalFormatting sqref="F30:U36">
    <cfRule type="cellIs" dxfId="23" priority="9" operator="lessThan">
      <formula>0</formula>
    </cfRule>
  </conditionalFormatting>
  <conditionalFormatting sqref="F38:U43">
    <cfRule type="cellIs" dxfId="22" priority="7" operator="lessThan">
      <formula>0</formula>
    </cfRule>
  </conditionalFormatting>
  <conditionalFormatting sqref="F45:U45">
    <cfRule type="cellIs" dxfId="21" priority="5" operator="lessThan">
      <formula>0</formula>
    </cfRule>
  </conditionalFormatting>
  <conditionalFormatting sqref="F47:U56">
    <cfRule type="cellIs" dxfId="20" priority="8" operator="lessThan">
      <formula>0</formula>
    </cfRule>
  </conditionalFormatting>
  <conditionalFormatting sqref="F58:U61">
    <cfRule type="cellIs" dxfId="19" priority="3" operator="lessThan">
      <formula>0</formula>
    </cfRule>
  </conditionalFormatting>
  <conditionalFormatting sqref="F63:U64">
    <cfRule type="cellIs" dxfId="18" priority="2" operator="lessThan">
      <formula>0</formula>
    </cfRule>
  </conditionalFormatting>
  <conditionalFormatting sqref="H68:M69 H70 J70 H72:M73 H74 J74 H76:M78">
    <cfRule type="cellIs" dxfId="17" priority="4" operator="lessThan">
      <formula>0</formula>
    </cfRule>
  </conditionalFormatting>
  <conditionalFormatting sqref="L70 L74">
    <cfRule type="cellIs" dxfId="16" priority="1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063CC-3CE4-4521-8D85-ACFB8D102511}">
  <sheetPr>
    <tabColor theme="7" tint="-0.499984740745262"/>
  </sheetPr>
  <dimension ref="A1:Q26"/>
  <sheetViews>
    <sheetView zoomScale="80" zoomScaleNormal="80" workbookViewId="0">
      <selection activeCell="D11" sqref="D11"/>
    </sheetView>
  </sheetViews>
  <sheetFormatPr baseColWidth="10" defaultRowHeight="14.4" x14ac:dyDescent="0.3"/>
  <cols>
    <col min="1" max="1" width="42.77734375" bestFit="1" customWidth="1"/>
    <col min="2" max="11" width="12" bestFit="1" customWidth="1"/>
    <col min="12" max="17" width="12.88671875" bestFit="1" customWidth="1"/>
  </cols>
  <sheetData>
    <row r="1" spans="1:17" x14ac:dyDescent="0.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</row>
    <row r="2" spans="1:17" x14ac:dyDescent="0.3">
      <c r="A2" t="s">
        <v>113</v>
      </c>
      <c r="B2">
        <v>4883809.7305613514</v>
      </c>
      <c r="C2">
        <v>5031300.784424305</v>
      </c>
      <c r="D2">
        <v>5183246.0681139193</v>
      </c>
      <c r="E2">
        <v>5339780.0993709592</v>
      </c>
      <c r="F2">
        <v>5501041.4583719606</v>
      </c>
      <c r="G2">
        <v>5667172.9104147954</v>
      </c>
      <c r="H2">
        <v>5838321.5323093226</v>
      </c>
      <c r="I2">
        <v>6014638.8425850635</v>
      </c>
      <c r="J2">
        <v>6196280.9356311336</v>
      </c>
      <c r="K2">
        <v>6383408.6198871927</v>
      </c>
      <c r="L2">
        <v>6576187.560207786</v>
      </c>
      <c r="M2">
        <v>6774788.4245260619</v>
      </c>
      <c r="N2">
        <v>6979387.034946749</v>
      </c>
      <c r="O2">
        <v>7190164.5234021395</v>
      </c>
      <c r="P2">
        <v>7407307.4920088854</v>
      </c>
      <c r="Q2">
        <v>7631008.1782675534</v>
      </c>
    </row>
    <row r="3" spans="1:17" x14ac:dyDescent="0.3">
      <c r="A3" t="s">
        <v>102</v>
      </c>
      <c r="B3">
        <v>8294</v>
      </c>
      <c r="C3">
        <v>45</v>
      </c>
      <c r="D3">
        <v>45</v>
      </c>
      <c r="E3">
        <v>45</v>
      </c>
      <c r="F3">
        <v>45</v>
      </c>
      <c r="G3">
        <v>46</v>
      </c>
      <c r="H3">
        <v>46</v>
      </c>
      <c r="I3">
        <v>46</v>
      </c>
      <c r="J3">
        <v>46</v>
      </c>
      <c r="K3">
        <v>46</v>
      </c>
      <c r="L3">
        <v>46</v>
      </c>
      <c r="M3">
        <v>46</v>
      </c>
      <c r="N3">
        <v>46</v>
      </c>
      <c r="O3">
        <v>47</v>
      </c>
      <c r="P3">
        <v>48</v>
      </c>
      <c r="Q3">
        <v>48</v>
      </c>
    </row>
    <row r="4" spans="1:17" x14ac:dyDescent="0.3">
      <c r="A4" t="s">
        <v>103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">
      <c r="A5" t="s">
        <v>104</v>
      </c>
      <c r="B5">
        <v>54202</v>
      </c>
      <c r="C5">
        <v>340</v>
      </c>
      <c r="D5">
        <v>340</v>
      </c>
      <c r="E5">
        <v>341</v>
      </c>
      <c r="F5">
        <v>343</v>
      </c>
      <c r="G5">
        <v>350</v>
      </c>
      <c r="H5">
        <v>350</v>
      </c>
      <c r="I5">
        <v>353</v>
      </c>
      <c r="J5">
        <v>353</v>
      </c>
      <c r="K5">
        <v>353</v>
      </c>
      <c r="L5">
        <v>353</v>
      </c>
      <c r="M5">
        <v>356</v>
      </c>
      <c r="N5">
        <v>360</v>
      </c>
      <c r="O5">
        <v>363</v>
      </c>
      <c r="P5">
        <v>365</v>
      </c>
      <c r="Q5">
        <v>367</v>
      </c>
    </row>
    <row r="6" spans="1:17" x14ac:dyDescent="0.3">
      <c r="A6" t="s">
        <v>133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134</v>
      </c>
      <c r="B7">
        <v>185.43491674850969</v>
      </c>
      <c r="C7">
        <v>185.43491674850969</v>
      </c>
      <c r="D7">
        <v>185.43491674850969</v>
      </c>
      <c r="E7">
        <v>185.43491674850969</v>
      </c>
      <c r="F7">
        <v>185.43491674850969</v>
      </c>
      <c r="G7">
        <v>185.43491674850969</v>
      </c>
      <c r="H7">
        <v>185.43491674850969</v>
      </c>
      <c r="I7">
        <v>185.43491674850969</v>
      </c>
      <c r="J7">
        <v>185.43491674850969</v>
      </c>
      <c r="K7">
        <v>185.43491674850969</v>
      </c>
      <c r="L7">
        <v>185.43491674850969</v>
      </c>
      <c r="M7">
        <v>185.43491674850969</v>
      </c>
      <c r="N7">
        <v>185.43491674850969</v>
      </c>
      <c r="O7">
        <v>185.43491674850969</v>
      </c>
      <c r="P7">
        <v>185.43491674850969</v>
      </c>
      <c r="Q7">
        <v>185.43491674850969</v>
      </c>
    </row>
    <row r="8" spans="1:17" x14ac:dyDescent="0.3">
      <c r="A8" t="s">
        <v>135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">
      <c r="A9" t="s">
        <v>136</v>
      </c>
      <c r="B9">
        <v>779.84691674850967</v>
      </c>
      <c r="C9">
        <v>779.84691674850967</v>
      </c>
      <c r="D9">
        <v>779.84691674850967</v>
      </c>
      <c r="E9">
        <v>779.84691674850956</v>
      </c>
      <c r="F9">
        <v>779.84691674850978</v>
      </c>
      <c r="G9">
        <v>779.84691674850967</v>
      </c>
      <c r="H9">
        <v>779.84691674850967</v>
      </c>
      <c r="I9">
        <v>779.84691674850956</v>
      </c>
      <c r="J9">
        <v>779.84691674850956</v>
      </c>
      <c r="K9">
        <v>779.84691674850956</v>
      </c>
      <c r="L9">
        <v>779.84691674850956</v>
      </c>
      <c r="M9">
        <v>779.84691674850967</v>
      </c>
      <c r="N9">
        <v>779.84691674850978</v>
      </c>
      <c r="O9">
        <v>779.84691674850967</v>
      </c>
      <c r="P9">
        <v>779.84691674850967</v>
      </c>
      <c r="Q9">
        <v>779.84691674850956</v>
      </c>
    </row>
    <row r="10" spans="1:17" x14ac:dyDescent="0.3">
      <c r="A10" t="s">
        <v>137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">
      <c r="A11" t="s">
        <v>82</v>
      </c>
      <c r="B11">
        <v>1146864.0959999999</v>
      </c>
      <c r="C11">
        <v>7065.1350000000002</v>
      </c>
      <c r="D11">
        <v>7065.1350000000002</v>
      </c>
      <c r="E11">
        <v>7083.4859999999999</v>
      </c>
      <c r="F11">
        <v>7120.1879999999992</v>
      </c>
      <c r="G11">
        <v>7266.9959999999992</v>
      </c>
      <c r="H11">
        <v>7266.9959999999992</v>
      </c>
      <c r="I11">
        <v>7322.0489999999991</v>
      </c>
      <c r="J11">
        <v>7322.0489999999991</v>
      </c>
      <c r="K11">
        <v>7322.0489999999991</v>
      </c>
      <c r="L11">
        <v>7322.0489999999991</v>
      </c>
      <c r="M11">
        <v>7377.101999999999</v>
      </c>
      <c r="N11">
        <v>7450.5060000000003</v>
      </c>
      <c r="O11">
        <v>7523.91</v>
      </c>
      <c r="P11">
        <v>7578.9629999999997</v>
      </c>
      <c r="Q11">
        <v>7615.665</v>
      </c>
    </row>
    <row r="12" spans="1:17" x14ac:dyDescent="0.3">
      <c r="A12" t="s">
        <v>141</v>
      </c>
      <c r="B12">
        <v>86178.694736842095</v>
      </c>
      <c r="C12">
        <v>530.89473684210532</v>
      </c>
      <c r="D12">
        <v>530.89473684210532</v>
      </c>
      <c r="E12">
        <v>532.27368421052643</v>
      </c>
      <c r="F12">
        <v>535.03157894736842</v>
      </c>
      <c r="G12">
        <v>546.06315789473683</v>
      </c>
      <c r="H12">
        <v>546.06315789473683</v>
      </c>
      <c r="I12">
        <v>550.20000000000005</v>
      </c>
      <c r="J12">
        <v>550.20000000000005</v>
      </c>
      <c r="K12">
        <v>550.20000000000005</v>
      </c>
      <c r="L12">
        <v>550.20000000000005</v>
      </c>
      <c r="M12">
        <v>554.33684210526326</v>
      </c>
      <c r="N12">
        <v>559.85263157894747</v>
      </c>
      <c r="O12">
        <v>565.36842105263156</v>
      </c>
      <c r="P12">
        <v>569.50526315789477</v>
      </c>
      <c r="Q12">
        <v>572.26315789473688</v>
      </c>
    </row>
    <row r="13" spans="1:17" x14ac:dyDescent="0.3">
      <c r="A13" t="s">
        <v>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">
      <c r="A14" t="s">
        <v>84</v>
      </c>
      <c r="B14">
        <v>1050633.222148099</v>
      </c>
      <c r="C14">
        <v>1050633.222148099</v>
      </c>
      <c r="D14">
        <v>1050633.222148099</v>
      </c>
      <c r="E14">
        <v>1050633.222148099</v>
      </c>
      <c r="F14">
        <v>1050633.222148099</v>
      </c>
      <c r="G14">
        <v>1050633.222148099</v>
      </c>
      <c r="H14">
        <v>1050633.222148099</v>
      </c>
      <c r="I14">
        <v>1050633.222148099</v>
      </c>
      <c r="J14">
        <v>1050633.222148099</v>
      </c>
      <c r="K14">
        <v>1050633.222148099</v>
      </c>
      <c r="L14">
        <v>1050633.222148099</v>
      </c>
      <c r="M14">
        <v>1050633.222148099</v>
      </c>
      <c r="N14">
        <v>1050633.222148099</v>
      </c>
      <c r="O14">
        <v>1050633.222148099</v>
      </c>
      <c r="P14">
        <v>1050633.222148099</v>
      </c>
      <c r="Q14">
        <v>1050633.222148099</v>
      </c>
    </row>
    <row r="15" spans="1:17" x14ac:dyDescent="0.3">
      <c r="A15" t="s">
        <v>85</v>
      </c>
      <c r="B15">
        <v>499050.78052034689</v>
      </c>
      <c r="C15">
        <v>502125.13008672459</v>
      </c>
      <c r="D15">
        <v>505199.47965310211</v>
      </c>
      <c r="E15">
        <v>508281.81454302883</v>
      </c>
      <c r="F15">
        <v>511380.12008005352</v>
      </c>
      <c r="G15">
        <v>514542.3082054705</v>
      </c>
      <c r="H15">
        <v>517704.49633088743</v>
      </c>
      <c r="I15">
        <v>520890.64042695152</v>
      </c>
      <c r="J15">
        <v>524076.78452301549</v>
      </c>
      <c r="K15">
        <v>527262.92861907964</v>
      </c>
      <c r="L15">
        <v>530449.07271514367</v>
      </c>
      <c r="M15">
        <v>533659.17278185475</v>
      </c>
      <c r="N15">
        <v>536901.21414276212</v>
      </c>
      <c r="O15">
        <v>540175.19679786544</v>
      </c>
      <c r="P15">
        <v>543473.13542361604</v>
      </c>
      <c r="Q15">
        <v>546787.04469646455</v>
      </c>
    </row>
    <row r="16" spans="1:17" x14ac:dyDescent="0.3">
      <c r="A16" t="s">
        <v>142</v>
      </c>
      <c r="B16">
        <v>70829.34821052631</v>
      </c>
      <c r="C16">
        <v>71265.684921052627</v>
      </c>
      <c r="D16">
        <v>71702.021631578944</v>
      </c>
      <c r="E16">
        <v>72139.491684210516</v>
      </c>
      <c r="F16">
        <v>72579.228421052627</v>
      </c>
      <c r="G16">
        <v>73028.031894736836</v>
      </c>
      <c r="H16">
        <v>73476.835368421031</v>
      </c>
      <c r="I16">
        <v>73929.038868421048</v>
      </c>
      <c r="J16">
        <v>74381.242368421023</v>
      </c>
      <c r="K16">
        <v>74833.44586842104</v>
      </c>
      <c r="L16">
        <v>75285.649368421029</v>
      </c>
      <c r="M16">
        <v>75741.252894736826</v>
      </c>
      <c r="N16">
        <v>76201.389789473658</v>
      </c>
      <c r="O16">
        <v>76666.060052631554</v>
      </c>
      <c r="P16">
        <v>77134.130342105229</v>
      </c>
      <c r="Q16">
        <v>77604.467315789443</v>
      </c>
    </row>
    <row r="17" spans="1:17" x14ac:dyDescent="0.3">
      <c r="A17" t="s">
        <v>86</v>
      </c>
      <c r="B17">
        <v>77620.032000000021</v>
      </c>
      <c r="C17">
        <v>78098.202000000019</v>
      </c>
      <c r="D17">
        <v>78576.372000000003</v>
      </c>
      <c r="E17">
        <v>79055.784000000014</v>
      </c>
      <c r="F17">
        <v>79537.680000000022</v>
      </c>
      <c r="G17">
        <v>80029.512000000017</v>
      </c>
      <c r="H17">
        <v>80521.344000000012</v>
      </c>
      <c r="I17">
        <v>81016.902000000002</v>
      </c>
      <c r="J17">
        <v>81512.460000000006</v>
      </c>
      <c r="K17">
        <v>82008.018000000011</v>
      </c>
      <c r="L17">
        <v>82503.576000000001</v>
      </c>
      <c r="M17">
        <v>83002.86</v>
      </c>
      <c r="N17">
        <v>83507.112000000008</v>
      </c>
      <c r="O17">
        <v>84016.332000000009</v>
      </c>
      <c r="P17">
        <v>84529.278000000006</v>
      </c>
      <c r="Q17">
        <v>85044.708000000013</v>
      </c>
    </row>
    <row r="18" spans="1:17" x14ac:dyDescent="0.3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">
      <c r="A20" t="s">
        <v>89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t="s">
        <v>90</v>
      </c>
      <c r="B21">
        <v>351701.86218964652</v>
      </c>
      <c r="C21">
        <v>351701.86218964652</v>
      </c>
      <c r="D21">
        <v>351701.86218964652</v>
      </c>
      <c r="E21">
        <v>351701.86218964652</v>
      </c>
      <c r="F21">
        <v>351701.86218964652</v>
      </c>
      <c r="G21">
        <v>351701.86218964652</v>
      </c>
      <c r="H21">
        <v>351701.86218964652</v>
      </c>
      <c r="I21">
        <v>351701.86218964652</v>
      </c>
      <c r="J21">
        <v>351701.86218964652</v>
      </c>
      <c r="K21">
        <v>351701.86218964652</v>
      </c>
      <c r="L21">
        <v>351701.86218964652</v>
      </c>
      <c r="M21">
        <v>351701.86218964652</v>
      </c>
      <c r="N21">
        <v>351701.86218964652</v>
      </c>
      <c r="O21">
        <v>351701.86218964652</v>
      </c>
      <c r="P21">
        <v>351701.86218964652</v>
      </c>
      <c r="Q21">
        <v>351701.86218964652</v>
      </c>
    </row>
    <row r="22" spans="1:17" x14ac:dyDescent="0.3">
      <c r="A22" t="s">
        <v>139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91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">
      <c r="A24" t="s">
        <v>92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">
      <c r="A25" t="s">
        <v>93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">
      <c r="A26" t="s">
        <v>94</v>
      </c>
      <c r="B26">
        <v>4572228.5670454539</v>
      </c>
      <c r="C26">
        <v>4575596.0906818174</v>
      </c>
      <c r="D26">
        <v>4579057.314772727</v>
      </c>
      <c r="E26">
        <v>4629522.8370454544</v>
      </c>
      <c r="F26">
        <v>4640380.2452272736</v>
      </c>
      <c r="G26">
        <v>4647447.1693181815</v>
      </c>
      <c r="H26">
        <v>4652535.1590909101</v>
      </c>
      <c r="I26">
        <v>4657500.5256818188</v>
      </c>
      <c r="J26">
        <v>4695997.1347727273</v>
      </c>
      <c r="K26">
        <v>4705945.1986363633</v>
      </c>
      <c r="L26">
        <v>4713822.9002272729</v>
      </c>
      <c r="M26">
        <v>4721719.6311363634</v>
      </c>
      <c r="N26">
        <v>4731083.5018181819</v>
      </c>
      <c r="O26">
        <v>4745013.7202272732</v>
      </c>
      <c r="P26">
        <v>4758984.9584090896</v>
      </c>
      <c r="Q26">
        <v>4772997.3081818176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1A64-EC11-47E8-BF18-A07F64B3D190}">
  <sheetPr>
    <tabColor theme="7" tint="-0.499984740745262"/>
  </sheetPr>
  <dimension ref="B2:Z79"/>
  <sheetViews>
    <sheetView topLeftCell="F35" zoomScale="80" zoomScaleNormal="80" workbookViewId="0">
      <selection activeCell="V61" sqref="V61"/>
    </sheetView>
  </sheetViews>
  <sheetFormatPr baseColWidth="10" defaultRowHeight="14.4" x14ac:dyDescent="0.3"/>
  <cols>
    <col min="1" max="1" width="5.33203125" customWidth="1"/>
    <col min="2" max="2" width="17.33203125" customWidth="1"/>
    <col min="3" max="3" width="14" bestFit="1" customWidth="1"/>
    <col min="4" max="4" width="12.5546875" bestFit="1" customWidth="1"/>
    <col min="5" max="5" width="18.109375" customWidth="1"/>
    <col min="6" max="6" width="19.109375" bestFit="1" customWidth="1"/>
    <col min="7" max="11" width="12" bestFit="1" customWidth="1"/>
    <col min="12" max="21" width="12.5546875" bestFit="1" customWidth="1"/>
  </cols>
  <sheetData>
    <row r="2" spans="2:21" ht="18.600000000000001" thickBot="1" x14ac:dyDescent="0.4">
      <c r="B2" s="81" t="s">
        <v>50</v>
      </c>
      <c r="C2" s="81"/>
      <c r="D2" s="81"/>
      <c r="E2" s="81"/>
      <c r="G2" s="81" t="s">
        <v>41</v>
      </c>
      <c r="H2" s="81"/>
      <c r="I2" s="81"/>
      <c r="J2" s="81"/>
      <c r="K2" s="81"/>
      <c r="M2" s="28"/>
      <c r="N2" s="28"/>
      <c r="O2" s="28"/>
      <c r="P2" s="28"/>
      <c r="Q2" s="28"/>
    </row>
    <row r="3" spans="2:21" ht="15" customHeight="1" x14ac:dyDescent="0.35">
      <c r="G3" s="5"/>
      <c r="H3" s="5"/>
      <c r="I3" s="5"/>
      <c r="J3" s="5"/>
    </row>
    <row r="4" spans="2:21" x14ac:dyDescent="0.3">
      <c r="B4" s="80" t="s">
        <v>51</v>
      </c>
      <c r="C4" s="80"/>
      <c r="D4" s="80" t="s">
        <v>40</v>
      </c>
      <c r="E4" s="80"/>
      <c r="G4" s="80" t="s">
        <v>17</v>
      </c>
      <c r="H4" s="80"/>
      <c r="I4" s="80"/>
      <c r="J4" s="18">
        <v>0.06</v>
      </c>
      <c r="K4" s="16" t="s">
        <v>29</v>
      </c>
      <c r="L4" s="68"/>
      <c r="M4" s="68"/>
      <c r="N4" s="68"/>
      <c r="O4" s="68"/>
      <c r="P4" s="68"/>
      <c r="R4" s="26" t="s">
        <v>42</v>
      </c>
      <c r="S4" s="27">
        <v>959.36</v>
      </c>
      <c r="T4" s="20" t="s">
        <v>44</v>
      </c>
      <c r="U4" s="29">
        <v>45946</v>
      </c>
    </row>
    <row r="5" spans="2:21" x14ac:dyDescent="0.3">
      <c r="B5" s="68" t="s">
        <v>52</v>
      </c>
      <c r="C5" s="68"/>
      <c r="D5" s="68" t="s">
        <v>151</v>
      </c>
      <c r="E5" s="68"/>
      <c r="G5" s="80" t="s">
        <v>46</v>
      </c>
      <c r="H5" s="80"/>
      <c r="I5" s="80"/>
      <c r="J5" s="19">
        <v>15</v>
      </c>
      <c r="K5" s="20" t="s">
        <v>47</v>
      </c>
      <c r="L5" s="43"/>
      <c r="M5" s="43"/>
      <c r="N5" s="43"/>
      <c r="O5" s="43"/>
      <c r="P5" s="43"/>
      <c r="R5" s="26" t="s">
        <v>43</v>
      </c>
      <c r="S5" s="27">
        <v>39521.26</v>
      </c>
      <c r="T5" s="20" t="s">
        <v>45</v>
      </c>
      <c r="U5" s="29">
        <v>45946</v>
      </c>
    </row>
    <row r="6" spans="2:21" x14ac:dyDescent="0.3">
      <c r="B6" s="68" t="s">
        <v>53</v>
      </c>
      <c r="C6" s="68"/>
      <c r="D6" s="68" t="s">
        <v>151</v>
      </c>
      <c r="E6" s="68"/>
      <c r="G6" s="86" t="s">
        <v>106</v>
      </c>
      <c r="H6" s="86"/>
      <c r="I6" s="86"/>
      <c r="J6" s="20">
        <v>3</v>
      </c>
      <c r="K6" s="20" t="s">
        <v>47</v>
      </c>
      <c r="L6" s="43"/>
      <c r="M6" s="43"/>
      <c r="N6" s="43"/>
      <c r="O6" s="43"/>
      <c r="P6" s="43"/>
    </row>
    <row r="7" spans="2:21" x14ac:dyDescent="0.3">
      <c r="B7" s="68" t="s">
        <v>54</v>
      </c>
      <c r="C7" s="68"/>
      <c r="D7" s="68" t="s">
        <v>151</v>
      </c>
      <c r="E7" s="68"/>
      <c r="G7" s="86" t="s">
        <v>128</v>
      </c>
      <c r="H7" s="86"/>
      <c r="I7" s="86"/>
      <c r="J7" s="21">
        <f>(SUMIF($F$12:$U$12,"&lt;="&amp;$J$6,$F$17:$U$17)) / ($J$6)</f>
        <v>2809.6666666666665</v>
      </c>
      <c r="K7" s="20" t="s">
        <v>107</v>
      </c>
      <c r="L7" s="43" t="str">
        <f>"Razonable para chile en torno a 1M y 1,5M por año."</f>
        <v>Razonable para chile en torno a 1M y 1,5M por año.</v>
      </c>
      <c r="M7" s="43"/>
      <c r="N7" s="43"/>
      <c r="O7" s="43"/>
      <c r="P7" s="43"/>
    </row>
    <row r="8" spans="2:21" x14ac:dyDescent="0.3">
      <c r="B8" s="68" t="s">
        <v>55</v>
      </c>
      <c r="C8" s="68"/>
      <c r="D8" s="68" t="s">
        <v>151</v>
      </c>
      <c r="E8" s="68"/>
      <c r="G8" s="86" t="s">
        <v>129</v>
      </c>
      <c r="H8" s="86"/>
      <c r="I8" s="86"/>
      <c r="J8" s="21">
        <f>(SUMIF($F$12:$U$12,"&lt;="&amp;$J$6,$F$18:$U$18)) / ($J$6)</f>
        <v>0</v>
      </c>
      <c r="K8" s="20" t="s">
        <v>107</v>
      </c>
      <c r="L8" s="43" t="str">
        <f t="shared" ref="L8:L9" si="0">"Razonable para chile en torno a 1M y 1,5M por año."</f>
        <v>Razonable para chile en torno a 1M y 1,5M por año.</v>
      </c>
      <c r="M8" s="43"/>
      <c r="N8" s="43"/>
      <c r="O8" s="43"/>
      <c r="P8" s="43"/>
    </row>
    <row r="9" spans="2:21" x14ac:dyDescent="0.3">
      <c r="B9" s="68" t="s">
        <v>56</v>
      </c>
      <c r="C9" s="68"/>
      <c r="D9" s="68" t="s">
        <v>151</v>
      </c>
      <c r="E9" s="68"/>
      <c r="G9" s="86" t="s">
        <v>130</v>
      </c>
      <c r="H9" s="86"/>
      <c r="I9" s="86"/>
      <c r="J9" s="21">
        <f>(SUMIF($F$12:$U$12,"&lt;="&amp;$J$6,$F$19:$U$19)) / ($J$6)</f>
        <v>18407.666666666668</v>
      </c>
      <c r="K9" s="20" t="s">
        <v>107</v>
      </c>
      <c r="L9" s="43" t="str">
        <f t="shared" si="0"/>
        <v>Razonable para chile en torno a 1M y 1,5M por año.</v>
      </c>
      <c r="M9" s="43"/>
      <c r="N9" s="43"/>
      <c r="O9" s="43"/>
      <c r="P9" s="43"/>
    </row>
    <row r="12" spans="2:21" x14ac:dyDescent="0.3">
      <c r="B12" s="83" t="s">
        <v>121</v>
      </c>
      <c r="C12" s="83"/>
      <c r="D12" s="83"/>
      <c r="E12" s="22" t="s">
        <v>48</v>
      </c>
      <c r="F12" s="24">
        <v>0</v>
      </c>
      <c r="G12" s="24">
        <v>1</v>
      </c>
      <c r="H12" s="24">
        <v>2</v>
      </c>
      <c r="I12" s="24">
        <v>3</v>
      </c>
      <c r="J12" s="24">
        <v>4</v>
      </c>
      <c r="K12" s="24">
        <v>5</v>
      </c>
      <c r="L12" s="24">
        <v>6</v>
      </c>
      <c r="M12" s="24">
        <v>7</v>
      </c>
      <c r="N12" s="24">
        <v>8</v>
      </c>
      <c r="O12" s="24">
        <v>9</v>
      </c>
      <c r="P12" s="24">
        <v>10</v>
      </c>
      <c r="Q12" s="24">
        <v>11</v>
      </c>
      <c r="R12" s="24">
        <v>12</v>
      </c>
      <c r="S12" s="24">
        <v>13</v>
      </c>
      <c r="T12" s="24">
        <v>14</v>
      </c>
      <c r="U12" s="24">
        <v>15</v>
      </c>
    </row>
    <row r="13" spans="2:21" x14ac:dyDescent="0.3">
      <c r="B13" s="84"/>
      <c r="C13" s="84"/>
      <c r="D13" s="84"/>
      <c r="E13" s="23" t="s">
        <v>49</v>
      </c>
      <c r="F13" s="25">
        <v>2025</v>
      </c>
      <c r="G13" s="25">
        <v>2026</v>
      </c>
      <c r="H13" s="25">
        <v>2027</v>
      </c>
      <c r="I13" s="25">
        <v>2028</v>
      </c>
      <c r="J13" s="25">
        <v>2029</v>
      </c>
      <c r="K13" s="25">
        <v>2030</v>
      </c>
      <c r="L13" s="25">
        <v>2031</v>
      </c>
      <c r="M13" s="25">
        <v>2032</v>
      </c>
      <c r="N13" s="25">
        <v>2033</v>
      </c>
      <c r="O13" s="25">
        <v>2034</v>
      </c>
      <c r="P13" s="25">
        <v>2035</v>
      </c>
      <c r="Q13" s="25">
        <v>2036</v>
      </c>
      <c r="R13" s="25">
        <v>2037</v>
      </c>
      <c r="S13" s="25">
        <v>2038</v>
      </c>
      <c r="T13" s="25">
        <v>2039</v>
      </c>
      <c r="U13" s="25">
        <v>2040</v>
      </c>
    </row>
    <row r="14" spans="2:21" x14ac:dyDescent="0.3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</row>
    <row r="15" spans="2:21" x14ac:dyDescent="0.3">
      <c r="B15" s="65" t="s">
        <v>122</v>
      </c>
      <c r="C15" s="69" t="s">
        <v>138</v>
      </c>
      <c r="D15" s="70"/>
      <c r="E15" s="70"/>
      <c r="F15" s="4">
        <f>CB_SMI_Mixto_MUY_BAJA!B2/1000</f>
        <v>4883.809730561351</v>
      </c>
      <c r="G15" s="4">
        <f>CB_SMI_Mixto_MUY_BAJA!C2/1000</f>
        <v>5031.3007844243048</v>
      </c>
      <c r="H15" s="4">
        <f>CB_SMI_Mixto_MUY_BAJA!D2/1000</f>
        <v>5183.2460681139191</v>
      </c>
      <c r="I15" s="4">
        <f>CB_SMI_Mixto_MUY_BAJA!E2/1000</f>
        <v>5339.7800993709589</v>
      </c>
      <c r="J15" s="4">
        <f>CB_SMI_Mixto_MUY_BAJA!F2/1000</f>
        <v>5501.0414583719603</v>
      </c>
      <c r="K15" s="4">
        <f>CB_SMI_Mixto_MUY_BAJA!G2/1000</f>
        <v>5667.1729104147953</v>
      </c>
      <c r="L15" s="4">
        <f>CB_SMI_Mixto_MUY_BAJA!H2/1000</f>
        <v>5838.3215323093227</v>
      </c>
      <c r="M15" s="4">
        <f>CB_SMI_Mixto_MUY_BAJA!I2/1000</f>
        <v>6014.6388425850637</v>
      </c>
      <c r="N15" s="4">
        <f>CB_SMI_Mixto_MUY_BAJA!J2/1000</f>
        <v>6196.2809356311336</v>
      </c>
      <c r="O15" s="4">
        <f>CB_SMI_Mixto_MUY_BAJA!K2/1000</f>
        <v>6383.4086198871928</v>
      </c>
      <c r="P15" s="4">
        <f>CB_SMI_Mixto_MUY_BAJA!L2/1000</f>
        <v>6576.1875602077862</v>
      </c>
      <c r="Q15" s="4">
        <f>CB_SMI_Mixto_MUY_BAJA!M2/1000</f>
        <v>6774.788424526062</v>
      </c>
      <c r="R15" s="4">
        <f>CB_SMI_Mixto_MUY_BAJA!N2/1000</f>
        <v>6979.3870349467488</v>
      </c>
      <c r="S15" s="4">
        <f>CB_SMI_Mixto_MUY_BAJA!O2/1000</f>
        <v>7190.1645234021398</v>
      </c>
      <c r="T15" s="4">
        <f>CB_SMI_Mixto_MUY_BAJA!P2/1000</f>
        <v>7407.3074920088857</v>
      </c>
      <c r="U15" s="4">
        <f>CB_SMI_Mixto_MUY_BAJA!Q2/1000</f>
        <v>7631.0081782675534</v>
      </c>
    </row>
    <row r="16" spans="2:21" x14ac:dyDescent="0.3">
      <c r="B16" s="66"/>
      <c r="C16" s="71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</row>
    <row r="17" spans="2:26" x14ac:dyDescent="0.3">
      <c r="B17" s="66"/>
      <c r="C17" s="61" t="s">
        <v>115</v>
      </c>
      <c r="D17" s="62"/>
      <c r="E17" s="62"/>
      <c r="F17" s="12">
        <f>CB_SMI_Mixto_MUY_BAJA!B3</f>
        <v>8294</v>
      </c>
      <c r="G17" s="12">
        <f>CB_SMI_Mixto_MUY_BAJA!C3</f>
        <v>45</v>
      </c>
      <c r="H17" s="12">
        <f>CB_SMI_Mixto_MUY_BAJA!D3</f>
        <v>45</v>
      </c>
      <c r="I17" s="12">
        <f>CB_SMI_Mixto_MUY_BAJA!E3</f>
        <v>45</v>
      </c>
      <c r="J17" s="12">
        <f>CB_SMI_Mixto_MUY_BAJA!F3</f>
        <v>45</v>
      </c>
      <c r="K17" s="12">
        <f>CB_SMI_Mixto_MUY_BAJA!G3</f>
        <v>46</v>
      </c>
      <c r="L17" s="12">
        <f>CB_SMI_Mixto_MUY_BAJA!H3</f>
        <v>46</v>
      </c>
      <c r="M17" s="12">
        <f>CB_SMI_Mixto_MUY_BAJA!I3</f>
        <v>46</v>
      </c>
      <c r="N17" s="12">
        <f>CB_SMI_Mixto_MUY_BAJA!J3</f>
        <v>46</v>
      </c>
      <c r="O17" s="12">
        <f>CB_SMI_Mixto_MUY_BAJA!K3</f>
        <v>46</v>
      </c>
      <c r="P17" s="12">
        <f>CB_SMI_Mixto_MUY_BAJA!L3</f>
        <v>46</v>
      </c>
      <c r="Q17" s="12">
        <f>CB_SMI_Mixto_MUY_BAJA!M3</f>
        <v>46</v>
      </c>
      <c r="R17" s="12">
        <f>CB_SMI_Mixto_MUY_BAJA!N3</f>
        <v>46</v>
      </c>
      <c r="S17" s="12">
        <f>CB_SMI_Mixto_MUY_BAJA!O3</f>
        <v>47</v>
      </c>
      <c r="T17" s="12">
        <f>CB_SMI_Mixto_MUY_BAJA!P3</f>
        <v>48</v>
      </c>
      <c r="U17" s="12">
        <f>CB_SMI_Mixto_MUY_BAJA!Q3</f>
        <v>48</v>
      </c>
    </row>
    <row r="18" spans="2:26" x14ac:dyDescent="0.3">
      <c r="B18" s="66"/>
      <c r="C18" s="61" t="s">
        <v>116</v>
      </c>
      <c r="D18" s="62"/>
      <c r="E18" s="62"/>
      <c r="F18" s="12">
        <f>CB_SMI_Mixto_MUY_BAJA!B4</f>
        <v>0</v>
      </c>
      <c r="G18" s="12">
        <f>CB_SMI_Mixto_MUY_BAJA!C4</f>
        <v>0</v>
      </c>
      <c r="H18" s="12">
        <f>CB_SMI_Mixto_MUY_BAJA!D4</f>
        <v>0</v>
      </c>
      <c r="I18" s="12">
        <f>CB_SMI_Mixto_MUY_BAJA!E4</f>
        <v>0</v>
      </c>
      <c r="J18" s="12">
        <f>CB_SMI_Mixto_MUY_BAJA!F4</f>
        <v>0</v>
      </c>
      <c r="K18" s="12">
        <f>CB_SMI_Mixto_MUY_BAJA!G4</f>
        <v>0</v>
      </c>
      <c r="L18" s="12">
        <f>CB_SMI_Mixto_MUY_BAJA!H4</f>
        <v>0</v>
      </c>
      <c r="M18" s="12">
        <f>CB_SMI_Mixto_MUY_BAJA!I4</f>
        <v>0</v>
      </c>
      <c r="N18" s="12">
        <f>CB_SMI_Mixto_MUY_BAJA!J4</f>
        <v>0</v>
      </c>
      <c r="O18" s="12">
        <f>CB_SMI_Mixto_MUY_BAJA!K4</f>
        <v>0</v>
      </c>
      <c r="P18" s="12">
        <f>CB_SMI_Mixto_MUY_BAJA!L4</f>
        <v>0</v>
      </c>
      <c r="Q18" s="12">
        <f>CB_SMI_Mixto_MUY_BAJA!M4</f>
        <v>0</v>
      </c>
      <c r="R18" s="12">
        <f>CB_SMI_Mixto_MUY_BAJA!N4</f>
        <v>0</v>
      </c>
      <c r="S18" s="12">
        <f>CB_SMI_Mixto_MUY_BAJA!O4</f>
        <v>0</v>
      </c>
      <c r="T18" s="12">
        <f>CB_SMI_Mixto_MUY_BAJA!P4</f>
        <v>0</v>
      </c>
      <c r="U18" s="12">
        <f>CB_SMI_Mixto_MUY_BAJA!Q4</f>
        <v>0</v>
      </c>
    </row>
    <row r="19" spans="2:26" x14ac:dyDescent="0.3">
      <c r="B19" s="67"/>
      <c r="C19" s="61" t="s">
        <v>117</v>
      </c>
      <c r="D19" s="62"/>
      <c r="E19" s="62"/>
      <c r="F19" s="13">
        <f>CB_SMI_Mixto_MUY_BAJA!B5</f>
        <v>54202</v>
      </c>
      <c r="G19" s="13">
        <f>CB_SMI_Mixto_MUY_BAJA!C5</f>
        <v>340</v>
      </c>
      <c r="H19" s="13">
        <f>CB_SMI_Mixto_MUY_BAJA!D5</f>
        <v>340</v>
      </c>
      <c r="I19" s="13">
        <f>CB_SMI_Mixto_MUY_BAJA!E5</f>
        <v>341</v>
      </c>
      <c r="J19" s="13">
        <f>CB_SMI_Mixto_MUY_BAJA!F5</f>
        <v>343</v>
      </c>
      <c r="K19" s="13">
        <f>CB_SMI_Mixto_MUY_BAJA!G5</f>
        <v>350</v>
      </c>
      <c r="L19" s="13">
        <f>CB_SMI_Mixto_MUY_BAJA!H5</f>
        <v>350</v>
      </c>
      <c r="M19" s="13">
        <f>CB_SMI_Mixto_MUY_BAJA!I5</f>
        <v>353</v>
      </c>
      <c r="N19" s="13">
        <f>CB_SMI_Mixto_MUY_BAJA!J5</f>
        <v>353</v>
      </c>
      <c r="O19" s="13">
        <f>CB_SMI_Mixto_MUY_BAJA!K5</f>
        <v>353</v>
      </c>
      <c r="P19" s="13">
        <f>CB_SMI_Mixto_MUY_BAJA!L5</f>
        <v>353</v>
      </c>
      <c r="Q19" s="13">
        <f>CB_SMI_Mixto_MUY_BAJA!M5</f>
        <v>356</v>
      </c>
      <c r="R19" s="13">
        <f>CB_SMI_Mixto_MUY_BAJA!N5</f>
        <v>360</v>
      </c>
      <c r="S19" s="13">
        <f>CB_SMI_Mixto_MUY_BAJA!O5</f>
        <v>363</v>
      </c>
      <c r="T19" s="13">
        <f>CB_SMI_Mixto_MUY_BAJA!P5</f>
        <v>365</v>
      </c>
      <c r="U19" s="13">
        <f>CB_SMI_Mixto_MUY_BAJA!Q5</f>
        <v>367</v>
      </c>
    </row>
    <row r="20" spans="2:26" x14ac:dyDescent="0.3">
      <c r="B20" s="10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</row>
    <row r="21" spans="2:26" x14ac:dyDescent="0.3">
      <c r="B21" s="58" t="s">
        <v>105</v>
      </c>
      <c r="C21" s="56" t="s">
        <v>125</v>
      </c>
      <c r="D21" s="57"/>
      <c r="E21" s="57"/>
      <c r="F21" s="9">
        <v>0</v>
      </c>
      <c r="G21" s="11">
        <f>IF(G$12&lt;=$J$6,$J7,G17)</f>
        <v>2809.6666666666665</v>
      </c>
      <c r="H21" s="11">
        <f t="shared" ref="H21:U23" si="1">IF(H$12&lt;=$J$6,$J7,H17)</f>
        <v>2809.6666666666665</v>
      </c>
      <c r="I21" s="11">
        <f t="shared" si="1"/>
        <v>2809.6666666666665</v>
      </c>
      <c r="J21" s="11">
        <f t="shared" si="1"/>
        <v>45</v>
      </c>
      <c r="K21" s="11">
        <f t="shared" si="1"/>
        <v>46</v>
      </c>
      <c r="L21" s="11">
        <f t="shared" si="1"/>
        <v>46</v>
      </c>
      <c r="M21" s="11">
        <f t="shared" si="1"/>
        <v>46</v>
      </c>
      <c r="N21" s="11">
        <f t="shared" si="1"/>
        <v>46</v>
      </c>
      <c r="O21" s="11">
        <f t="shared" si="1"/>
        <v>46</v>
      </c>
      <c r="P21" s="11">
        <f t="shared" si="1"/>
        <v>46</v>
      </c>
      <c r="Q21" s="11">
        <f t="shared" si="1"/>
        <v>46</v>
      </c>
      <c r="R21" s="11">
        <f t="shared" si="1"/>
        <v>46</v>
      </c>
      <c r="S21" s="11">
        <f t="shared" si="1"/>
        <v>47</v>
      </c>
      <c r="T21" s="11">
        <f t="shared" si="1"/>
        <v>48</v>
      </c>
      <c r="U21" s="11">
        <f t="shared" si="1"/>
        <v>48</v>
      </c>
    </row>
    <row r="22" spans="2:26" x14ac:dyDescent="0.3">
      <c r="B22" s="59"/>
      <c r="C22" s="56" t="s">
        <v>126</v>
      </c>
      <c r="D22" s="57"/>
      <c r="E22" s="57"/>
      <c r="F22" s="9">
        <v>0</v>
      </c>
      <c r="G22" s="11">
        <f>IF(G$12&lt;=$J$6,$J8,G18)</f>
        <v>0</v>
      </c>
      <c r="H22" s="11">
        <f t="shared" si="1"/>
        <v>0</v>
      </c>
      <c r="I22" s="11">
        <f t="shared" si="1"/>
        <v>0</v>
      </c>
      <c r="J22" s="11">
        <f t="shared" si="1"/>
        <v>0</v>
      </c>
      <c r="K22" s="11">
        <f t="shared" si="1"/>
        <v>0</v>
      </c>
      <c r="L22" s="11">
        <f t="shared" si="1"/>
        <v>0</v>
      </c>
      <c r="M22" s="11">
        <f t="shared" si="1"/>
        <v>0</v>
      </c>
      <c r="N22" s="11">
        <f>IF(N$12&lt;=$J$6,$J8,N18)</f>
        <v>0</v>
      </c>
      <c r="O22" s="11">
        <f t="shared" si="1"/>
        <v>0</v>
      </c>
      <c r="P22" s="11">
        <f t="shared" si="1"/>
        <v>0</v>
      </c>
      <c r="Q22" s="11">
        <f t="shared" si="1"/>
        <v>0</v>
      </c>
      <c r="R22" s="11">
        <f t="shared" si="1"/>
        <v>0</v>
      </c>
      <c r="S22" s="11">
        <f t="shared" si="1"/>
        <v>0</v>
      </c>
      <c r="T22" s="11">
        <f t="shared" si="1"/>
        <v>0</v>
      </c>
      <c r="U22" s="11">
        <f t="shared" si="1"/>
        <v>0</v>
      </c>
    </row>
    <row r="23" spans="2:26" x14ac:dyDescent="0.3">
      <c r="B23" s="59"/>
      <c r="C23" s="56" t="s">
        <v>127</v>
      </c>
      <c r="D23" s="57"/>
      <c r="E23" s="57"/>
      <c r="F23" s="9">
        <v>0</v>
      </c>
      <c r="G23" s="11">
        <f>IF(G$12&lt;=$J$6,$J9,G19)</f>
        <v>18407.666666666668</v>
      </c>
      <c r="H23" s="11">
        <f t="shared" si="1"/>
        <v>18407.666666666668</v>
      </c>
      <c r="I23" s="11">
        <f t="shared" si="1"/>
        <v>18407.666666666668</v>
      </c>
      <c r="J23" s="11">
        <f t="shared" si="1"/>
        <v>343</v>
      </c>
      <c r="K23" s="11">
        <f t="shared" si="1"/>
        <v>350</v>
      </c>
      <c r="L23" s="11">
        <f t="shared" si="1"/>
        <v>350</v>
      </c>
      <c r="M23" s="11">
        <f t="shared" si="1"/>
        <v>353</v>
      </c>
      <c r="N23" s="11">
        <f t="shared" si="1"/>
        <v>353</v>
      </c>
      <c r="O23" s="11">
        <f t="shared" si="1"/>
        <v>353</v>
      </c>
      <c r="P23" s="11">
        <f t="shared" si="1"/>
        <v>353</v>
      </c>
      <c r="Q23" s="11">
        <f t="shared" si="1"/>
        <v>356</v>
      </c>
      <c r="R23" s="11">
        <f t="shared" si="1"/>
        <v>360</v>
      </c>
      <c r="S23" s="11">
        <f t="shared" si="1"/>
        <v>363</v>
      </c>
      <c r="T23" s="11">
        <f t="shared" si="1"/>
        <v>365</v>
      </c>
      <c r="U23" s="11">
        <f t="shared" si="1"/>
        <v>367</v>
      </c>
    </row>
    <row r="24" spans="2:26" x14ac:dyDescent="0.3">
      <c r="B24" s="59"/>
      <c r="C24" s="71" t="s">
        <v>114</v>
      </c>
      <c r="D24" s="64"/>
      <c r="E24" s="64"/>
      <c r="F24" s="4">
        <f>SUM(F17:F19)</f>
        <v>62496</v>
      </c>
      <c r="G24" s="7">
        <f>SUM(F24,G17:G19)-SUM(G21:G23)</f>
        <v>41663.666666666664</v>
      </c>
      <c r="H24" s="7">
        <f t="shared" ref="H24:U24" si="2">SUM(G24,H17:H19)-SUM(H21:H23)</f>
        <v>20831.333333333328</v>
      </c>
      <c r="I24" s="7">
        <f t="shared" si="2"/>
        <v>0</v>
      </c>
      <c r="J24" s="7">
        <f t="shared" si="2"/>
        <v>0</v>
      </c>
      <c r="K24" s="7">
        <f t="shared" si="2"/>
        <v>0</v>
      </c>
      <c r="L24" s="7">
        <f t="shared" si="2"/>
        <v>0</v>
      </c>
      <c r="M24" s="7">
        <f t="shared" si="2"/>
        <v>0</v>
      </c>
      <c r="N24" s="7">
        <f t="shared" si="2"/>
        <v>0</v>
      </c>
      <c r="O24" s="7">
        <f t="shared" si="2"/>
        <v>0</v>
      </c>
      <c r="P24" s="7">
        <f>SUM(O24,P17:P19)-SUM(P21:P23)</f>
        <v>0</v>
      </c>
      <c r="Q24" s="7">
        <f>SUM(P24,Q17:Q19)-SUM(Q21:Q23)</f>
        <v>0</v>
      </c>
      <c r="R24" s="7">
        <f t="shared" si="2"/>
        <v>0</v>
      </c>
      <c r="S24" s="7">
        <f t="shared" si="2"/>
        <v>0</v>
      </c>
      <c r="T24" s="7">
        <f t="shared" si="2"/>
        <v>0</v>
      </c>
      <c r="U24" s="7">
        <f t="shared" si="2"/>
        <v>0</v>
      </c>
    </row>
    <row r="25" spans="2:26" x14ac:dyDescent="0.3">
      <c r="B25" s="60"/>
      <c r="C25" s="63" t="s">
        <v>108</v>
      </c>
      <c r="D25" s="63"/>
      <c r="E25" s="63"/>
      <c r="F25" s="17">
        <v>0</v>
      </c>
      <c r="G25" s="17">
        <f>IF(G$12&lt;=$J$6,SUM($F$21:G23)/SUM($F$17:G19),1)</f>
        <v>0.33742041846238668</v>
      </c>
      <c r="H25" s="17">
        <f>IF(H$12&lt;=$J$6,SUM($F$21:H23)/SUM($F$17:H19),1)</f>
        <v>0.67073414893729133</v>
      </c>
      <c r="I25" s="17">
        <f>IF(I$12&lt;=$J$6,SUM($F$21:I23)/SUM($F$17:I19),1)</f>
        <v>1</v>
      </c>
      <c r="J25" s="17">
        <f>IF(J$12&lt;=$J$6,SUM($F$21:J23)/SUM($F$17:J19),1)</f>
        <v>1</v>
      </c>
      <c r="K25" s="17">
        <f>IF(K$12&lt;=$J$6,SUM($F$21:K23)/SUM($F$17:K19),1)</f>
        <v>1</v>
      </c>
      <c r="L25" s="17">
        <f>IF(L$12&lt;=$J$6,SUM($F$21:L23)/SUM($F$17:L19),1)</f>
        <v>1</v>
      </c>
      <c r="M25" s="17">
        <f>IF(M$12&lt;=$J$6,SUM($F$21:M23)/SUM($F$17:M19),1)</f>
        <v>1</v>
      </c>
      <c r="N25" s="17">
        <f>IF(N$12&lt;=$J$6,SUM($F$21:N23)/SUM($F$17:N19),1)</f>
        <v>1</v>
      </c>
      <c r="O25" s="17">
        <f>IF(O$12&lt;=$J$6,SUM($F$21:O23)/SUM($F$17:O19),1)</f>
        <v>1</v>
      </c>
      <c r="P25" s="17">
        <f>IF(P$12&lt;=$J$6,SUM($F$21:P23)/SUM($F$17:P19),1)</f>
        <v>1</v>
      </c>
      <c r="Q25" s="17">
        <f>IF(Q$12&lt;=$J$6,SUM($F$21:Q23)/SUM($F$17:Q19),1)</f>
        <v>1</v>
      </c>
      <c r="R25" s="17">
        <f>IF(R$12&lt;=$J$6,SUM($F$21:R23)/SUM($F$17:R19),1)</f>
        <v>1</v>
      </c>
      <c r="S25" s="17">
        <f>IF(S$12&lt;=$J$6,SUM($F$21:S23)/SUM($F$17:S19),1)</f>
        <v>1</v>
      </c>
      <c r="T25" s="17">
        <f>IF(T$12&lt;=$J$6,SUM($F$21:T23)/SUM($F$17:T19),1)</f>
        <v>1</v>
      </c>
      <c r="U25" s="17">
        <f>IF(U$12&lt;=$J$6,SUM($F$21:U23)/SUM($F$17:U19),1)</f>
        <v>1</v>
      </c>
    </row>
    <row r="26" spans="2:26" ht="28.2" customHeight="1" x14ac:dyDescent="0.3"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</row>
    <row r="27" spans="2:26" x14ac:dyDescent="0.3">
      <c r="B27" s="46" t="s">
        <v>124</v>
      </c>
      <c r="C27" s="47"/>
      <c r="D27" s="48"/>
      <c r="E27" s="22" t="s">
        <v>48</v>
      </c>
      <c r="F27" s="24">
        <v>0</v>
      </c>
      <c r="G27" s="24">
        <v>1</v>
      </c>
      <c r="H27" s="24">
        <v>2</v>
      </c>
      <c r="I27" s="24">
        <v>3</v>
      </c>
      <c r="J27" s="24">
        <v>4</v>
      </c>
      <c r="K27" s="24">
        <v>5</v>
      </c>
      <c r="L27" s="24">
        <v>6</v>
      </c>
      <c r="M27" s="24">
        <v>7</v>
      </c>
      <c r="N27" s="24">
        <v>8</v>
      </c>
      <c r="O27" s="24">
        <v>9</v>
      </c>
      <c r="P27" s="24">
        <v>10</v>
      </c>
      <c r="Q27" s="24">
        <v>11</v>
      </c>
      <c r="R27" s="24">
        <v>12</v>
      </c>
      <c r="S27" s="24">
        <v>13</v>
      </c>
      <c r="T27" s="24">
        <v>14</v>
      </c>
      <c r="U27" s="24">
        <v>15</v>
      </c>
    </row>
    <row r="28" spans="2:26" x14ac:dyDescent="0.3">
      <c r="B28" s="49"/>
      <c r="C28" s="50"/>
      <c r="D28" s="51"/>
      <c r="E28" s="23" t="s">
        <v>49</v>
      </c>
      <c r="F28" s="25">
        <v>2025</v>
      </c>
      <c r="G28" s="25">
        <v>2026</v>
      </c>
      <c r="H28" s="25">
        <v>2027</v>
      </c>
      <c r="I28" s="25">
        <v>2028</v>
      </c>
      <c r="J28" s="25">
        <v>2029</v>
      </c>
      <c r="K28" s="25">
        <v>2030</v>
      </c>
      <c r="L28" s="25">
        <v>2031</v>
      </c>
      <c r="M28" s="25">
        <v>2032</v>
      </c>
      <c r="N28" s="25">
        <v>2033</v>
      </c>
      <c r="O28" s="25">
        <v>2034</v>
      </c>
      <c r="P28" s="25">
        <v>2035</v>
      </c>
      <c r="Q28" s="25">
        <v>2036</v>
      </c>
      <c r="R28" s="25">
        <v>2037</v>
      </c>
      <c r="S28" s="25">
        <v>2038</v>
      </c>
      <c r="T28" s="25">
        <v>2039</v>
      </c>
      <c r="U28" s="25">
        <v>2040</v>
      </c>
      <c r="W28" s="40" t="s">
        <v>179</v>
      </c>
      <c r="X28" s="40" t="s">
        <v>180</v>
      </c>
      <c r="Y28" s="1" t="s">
        <v>181</v>
      </c>
      <c r="Z28" s="41" t="s">
        <v>182</v>
      </c>
    </row>
    <row r="29" spans="2:26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2:26" x14ac:dyDescent="0.3">
      <c r="B30" s="52" t="s">
        <v>118</v>
      </c>
      <c r="C30" s="44" t="s">
        <v>57</v>
      </c>
      <c r="D30" s="45"/>
      <c r="E30" s="45"/>
      <c r="F30" s="8">
        <v>0</v>
      </c>
      <c r="G30" s="8">
        <f>((-CB_SMI_Mixto_MUY_BAJA!C7)*G21)/1000000</f>
        <v>-0.521010304424396</v>
      </c>
      <c r="H30" s="8">
        <f>((-CB_SMI_Mixto_MUY_BAJA!D7)*H21)/1000000</f>
        <v>-0.521010304424396</v>
      </c>
      <c r="I30" s="8">
        <f>((-CB_SMI_Mixto_MUY_BAJA!E7)*I21)/1000000</f>
        <v>-0.521010304424396</v>
      </c>
      <c r="J30" s="8">
        <f>((-CB_SMI_Mixto_MUY_BAJA!F7)*J21)/1000000</f>
        <v>-8.344571253682936E-3</v>
      </c>
      <c r="K30" s="8">
        <f>((-CB_SMI_Mixto_MUY_BAJA!G7)*K21)/1000000</f>
        <v>-8.5300061704314464E-3</v>
      </c>
      <c r="L30" s="8">
        <f>((-CB_SMI_Mixto_MUY_BAJA!H7)*L21)/1000000</f>
        <v>-8.5300061704314464E-3</v>
      </c>
      <c r="M30" s="8">
        <f>((-CB_SMI_Mixto_MUY_BAJA!I7)*M21)/1000000</f>
        <v>-8.5300061704314464E-3</v>
      </c>
      <c r="N30" s="8">
        <f>((-CB_SMI_Mixto_MUY_BAJA!J7)*N21)/1000000</f>
        <v>-8.5300061704314464E-3</v>
      </c>
      <c r="O30" s="8">
        <f>((-CB_SMI_Mixto_MUY_BAJA!K7)*O21)/1000000</f>
        <v>-8.5300061704314464E-3</v>
      </c>
      <c r="P30" s="8">
        <f>((-CB_SMI_Mixto_MUY_BAJA!L7)*P21)/1000000</f>
        <v>-8.5300061704314464E-3</v>
      </c>
      <c r="Q30" s="8">
        <f>((-CB_SMI_Mixto_MUY_BAJA!M7)*Q21)/1000000</f>
        <v>-8.5300061704314464E-3</v>
      </c>
      <c r="R30" s="8">
        <f>((-CB_SMI_Mixto_MUY_BAJA!N7)*R21)/1000000</f>
        <v>-8.5300061704314464E-3</v>
      </c>
      <c r="S30" s="8">
        <f>((-CB_SMI_Mixto_MUY_BAJA!O7)*S21)/1000000</f>
        <v>-8.7154410871799551E-3</v>
      </c>
      <c r="T30" s="8">
        <f>((-CB_SMI_Mixto_MUY_BAJA!P7)*T21)/1000000</f>
        <v>-8.9008760039284637E-3</v>
      </c>
      <c r="U30" s="8">
        <f>((-CB_SMI_Mixto_MUY_BAJA!Q7)*U21)/1000000</f>
        <v>-8.9008760039284637E-3</v>
      </c>
      <c r="W30" s="42">
        <f t="shared" ref="W30:W36" si="3">NPV($D$67,G30:U30)+F30</f>
        <v>-1.45297034930188</v>
      </c>
      <c r="X30" s="42">
        <f t="shared" ref="X30:X36" si="4">PMT($D$67,15,-W30)</f>
        <v>-0.14960184310923771</v>
      </c>
      <c r="Y30" s="42">
        <f>W30*1000000/7744865</f>
        <v>-0.18760434808119703</v>
      </c>
      <c r="Z30" s="30">
        <f t="shared" ref="Z30:Z36" si="5">W30/$W$36</f>
        <v>3.372883275035312E-2</v>
      </c>
    </row>
    <row r="31" spans="2:26" x14ac:dyDescent="0.3">
      <c r="B31" s="53"/>
      <c r="C31" s="44" t="s">
        <v>58</v>
      </c>
      <c r="D31" s="45"/>
      <c r="E31" s="45"/>
      <c r="F31" s="8">
        <v>0</v>
      </c>
      <c r="G31" s="8">
        <f>((-CB_SMI_Mixto_MUY_BAJA!C8)*G22)/1000000</f>
        <v>0</v>
      </c>
      <c r="H31" s="8">
        <f>((-CB_SMI_Mixto_MUY_BAJA!D8)*H22)/1000000</f>
        <v>0</v>
      </c>
      <c r="I31" s="8">
        <f>((-CB_SMI_Mixto_MUY_BAJA!E8)*I22)/1000000</f>
        <v>0</v>
      </c>
      <c r="J31" s="8">
        <f>((-CB_SMI_Mixto_MUY_BAJA!F8)*J22)/1000000</f>
        <v>0</v>
      </c>
      <c r="K31" s="8">
        <f>((-CB_SMI_Mixto_MUY_BAJA!G8)*K22)/1000000</f>
        <v>0</v>
      </c>
      <c r="L31" s="8">
        <f>((-CB_SMI_Mixto_MUY_BAJA!H8)*L22)/1000000</f>
        <v>0</v>
      </c>
      <c r="M31" s="8">
        <f>((-CB_SMI_Mixto_MUY_BAJA!I8)*M22)/1000000</f>
        <v>0</v>
      </c>
      <c r="N31" s="8">
        <f>((-CB_SMI_Mixto_MUY_BAJA!J8)*N22)/1000000</f>
        <v>0</v>
      </c>
      <c r="O31" s="8">
        <f>((-CB_SMI_Mixto_MUY_BAJA!K8)*O22)/1000000</f>
        <v>0</v>
      </c>
      <c r="P31" s="8">
        <f>((-CB_SMI_Mixto_MUY_BAJA!L8)*P22)/1000000</f>
        <v>0</v>
      </c>
      <c r="Q31" s="8">
        <f>((-CB_SMI_Mixto_MUY_BAJA!M8)*Q22)/1000000</f>
        <v>0</v>
      </c>
      <c r="R31" s="8">
        <f>((-CB_SMI_Mixto_MUY_BAJA!N8)*R22)/1000000</f>
        <v>0</v>
      </c>
      <c r="S31" s="8">
        <f>((-CB_SMI_Mixto_MUY_BAJA!O8)*S22)/1000000</f>
        <v>0</v>
      </c>
      <c r="T31" s="8">
        <f>((-CB_SMI_Mixto_MUY_BAJA!P8)*T22)/1000000</f>
        <v>0</v>
      </c>
      <c r="U31" s="8">
        <f>((-CB_SMI_Mixto_MUY_BAJA!Q8)*U22)/1000000</f>
        <v>0</v>
      </c>
      <c r="W31" s="42">
        <f t="shared" si="3"/>
        <v>0</v>
      </c>
      <c r="X31" s="42">
        <f t="shared" si="4"/>
        <v>0</v>
      </c>
      <c r="Y31" s="42">
        <f t="shared" ref="Y31:Y56" si="6">W31*1000000/7744865</f>
        <v>0</v>
      </c>
      <c r="Z31" s="30">
        <f t="shared" si="5"/>
        <v>0</v>
      </c>
    </row>
    <row r="32" spans="2:26" x14ac:dyDescent="0.3">
      <c r="B32" s="53"/>
      <c r="C32" s="44" t="s">
        <v>59</v>
      </c>
      <c r="D32" s="45"/>
      <c r="E32" s="45"/>
      <c r="F32" s="8">
        <v>0</v>
      </c>
      <c r="G32" s="8">
        <f>((-CB_SMI_Mixto_MUY_BAJA!C9)*G23)/1000000</f>
        <v>-14.355162094534316</v>
      </c>
      <c r="H32" s="8">
        <f>((-CB_SMI_Mixto_MUY_BAJA!D9)*H23)/1000000</f>
        <v>-14.355162094534316</v>
      </c>
      <c r="I32" s="8">
        <f>((-CB_SMI_Mixto_MUY_BAJA!E9)*I23)/1000000</f>
        <v>-14.355162094534315</v>
      </c>
      <c r="J32" s="8">
        <f>((-CB_SMI_Mixto_MUY_BAJA!F9)*J23)/1000000</f>
        <v>-0.26748749244473885</v>
      </c>
      <c r="K32" s="8">
        <f>((-CB_SMI_Mixto_MUY_BAJA!G9)*K23)/1000000</f>
        <v>-0.2729464208619784</v>
      </c>
      <c r="L32" s="8">
        <f>((-CB_SMI_Mixto_MUY_BAJA!H9)*L23)/1000000</f>
        <v>-0.2729464208619784</v>
      </c>
      <c r="M32" s="8">
        <f>((-CB_SMI_Mixto_MUY_BAJA!I9)*M23)/1000000</f>
        <v>-0.27528596161222391</v>
      </c>
      <c r="N32" s="8">
        <f>((-CB_SMI_Mixto_MUY_BAJA!J9)*N23)/1000000</f>
        <v>-0.27528596161222391</v>
      </c>
      <c r="O32" s="8">
        <f>((-CB_SMI_Mixto_MUY_BAJA!K9)*O23)/1000000</f>
        <v>-0.27528596161222391</v>
      </c>
      <c r="P32" s="8">
        <f>((-CB_SMI_Mixto_MUY_BAJA!L9)*P23)/1000000</f>
        <v>-0.27528596161222391</v>
      </c>
      <c r="Q32" s="8">
        <f>((-CB_SMI_Mixto_MUY_BAJA!M9)*Q23)/1000000</f>
        <v>-0.27762550236246947</v>
      </c>
      <c r="R32" s="8">
        <f>((-CB_SMI_Mixto_MUY_BAJA!N9)*R23)/1000000</f>
        <v>-0.28074489002946351</v>
      </c>
      <c r="S32" s="8">
        <f>((-CB_SMI_Mixto_MUY_BAJA!O9)*S23)/1000000</f>
        <v>-0.28308443077970902</v>
      </c>
      <c r="T32" s="8">
        <f>((-CB_SMI_Mixto_MUY_BAJA!P9)*T23)/1000000</f>
        <v>-0.28464412461320604</v>
      </c>
      <c r="U32" s="8">
        <f>((-CB_SMI_Mixto_MUY_BAJA!Q9)*U23)/1000000</f>
        <v>-0.28620381844670301</v>
      </c>
      <c r="W32" s="42">
        <f t="shared" si="3"/>
        <v>-40.316044661817962</v>
      </c>
      <c r="X32" s="42">
        <f t="shared" si="4"/>
        <v>-4.1510513901266073</v>
      </c>
      <c r="Y32" s="42">
        <f t="shared" si="6"/>
        <v>-5.2055193553170982</v>
      </c>
      <c r="Z32" s="30">
        <f t="shared" si="5"/>
        <v>0.93588498086529071</v>
      </c>
    </row>
    <row r="33" spans="2:26" x14ac:dyDescent="0.3">
      <c r="B33" s="53"/>
      <c r="C33" s="44" t="s">
        <v>60</v>
      </c>
      <c r="D33" s="45"/>
      <c r="E33" s="45"/>
      <c r="F33" s="8">
        <f>((-CB_SMI_Mixto_MUY_BAJA!B10)*CB_SMI_Mixto_MUY_BAJA!B6)/1000000</f>
        <v>0</v>
      </c>
      <c r="G33" s="8">
        <f>((-CB_SMI_Mixto_MUY_BAJA!C10)*CB_SMI_Mixto_MUY_BAJA!C6)/1000000</f>
        <v>0</v>
      </c>
      <c r="H33" s="8">
        <f>((-CB_SMI_Mixto_MUY_BAJA!D10)*CB_SMI_Mixto_MUY_BAJA!D6)/1000000</f>
        <v>0</v>
      </c>
      <c r="I33" s="8">
        <f>((-CB_SMI_Mixto_MUY_BAJA!E10)*CB_SMI_Mixto_MUY_BAJA!E6)/1000000</f>
        <v>0</v>
      </c>
      <c r="J33" s="8">
        <f>((-CB_SMI_Mixto_MUY_BAJA!F10)*CB_SMI_Mixto_MUY_BAJA!F6)/1000000</f>
        <v>0</v>
      </c>
      <c r="K33" s="8">
        <f>((-CB_SMI_Mixto_MUY_BAJA!G10)*CB_SMI_Mixto_MUY_BAJA!G6)/1000000</f>
        <v>0</v>
      </c>
      <c r="L33" s="8">
        <f>((-CB_SMI_Mixto_MUY_BAJA!H10)*CB_SMI_Mixto_MUY_BAJA!H6)/1000000</f>
        <v>0</v>
      </c>
      <c r="M33" s="8">
        <f>((-CB_SMI_Mixto_MUY_BAJA!I10)*CB_SMI_Mixto_MUY_BAJA!I6)/1000000</f>
        <v>0</v>
      </c>
      <c r="N33" s="8">
        <f>((-CB_SMI_Mixto_MUY_BAJA!J10)*CB_SMI_Mixto_MUY_BAJA!J6)/1000000</f>
        <v>0</v>
      </c>
      <c r="O33" s="8">
        <f>((-CB_SMI_Mixto_MUY_BAJA!K10)*CB_SMI_Mixto_MUY_BAJA!K6)/1000000</f>
        <v>0</v>
      </c>
      <c r="P33" s="8">
        <f>((-CB_SMI_Mixto_MUY_BAJA!L10)*CB_SMI_Mixto_MUY_BAJA!L6)/1000000</f>
        <v>0</v>
      </c>
      <c r="Q33" s="8">
        <f>((-CB_SMI_Mixto_MUY_BAJA!M10)*CB_SMI_Mixto_MUY_BAJA!M6)/1000000</f>
        <v>0</v>
      </c>
      <c r="R33" s="8">
        <f>((-CB_SMI_Mixto_MUY_BAJA!N10)*CB_SMI_Mixto_MUY_BAJA!N6)/1000000</f>
        <v>0</v>
      </c>
      <c r="S33" s="8">
        <f>((-CB_SMI_Mixto_MUY_BAJA!O10)*CB_SMI_Mixto_MUY_BAJA!O6)/1000000</f>
        <v>0</v>
      </c>
      <c r="T33" s="8">
        <f>((-CB_SMI_Mixto_MUY_BAJA!P10)*CB_SMI_Mixto_MUY_BAJA!P6)/1000000</f>
        <v>0</v>
      </c>
      <c r="U33" s="8">
        <f>((-CB_SMI_Mixto_MUY_BAJA!Q10)*CB_SMI_Mixto_MUY_BAJA!Q6)/1000000</f>
        <v>0</v>
      </c>
      <c r="W33" s="42">
        <f t="shared" si="3"/>
        <v>0</v>
      </c>
      <c r="X33" s="42">
        <f t="shared" si="4"/>
        <v>0</v>
      </c>
      <c r="Y33" s="42">
        <f t="shared" si="6"/>
        <v>0</v>
      </c>
      <c r="Z33" s="30">
        <f t="shared" si="5"/>
        <v>0</v>
      </c>
    </row>
    <row r="34" spans="2:26" x14ac:dyDescent="0.3">
      <c r="B34" s="53"/>
      <c r="C34" s="44" t="s">
        <v>145</v>
      </c>
      <c r="D34" s="45"/>
      <c r="E34" s="45"/>
      <c r="F34" s="8">
        <f>(-CB_SMI_Mixto_MUY_BAJA!B11)/1000000</f>
        <v>-1.1468640959999998</v>
      </c>
      <c r="G34" s="8">
        <f>(-CB_SMI_Mixto_MUY_BAJA!C11)/1000000</f>
        <v>-7.0651350000000002E-3</v>
      </c>
      <c r="H34" s="8">
        <f>(-CB_SMI_Mixto_MUY_BAJA!D11)/1000000</f>
        <v>-7.0651350000000002E-3</v>
      </c>
      <c r="I34" s="8">
        <f>(-CB_SMI_Mixto_MUY_BAJA!E11)/1000000</f>
        <v>-7.0834859999999999E-3</v>
      </c>
      <c r="J34" s="8">
        <f>(-CB_SMI_Mixto_MUY_BAJA!F11)/1000000</f>
        <v>-7.1201879999999995E-3</v>
      </c>
      <c r="K34" s="8">
        <f>(-CB_SMI_Mixto_MUY_BAJA!G11)/1000000</f>
        <v>-7.2669959999999995E-3</v>
      </c>
      <c r="L34" s="8">
        <f>(-CB_SMI_Mixto_MUY_BAJA!H11)/1000000</f>
        <v>-7.2669959999999995E-3</v>
      </c>
      <c r="M34" s="8">
        <f>(-CB_SMI_Mixto_MUY_BAJA!I11)/1000000</f>
        <v>-7.3220489999999989E-3</v>
      </c>
      <c r="N34" s="8">
        <f>(-CB_SMI_Mixto_MUY_BAJA!J11)/1000000</f>
        <v>-7.3220489999999989E-3</v>
      </c>
      <c r="O34" s="8">
        <f>(-CB_SMI_Mixto_MUY_BAJA!K11)/1000000</f>
        <v>-7.3220489999999989E-3</v>
      </c>
      <c r="P34" s="8">
        <f>(-CB_SMI_Mixto_MUY_BAJA!L11)/1000000</f>
        <v>-7.3220489999999989E-3</v>
      </c>
      <c r="Q34" s="8">
        <f>(-CB_SMI_Mixto_MUY_BAJA!M11)/1000000</f>
        <v>-7.3771019999999991E-3</v>
      </c>
      <c r="R34" s="8">
        <f>(-CB_SMI_Mixto_MUY_BAJA!N11)/1000000</f>
        <v>-7.450506E-3</v>
      </c>
      <c r="S34" s="8">
        <f>(-CB_SMI_Mixto_MUY_BAJA!O11)/1000000</f>
        <v>-7.52391E-3</v>
      </c>
      <c r="T34" s="8">
        <f>(-CB_SMI_Mixto_MUY_BAJA!P11)/1000000</f>
        <v>-7.5789629999999993E-3</v>
      </c>
      <c r="U34" s="8">
        <f>(-CB_SMI_Mixto_MUY_BAJA!Q11)/1000000</f>
        <v>-7.6156649999999998E-3</v>
      </c>
      <c r="W34" s="42">
        <f t="shared" si="3"/>
        <v>-1.2174901205832169</v>
      </c>
      <c r="X34" s="42">
        <f t="shared" si="4"/>
        <v>-0.12535614790353497</v>
      </c>
      <c r="Y34" s="42">
        <f t="shared" si="6"/>
        <v>-0.15719965688016729</v>
      </c>
      <c r="Z34" s="30">
        <f t="shared" si="5"/>
        <v>2.8262462941579757E-2</v>
      </c>
    </row>
    <row r="35" spans="2:26" x14ac:dyDescent="0.3">
      <c r="B35" s="53"/>
      <c r="C35" s="44" t="s">
        <v>143</v>
      </c>
      <c r="D35" s="45"/>
      <c r="E35" s="45"/>
      <c r="F35" s="8">
        <f>(-CB_SMI_Mixto_MUY_BAJA!B12)/1000000</f>
        <v>-8.6178694736842101E-2</v>
      </c>
      <c r="G35" s="8">
        <f>(-CB_SMI_Mixto_MUY_BAJA!C12)/1000000</f>
        <v>-5.3089473684210531E-4</v>
      </c>
      <c r="H35" s="8">
        <f>(-CB_SMI_Mixto_MUY_BAJA!D12)/1000000</f>
        <v>-5.3089473684210531E-4</v>
      </c>
      <c r="I35" s="8">
        <f>(-CB_SMI_Mixto_MUY_BAJA!E12)/1000000</f>
        <v>-5.3227368421052644E-4</v>
      </c>
      <c r="J35" s="8">
        <f>(-CB_SMI_Mixto_MUY_BAJA!F12)/1000000</f>
        <v>-5.3503157894736839E-4</v>
      </c>
      <c r="K35" s="8">
        <f>(-CB_SMI_Mixto_MUY_BAJA!G12)/1000000</f>
        <v>-5.4606315789473684E-4</v>
      </c>
      <c r="L35" s="8">
        <f>(-CB_SMI_Mixto_MUY_BAJA!H12)/1000000</f>
        <v>-5.4606315789473684E-4</v>
      </c>
      <c r="M35" s="8">
        <f>(-CB_SMI_Mixto_MUY_BAJA!I12)/1000000</f>
        <v>-5.5020000000000004E-4</v>
      </c>
      <c r="N35" s="8">
        <f>(-CB_SMI_Mixto_MUY_BAJA!J12)/1000000</f>
        <v>-5.5020000000000004E-4</v>
      </c>
      <c r="O35" s="8">
        <f>(-CB_SMI_Mixto_MUY_BAJA!K12)/1000000</f>
        <v>-5.5020000000000004E-4</v>
      </c>
      <c r="P35" s="8">
        <f>(-CB_SMI_Mixto_MUY_BAJA!L12)/1000000</f>
        <v>-5.5020000000000004E-4</v>
      </c>
      <c r="Q35" s="8">
        <f>(-CB_SMI_Mixto_MUY_BAJA!M12)/1000000</f>
        <v>-5.5433684210526323E-4</v>
      </c>
      <c r="R35" s="8">
        <f>(-CB_SMI_Mixto_MUY_BAJA!N12)/1000000</f>
        <v>-5.5985263157894746E-4</v>
      </c>
      <c r="S35" s="8">
        <f>(-CB_SMI_Mixto_MUY_BAJA!O12)/1000000</f>
        <v>-5.6536842105263157E-4</v>
      </c>
      <c r="T35" s="8">
        <f>(-CB_SMI_Mixto_MUY_BAJA!P12)/1000000</f>
        <v>-5.6950526315789477E-4</v>
      </c>
      <c r="U35" s="8">
        <f>(-CB_SMI_Mixto_MUY_BAJA!Q12)/1000000</f>
        <v>-5.7226315789473683E-4</v>
      </c>
      <c r="W35" s="42">
        <f t="shared" si="3"/>
        <v>-9.148573907998786E-2</v>
      </c>
      <c r="X35" s="42">
        <f t="shared" si="4"/>
        <v>-9.4196245581701175E-3</v>
      </c>
      <c r="Y35" s="42">
        <f t="shared" si="6"/>
        <v>-1.1812438187106923E-2</v>
      </c>
      <c r="Z35" s="30">
        <f t="shared" si="5"/>
        <v>2.1237234427763573E-3</v>
      </c>
    </row>
    <row r="36" spans="2:26" x14ac:dyDescent="0.3">
      <c r="B36" s="54"/>
      <c r="C36" s="55" t="s">
        <v>123</v>
      </c>
      <c r="D36" s="55"/>
      <c r="E36" s="55"/>
      <c r="F36" s="15">
        <f>SUM(F30:F35)</f>
        <v>-1.233042790736842</v>
      </c>
      <c r="G36" s="15">
        <f t="shared" ref="G36:U36" si="7">SUM(G30:G35)</f>
        <v>-14.883768428695554</v>
      </c>
      <c r="H36" s="15">
        <f t="shared" si="7"/>
        <v>-14.883768428695554</v>
      </c>
      <c r="I36" s="15">
        <f t="shared" si="7"/>
        <v>-14.883788158642922</v>
      </c>
      <c r="J36" s="15">
        <f t="shared" si="7"/>
        <v>-0.28348728327736911</v>
      </c>
      <c r="K36" s="15">
        <f t="shared" si="7"/>
        <v>-0.28928948619030459</v>
      </c>
      <c r="L36" s="15">
        <f t="shared" si="7"/>
        <v>-0.28928948619030459</v>
      </c>
      <c r="M36" s="15">
        <f t="shared" si="7"/>
        <v>-0.29168821678265533</v>
      </c>
      <c r="N36" s="15">
        <f t="shared" si="7"/>
        <v>-0.29168821678265533</v>
      </c>
      <c r="O36" s="15">
        <f t="shared" si="7"/>
        <v>-0.29168821678265533</v>
      </c>
      <c r="P36" s="15">
        <f t="shared" si="7"/>
        <v>-0.29168821678265533</v>
      </c>
      <c r="Q36" s="15">
        <f t="shared" si="7"/>
        <v>-0.29408694737500618</v>
      </c>
      <c r="R36" s="15">
        <f t="shared" si="7"/>
        <v>-0.29728525483147389</v>
      </c>
      <c r="S36" s="15">
        <f t="shared" si="7"/>
        <v>-0.29988915028794166</v>
      </c>
      <c r="T36" s="15">
        <f t="shared" si="7"/>
        <v>-0.30169346888029241</v>
      </c>
      <c r="U36" s="15">
        <f t="shared" si="7"/>
        <v>-0.30329262260852619</v>
      </c>
      <c r="W36" s="42">
        <f t="shared" si="3"/>
        <v>-43.077990870783047</v>
      </c>
      <c r="X36" s="42">
        <f t="shared" si="4"/>
        <v>-4.4354290056975501</v>
      </c>
      <c r="Y36" s="42">
        <f t="shared" si="6"/>
        <v>-5.5621357984655697</v>
      </c>
      <c r="Z36" s="30">
        <f t="shared" si="5"/>
        <v>1</v>
      </c>
    </row>
    <row r="37" spans="2:26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W37" s="42"/>
      <c r="X37" s="42"/>
      <c r="Y37" s="42"/>
    </row>
    <row r="38" spans="2:26" x14ac:dyDescent="0.3">
      <c r="B38" s="52" t="s">
        <v>119</v>
      </c>
      <c r="C38" s="44" t="s">
        <v>100</v>
      </c>
      <c r="D38" s="45"/>
      <c r="E38" s="45"/>
      <c r="F38" s="8">
        <v>0</v>
      </c>
      <c r="G38" s="8">
        <f>(-CB_SMI_Mixto_MUY_BAJA!C13/1000000)*G$25</f>
        <v>0</v>
      </c>
      <c r="H38" s="8">
        <f>(-CB_SMI_Mixto_MUY_BAJA!D13/1000000)*H$25</f>
        <v>0</v>
      </c>
      <c r="I38" s="8">
        <f>(-CB_SMI_Mixto_MUY_BAJA!E13/1000000)*I$25</f>
        <v>0</v>
      </c>
      <c r="J38" s="8">
        <f>(-CB_SMI_Mixto_MUY_BAJA!F13/1000000)*J$25</f>
        <v>0</v>
      </c>
      <c r="K38" s="8">
        <f>(-CB_SMI_Mixto_MUY_BAJA!G13/1000000)*K$25</f>
        <v>0</v>
      </c>
      <c r="L38" s="8">
        <f>(-CB_SMI_Mixto_MUY_BAJA!H13/1000000)*L$25</f>
        <v>0</v>
      </c>
      <c r="M38" s="8">
        <f>(-CB_SMI_Mixto_MUY_BAJA!I13/1000000)*M$25</f>
        <v>0</v>
      </c>
      <c r="N38" s="8">
        <f>(-CB_SMI_Mixto_MUY_BAJA!J13/1000000)*N$25</f>
        <v>0</v>
      </c>
      <c r="O38" s="8">
        <f>(-CB_SMI_Mixto_MUY_BAJA!K13/1000000)*O$25</f>
        <v>0</v>
      </c>
      <c r="P38" s="8">
        <f>(-CB_SMI_Mixto_MUY_BAJA!L13/1000000)*P$25</f>
        <v>0</v>
      </c>
      <c r="Q38" s="8">
        <f>(-CB_SMI_Mixto_MUY_BAJA!M13/1000000)*Q$25</f>
        <v>0</v>
      </c>
      <c r="R38" s="8">
        <f>(-CB_SMI_Mixto_MUY_BAJA!N13/1000000)*R$25</f>
        <v>0</v>
      </c>
      <c r="S38" s="8">
        <f>(-CB_SMI_Mixto_MUY_BAJA!O13/1000000)*S$25</f>
        <v>0</v>
      </c>
      <c r="T38" s="8">
        <f>(-CB_SMI_Mixto_MUY_BAJA!P13/1000000)*T$25</f>
        <v>0</v>
      </c>
      <c r="U38" s="8">
        <f>(-CB_SMI_Mixto_MUY_BAJA!Q13/1000000)*U$25</f>
        <v>0</v>
      </c>
      <c r="W38" s="42">
        <f t="shared" ref="W38:W43" si="8">NPV($D$67,G38:U38)+F38</f>
        <v>0</v>
      </c>
      <c r="X38" s="42">
        <f t="shared" ref="X38:X43" si="9">PMT($D$67,15,-W38)</f>
        <v>0</v>
      </c>
      <c r="Y38" s="42">
        <f t="shared" si="6"/>
        <v>0</v>
      </c>
      <c r="Z38" s="30">
        <f t="shared" ref="Z38:Z43" si="10">W38/$W$43</f>
        <v>0</v>
      </c>
    </row>
    <row r="39" spans="2:26" x14ac:dyDescent="0.3">
      <c r="B39" s="53"/>
      <c r="C39" s="44" t="s">
        <v>101</v>
      </c>
      <c r="D39" s="45"/>
      <c r="E39" s="45"/>
      <c r="F39" s="8">
        <v>0</v>
      </c>
      <c r="G39" s="8">
        <f>(-CB_SMI_Mixto_MUY_BAJA!C14/1000000)*G$25</f>
        <v>-0.3545051014676972</v>
      </c>
      <c r="H39" s="8">
        <f>(-CB_SMI_Mixto_MUY_BAJA!D14/1000000)*H$25</f>
        <v>-0.70469558010274924</v>
      </c>
      <c r="I39" s="8">
        <f>(-CB_SMI_Mixto_MUY_BAJA!E14/1000000)*I$25</f>
        <v>-1.050633222148099</v>
      </c>
      <c r="J39" s="8">
        <f>(-CB_SMI_Mixto_MUY_BAJA!F14/1000000)*J$25</f>
        <v>-1.050633222148099</v>
      </c>
      <c r="K39" s="8">
        <f>(-CB_SMI_Mixto_MUY_BAJA!G14/1000000)*K$25</f>
        <v>-1.050633222148099</v>
      </c>
      <c r="L39" s="8">
        <f>(-CB_SMI_Mixto_MUY_BAJA!H14/1000000)*L$25</f>
        <v>-1.050633222148099</v>
      </c>
      <c r="M39" s="8">
        <f>(-CB_SMI_Mixto_MUY_BAJA!I14/1000000)*M$25</f>
        <v>-1.050633222148099</v>
      </c>
      <c r="N39" s="8">
        <f>(-CB_SMI_Mixto_MUY_BAJA!J14/1000000)*N$25</f>
        <v>-1.050633222148099</v>
      </c>
      <c r="O39" s="8">
        <f>(-CB_SMI_Mixto_MUY_BAJA!K14/1000000)*O$25</f>
        <v>-1.050633222148099</v>
      </c>
      <c r="P39" s="8">
        <f>(-CB_SMI_Mixto_MUY_BAJA!L14/1000000)*P$25</f>
        <v>-1.050633222148099</v>
      </c>
      <c r="Q39" s="8">
        <f>(-CB_SMI_Mixto_MUY_BAJA!M14/1000000)*Q$25</f>
        <v>-1.050633222148099</v>
      </c>
      <c r="R39" s="8">
        <f>(-CB_SMI_Mixto_MUY_BAJA!N14/1000000)*R$25</f>
        <v>-1.050633222148099</v>
      </c>
      <c r="S39" s="8">
        <f>(-CB_SMI_Mixto_MUY_BAJA!O14/1000000)*S$25</f>
        <v>-1.050633222148099</v>
      </c>
      <c r="T39" s="8">
        <f>(-CB_SMI_Mixto_MUY_BAJA!P14/1000000)*T$25</f>
        <v>-1.050633222148099</v>
      </c>
      <c r="U39" s="8">
        <f>(-CB_SMI_Mixto_MUY_BAJA!Q14/1000000)*U$25</f>
        <v>-1.050633222148099</v>
      </c>
      <c r="W39" s="42">
        <f t="shared" si="8"/>
        <v>-9.2394035362563169</v>
      </c>
      <c r="X39" s="42">
        <f t="shared" si="9"/>
        <v>-0.95131452539144068</v>
      </c>
      <c r="Y39" s="42">
        <f t="shared" si="6"/>
        <v>-1.1929715413059256</v>
      </c>
      <c r="Z39" s="30">
        <f t="shared" si="10"/>
        <v>0.60775601238349386</v>
      </c>
    </row>
    <row r="40" spans="2:26" x14ac:dyDescent="0.3">
      <c r="B40" s="53"/>
      <c r="C40" s="44" t="s">
        <v>146</v>
      </c>
      <c r="D40" s="45"/>
      <c r="E40" s="45"/>
      <c r="F40" s="8">
        <v>0</v>
      </c>
      <c r="G40" s="8">
        <f>(-CB_SMI_Mixto_MUY_BAJA!C15/1000000)*G$25</f>
        <v>-0.16942727151434295</v>
      </c>
      <c r="H40" s="8">
        <f>(-CB_SMI_Mixto_MUY_BAJA!D15/1000000)*H$25</f>
        <v>-0.33885454302868584</v>
      </c>
      <c r="I40" s="8">
        <f>(-CB_SMI_Mixto_MUY_BAJA!E15/1000000)*I$25</f>
        <v>-0.50828181454302879</v>
      </c>
      <c r="J40" s="8">
        <f>(-CB_SMI_Mixto_MUY_BAJA!F15/1000000)*J$25</f>
        <v>-0.51138012008005351</v>
      </c>
      <c r="K40" s="8">
        <f>(-CB_SMI_Mixto_MUY_BAJA!G15/1000000)*K$25</f>
        <v>-0.51454230820547053</v>
      </c>
      <c r="L40" s="8">
        <f>(-CB_SMI_Mixto_MUY_BAJA!H15/1000000)*L$25</f>
        <v>-0.51770449633088744</v>
      </c>
      <c r="M40" s="8">
        <f>(-CB_SMI_Mixto_MUY_BAJA!I15/1000000)*M$25</f>
        <v>-0.52089064042695155</v>
      </c>
      <c r="N40" s="8">
        <f>(-CB_SMI_Mixto_MUY_BAJA!J15/1000000)*N$25</f>
        <v>-0.52407678452301554</v>
      </c>
      <c r="O40" s="8">
        <f>(-CB_SMI_Mixto_MUY_BAJA!K15/1000000)*O$25</f>
        <v>-0.52726292861907964</v>
      </c>
      <c r="P40" s="8">
        <f>(-CB_SMI_Mixto_MUY_BAJA!L15/1000000)*P$25</f>
        <v>-0.53044907271514363</v>
      </c>
      <c r="Q40" s="8">
        <f>(-CB_SMI_Mixto_MUY_BAJA!M15/1000000)*Q$25</f>
        <v>-0.53365917278185471</v>
      </c>
      <c r="R40" s="8">
        <f>(-CB_SMI_Mixto_MUY_BAJA!N15/1000000)*R$25</f>
        <v>-0.53690121414276215</v>
      </c>
      <c r="S40" s="8">
        <f>(-CB_SMI_Mixto_MUY_BAJA!O15/1000000)*S$25</f>
        <v>-0.54017519679786541</v>
      </c>
      <c r="T40" s="8">
        <f>(-CB_SMI_Mixto_MUY_BAJA!P15/1000000)*T$25</f>
        <v>-0.54347313542361608</v>
      </c>
      <c r="U40" s="8">
        <f>(-CB_SMI_Mixto_MUY_BAJA!Q15/1000000)*U$25</f>
        <v>-0.54678704469646455</v>
      </c>
      <c r="W40" s="42">
        <f t="shared" si="8"/>
        <v>-4.5959556126057439</v>
      </c>
      <c r="X40" s="42">
        <f t="shared" si="9"/>
        <v>-0.47321229288981981</v>
      </c>
      <c r="Y40" s="42">
        <f t="shared" si="6"/>
        <v>-0.59341971907912461</v>
      </c>
      <c r="Z40" s="30">
        <f t="shared" si="10"/>
        <v>0.30231601479986664</v>
      </c>
    </row>
    <row r="41" spans="2:26" x14ac:dyDescent="0.3">
      <c r="B41" s="53"/>
      <c r="C41" s="44" t="s">
        <v>144</v>
      </c>
      <c r="D41" s="45"/>
      <c r="E41" s="45"/>
      <c r="F41" s="8">
        <v>0</v>
      </c>
      <c r="G41" s="8">
        <f>(-CB_SMI_Mixto_MUY_BAJA!C16/1000000)*G$25</f>
        <v>-2.4046497228070181E-2</v>
      </c>
      <c r="H41" s="8">
        <f>(-CB_SMI_Mixto_MUY_BAJA!D16/1000000)*H$25</f>
        <v>-4.8092994456140355E-2</v>
      </c>
      <c r="I41" s="8">
        <f>(-CB_SMI_Mixto_MUY_BAJA!E16/1000000)*I$25</f>
        <v>-7.2139491684210522E-2</v>
      </c>
      <c r="J41" s="8">
        <f>(-CB_SMI_Mixto_MUY_BAJA!F16/1000000)*J$25</f>
        <v>-7.2579228421052633E-2</v>
      </c>
      <c r="K41" s="8">
        <f>(-CB_SMI_Mixto_MUY_BAJA!G16/1000000)*K$25</f>
        <v>-7.3028031894736833E-2</v>
      </c>
      <c r="L41" s="8">
        <f>(-CB_SMI_Mixto_MUY_BAJA!H16/1000000)*L$25</f>
        <v>-7.3476835368421034E-2</v>
      </c>
      <c r="M41" s="8">
        <f>(-CB_SMI_Mixto_MUY_BAJA!I16/1000000)*M$25</f>
        <v>-7.3929038868421046E-2</v>
      </c>
      <c r="N41" s="8">
        <f>(-CB_SMI_Mixto_MUY_BAJA!J16/1000000)*N$25</f>
        <v>-7.4381242368421016E-2</v>
      </c>
      <c r="O41" s="8">
        <f>(-CB_SMI_Mixto_MUY_BAJA!K16/1000000)*O$25</f>
        <v>-7.4833445868421042E-2</v>
      </c>
      <c r="P41" s="8">
        <f>(-CB_SMI_Mixto_MUY_BAJA!L16/1000000)*P$25</f>
        <v>-7.5285649368421026E-2</v>
      </c>
      <c r="Q41" s="8">
        <f>(-CB_SMI_Mixto_MUY_BAJA!M16/1000000)*Q$25</f>
        <v>-7.5741252894736821E-2</v>
      </c>
      <c r="R41" s="8">
        <f>(-CB_SMI_Mixto_MUY_BAJA!N16/1000000)*R$25</f>
        <v>-7.6201389789473661E-2</v>
      </c>
      <c r="S41" s="8">
        <f>(-CB_SMI_Mixto_MUY_BAJA!O16/1000000)*S$25</f>
        <v>-7.666606005263156E-2</v>
      </c>
      <c r="T41" s="8">
        <f>(-CB_SMI_Mixto_MUY_BAJA!P16/1000000)*T$25</f>
        <v>-7.7134130342105228E-2</v>
      </c>
      <c r="U41" s="8">
        <f>(-CB_SMI_Mixto_MUY_BAJA!Q16/1000000)*U$25</f>
        <v>-7.7604467315789447E-2</v>
      </c>
      <c r="W41" s="42">
        <f t="shared" si="8"/>
        <v>-0.65229542393652784</v>
      </c>
      <c r="X41" s="42">
        <f t="shared" si="9"/>
        <v>-6.716213976390735E-2</v>
      </c>
      <c r="Y41" s="42">
        <f t="shared" si="6"/>
        <v>-8.4222955976189104E-2</v>
      </c>
      <c r="Z41" s="30">
        <f t="shared" si="10"/>
        <v>4.2907149167368826E-2</v>
      </c>
    </row>
    <row r="42" spans="2:26" x14ac:dyDescent="0.3">
      <c r="B42" s="53"/>
      <c r="C42" s="44" t="s">
        <v>61</v>
      </c>
      <c r="D42" s="45"/>
      <c r="E42" s="45"/>
      <c r="F42" s="8">
        <v>0</v>
      </c>
      <c r="G42" s="8">
        <f>(-CB_SMI_Mixto_MUY_BAJA!C17/1000000)*G$25</f>
        <v>-2.6351928000000011E-2</v>
      </c>
      <c r="H42" s="8">
        <f>(-CB_SMI_Mixto_MUY_BAJA!D17/1000000)*H$25</f>
        <v>-5.2703856000000014E-2</v>
      </c>
      <c r="I42" s="8">
        <f>(-CB_SMI_Mixto_MUY_BAJA!E17/1000000)*I$25</f>
        <v>-7.9055784000000018E-2</v>
      </c>
      <c r="J42" s="8">
        <f>(-CB_SMI_Mixto_MUY_BAJA!F17/1000000)*J$25</f>
        <v>-7.9537680000000027E-2</v>
      </c>
      <c r="K42" s="8">
        <f>(-CB_SMI_Mixto_MUY_BAJA!G17/1000000)*K$25</f>
        <v>-8.0029512000000011E-2</v>
      </c>
      <c r="L42" s="8">
        <f>(-CB_SMI_Mixto_MUY_BAJA!H17/1000000)*L$25</f>
        <v>-8.0521344000000009E-2</v>
      </c>
      <c r="M42" s="8">
        <f>(-CB_SMI_Mixto_MUY_BAJA!I17/1000000)*M$25</f>
        <v>-8.1016902000000002E-2</v>
      </c>
      <c r="N42" s="8">
        <f>(-CB_SMI_Mixto_MUY_BAJA!J17/1000000)*N$25</f>
        <v>-8.1512460000000009E-2</v>
      </c>
      <c r="O42" s="8">
        <f>(-CB_SMI_Mixto_MUY_BAJA!K17/1000000)*O$25</f>
        <v>-8.2008018000000016E-2</v>
      </c>
      <c r="P42" s="8">
        <f>(-CB_SMI_Mixto_MUY_BAJA!L17/1000000)*P$25</f>
        <v>-8.2503575999999995E-2</v>
      </c>
      <c r="Q42" s="8">
        <f>(-CB_SMI_Mixto_MUY_BAJA!M17/1000000)*Q$25</f>
        <v>-8.3002859999999998E-2</v>
      </c>
      <c r="R42" s="8">
        <f>(-CB_SMI_Mixto_MUY_BAJA!N17/1000000)*R$25</f>
        <v>-8.3507112000000008E-2</v>
      </c>
      <c r="S42" s="8">
        <f>(-CB_SMI_Mixto_MUY_BAJA!O17/1000000)*S$25</f>
        <v>-8.4016332000000013E-2</v>
      </c>
      <c r="T42" s="8">
        <f>(-CB_SMI_Mixto_MUY_BAJA!P17/1000000)*T$25</f>
        <v>-8.4529277999999999E-2</v>
      </c>
      <c r="U42" s="8">
        <f>(-CB_SMI_Mixto_MUY_BAJA!Q17/1000000)*U$25</f>
        <v>-8.5044708000000011E-2</v>
      </c>
      <c r="W42" s="42">
        <f t="shared" si="8"/>
        <v>-0.71483351122920979</v>
      </c>
      <c r="X42" s="42">
        <f t="shared" si="9"/>
        <v>-7.3601234084040512E-2</v>
      </c>
      <c r="Y42" s="42">
        <f t="shared" si="6"/>
        <v>-9.2297736788079565E-2</v>
      </c>
      <c r="Z42" s="30">
        <f t="shared" si="10"/>
        <v>4.7020823649270661E-2</v>
      </c>
    </row>
    <row r="43" spans="2:26" x14ac:dyDescent="0.3">
      <c r="B43" s="54"/>
      <c r="C43" s="55" t="s">
        <v>131</v>
      </c>
      <c r="D43" s="55"/>
      <c r="E43" s="55"/>
      <c r="F43" s="15">
        <f>SUM(F38:F42)</f>
        <v>0</v>
      </c>
      <c r="G43" s="15">
        <f>SUM(G38:G42)</f>
        <v>-0.57433079821011035</v>
      </c>
      <c r="H43" s="15">
        <f t="shared" ref="H43:T43" si="11">SUM(H38:H42)</f>
        <v>-1.1443469735875753</v>
      </c>
      <c r="I43" s="15">
        <f t="shared" si="11"/>
        <v>-1.7101103123753383</v>
      </c>
      <c r="J43" s="15">
        <f t="shared" si="11"/>
        <v>-1.7141302506492051</v>
      </c>
      <c r="K43" s="15">
        <f t="shared" si="11"/>
        <v>-1.7182330742483065</v>
      </c>
      <c r="L43" s="15">
        <f t="shared" si="11"/>
        <v>-1.7223358978474075</v>
      </c>
      <c r="M43" s="15">
        <f t="shared" si="11"/>
        <v>-1.7264698034434716</v>
      </c>
      <c r="N43" s="15">
        <f t="shared" si="11"/>
        <v>-1.7306037090395354</v>
      </c>
      <c r="O43" s="15">
        <f t="shared" si="11"/>
        <v>-1.7347376146355997</v>
      </c>
      <c r="P43" s="15">
        <f t="shared" si="11"/>
        <v>-1.7388715202316636</v>
      </c>
      <c r="Q43" s="15">
        <f t="shared" si="11"/>
        <v>-1.7430365078246903</v>
      </c>
      <c r="R43" s="15">
        <f t="shared" si="11"/>
        <v>-1.7472429380803347</v>
      </c>
      <c r="S43" s="15">
        <f t="shared" si="11"/>
        <v>-1.751490810998596</v>
      </c>
      <c r="T43" s="15">
        <f t="shared" si="11"/>
        <v>-1.7557697659138201</v>
      </c>
      <c r="U43" s="15">
        <f>SUM(U38:U42)</f>
        <v>-1.7600694421603529</v>
      </c>
      <c r="W43" s="42">
        <f t="shared" si="8"/>
        <v>-15.202488084027799</v>
      </c>
      <c r="X43" s="42">
        <f t="shared" si="9"/>
        <v>-1.5652901921292084</v>
      </c>
      <c r="Y43" s="42">
        <f t="shared" si="6"/>
        <v>-1.9629119531493189</v>
      </c>
      <c r="Z43" s="30">
        <f t="shared" si="10"/>
        <v>1</v>
      </c>
    </row>
    <row r="44" spans="2:26" x14ac:dyDescent="0.3"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W44" s="42"/>
      <c r="X44" s="42"/>
      <c r="Y44" s="42"/>
    </row>
    <row r="45" spans="2:26" x14ac:dyDescent="0.3">
      <c r="B45" s="88" t="s">
        <v>155</v>
      </c>
      <c r="C45" s="55"/>
      <c r="D45" s="55"/>
      <c r="E45" s="55"/>
      <c r="F45" s="15">
        <f>F36+F43</f>
        <v>-1.233042790736842</v>
      </c>
      <c r="G45" s="15">
        <f t="shared" ref="G45:U45" si="12">G36+G43</f>
        <v>-15.458099226905665</v>
      </c>
      <c r="H45" s="15">
        <f t="shared" si="12"/>
        <v>-16.028115402283127</v>
      </c>
      <c r="I45" s="15">
        <f t="shared" si="12"/>
        <v>-16.59389847101826</v>
      </c>
      <c r="J45" s="15">
        <f t="shared" si="12"/>
        <v>-1.9976175339265743</v>
      </c>
      <c r="K45" s="15">
        <f t="shared" si="12"/>
        <v>-2.0075225604386109</v>
      </c>
      <c r="L45" s="15">
        <f t="shared" si="12"/>
        <v>-2.0116253840377123</v>
      </c>
      <c r="M45" s="15">
        <f t="shared" si="12"/>
        <v>-2.0181580202261271</v>
      </c>
      <c r="N45" s="15">
        <f t="shared" si="12"/>
        <v>-2.0222919258221905</v>
      </c>
      <c r="O45" s="15">
        <f t="shared" si="12"/>
        <v>-2.0264258314182548</v>
      </c>
      <c r="P45" s="15">
        <f t="shared" si="12"/>
        <v>-2.0305597370143191</v>
      </c>
      <c r="Q45" s="15">
        <f t="shared" si="12"/>
        <v>-2.0371234551996964</v>
      </c>
      <c r="R45" s="15">
        <f t="shared" si="12"/>
        <v>-2.0445281929118084</v>
      </c>
      <c r="S45" s="15">
        <f t="shared" si="12"/>
        <v>-2.0513799612865378</v>
      </c>
      <c r="T45" s="15">
        <f t="shared" si="12"/>
        <v>-2.0574632347941124</v>
      </c>
      <c r="U45" s="15">
        <f t="shared" si="12"/>
        <v>-2.0633620647688788</v>
      </c>
      <c r="W45" s="42">
        <f>NPV($D$67,G45:U45)+F45</f>
        <v>-58.280478954810846</v>
      </c>
      <c r="X45" s="42">
        <f>PMT($D$67,15,-W45)</f>
        <v>-6.0007191978267596</v>
      </c>
      <c r="Y45" s="42">
        <f t="shared" si="6"/>
        <v>-7.5250477516148884</v>
      </c>
    </row>
    <row r="46" spans="2:26" x14ac:dyDescent="0.3">
      <c r="B46" s="9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W46" s="42"/>
      <c r="X46" s="42"/>
      <c r="Y46" s="42"/>
    </row>
    <row r="47" spans="2:26" x14ac:dyDescent="0.3">
      <c r="B47" s="74" t="s">
        <v>120</v>
      </c>
      <c r="C47" s="44" t="s">
        <v>112</v>
      </c>
      <c r="D47" s="45"/>
      <c r="E47" s="45"/>
      <c r="F47" s="8">
        <v>0</v>
      </c>
      <c r="G47" s="8">
        <f>(CB_SMI_Mixto_MUY_BAJA!C18/1000000)*G$25</f>
        <v>0</v>
      </c>
      <c r="H47" s="8">
        <f>(CB_SMI_Mixto_MUY_BAJA!D18/1000000)*H$25</f>
        <v>0</v>
      </c>
      <c r="I47" s="8">
        <f>(CB_SMI_Mixto_MUY_BAJA!E18/1000000)*I$25</f>
        <v>0</v>
      </c>
      <c r="J47" s="8">
        <f>(CB_SMI_Mixto_MUY_BAJA!F18/1000000)*J$25</f>
        <v>0</v>
      </c>
      <c r="K47" s="8">
        <f>(CB_SMI_Mixto_MUY_BAJA!G18/1000000)*K$25</f>
        <v>0</v>
      </c>
      <c r="L47" s="8">
        <f>(CB_SMI_Mixto_MUY_BAJA!H18/1000000)*L$25</f>
        <v>0</v>
      </c>
      <c r="M47" s="8">
        <f>(CB_SMI_Mixto_MUY_BAJA!I18/1000000)*M$25</f>
        <v>0</v>
      </c>
      <c r="N47" s="8">
        <f>(CB_SMI_Mixto_MUY_BAJA!J18/1000000)*N$25</f>
        <v>0</v>
      </c>
      <c r="O47" s="8">
        <f>(CB_SMI_Mixto_MUY_BAJA!K18/1000000)*O$25</f>
        <v>0</v>
      </c>
      <c r="P47" s="8">
        <f>(CB_SMI_Mixto_MUY_BAJA!L18/1000000)*P$25</f>
        <v>0</v>
      </c>
      <c r="Q47" s="8">
        <f>(CB_SMI_Mixto_MUY_BAJA!M18/1000000)*Q$25</f>
        <v>0</v>
      </c>
      <c r="R47" s="8">
        <f>(CB_SMI_Mixto_MUY_BAJA!N18/1000000)*R$25</f>
        <v>0</v>
      </c>
      <c r="S47" s="8">
        <f>(CB_SMI_Mixto_MUY_BAJA!O18/1000000)*S$25</f>
        <v>0</v>
      </c>
      <c r="T47" s="8">
        <f>(CB_SMI_Mixto_MUY_BAJA!P18/1000000)*T$25</f>
        <v>0</v>
      </c>
      <c r="U47" s="8">
        <f>(CB_SMI_Mixto_MUY_BAJA!Q18/1000000)*U$25</f>
        <v>0</v>
      </c>
      <c r="V47" s="30">
        <f>U47/$U$56</f>
        <v>0</v>
      </c>
      <c r="W47" s="42">
        <f>NPV($D$67,G47:U47)+F47</f>
        <v>0</v>
      </c>
      <c r="X47" s="42">
        <f t="shared" ref="X47:X56" si="13">PMT($D$67,15,-W47)</f>
        <v>0</v>
      </c>
      <c r="Y47" s="42">
        <f>W47*1000000/7744865</f>
        <v>0</v>
      </c>
      <c r="Z47" s="30">
        <f>W47/$W$56</f>
        <v>0</v>
      </c>
    </row>
    <row r="48" spans="2:26" x14ac:dyDescent="0.3">
      <c r="B48" s="75"/>
      <c r="C48" s="44" t="s">
        <v>62</v>
      </c>
      <c r="D48" s="45"/>
      <c r="E48" s="45"/>
      <c r="F48" s="8">
        <v>0</v>
      </c>
      <c r="G48" s="8">
        <f>(CB_SMI_Mixto_MUY_BAJA!C19/1000000)*G$25</f>
        <v>0</v>
      </c>
      <c r="H48" s="8">
        <f>(CB_SMI_Mixto_MUY_BAJA!D19/1000000)*H$25</f>
        <v>0</v>
      </c>
      <c r="I48" s="8">
        <f>(CB_SMI_Mixto_MUY_BAJA!E19/1000000)*I$25</f>
        <v>0</v>
      </c>
      <c r="J48" s="8">
        <f>(CB_SMI_Mixto_MUY_BAJA!F19/1000000)*J$25</f>
        <v>0</v>
      </c>
      <c r="K48" s="8">
        <f>(CB_SMI_Mixto_MUY_BAJA!G19/1000000)*K$25</f>
        <v>0</v>
      </c>
      <c r="L48" s="8">
        <f>(CB_SMI_Mixto_MUY_BAJA!H19/1000000)*L$25</f>
        <v>0</v>
      </c>
      <c r="M48" s="8">
        <f>(CB_SMI_Mixto_MUY_BAJA!I19/1000000)*M$25</f>
        <v>0</v>
      </c>
      <c r="N48" s="8">
        <f>(CB_SMI_Mixto_MUY_BAJA!J19/1000000)*N$25</f>
        <v>0</v>
      </c>
      <c r="O48" s="8">
        <f>(CB_SMI_Mixto_MUY_BAJA!K19/1000000)*O$25</f>
        <v>0</v>
      </c>
      <c r="P48" s="8">
        <f>(CB_SMI_Mixto_MUY_BAJA!L19/1000000)*P$25</f>
        <v>0</v>
      </c>
      <c r="Q48" s="8">
        <f>(CB_SMI_Mixto_MUY_BAJA!M19/1000000)*Q$25</f>
        <v>0</v>
      </c>
      <c r="R48" s="8">
        <f>(CB_SMI_Mixto_MUY_BAJA!N19/1000000)*R$25</f>
        <v>0</v>
      </c>
      <c r="S48" s="8">
        <f>(CB_SMI_Mixto_MUY_BAJA!O19/1000000)*S$25</f>
        <v>0</v>
      </c>
      <c r="T48" s="8">
        <f>(CB_SMI_Mixto_MUY_BAJA!P19/1000000)*T$25</f>
        <v>0</v>
      </c>
      <c r="U48" s="8">
        <f>(CB_SMI_Mixto_MUY_BAJA!Q19/1000000)*U$25</f>
        <v>0</v>
      </c>
      <c r="V48" s="30">
        <f t="shared" ref="V48:V55" si="14">U48/$U$56</f>
        <v>0</v>
      </c>
      <c r="W48" s="42">
        <f t="shared" ref="W48:W55" si="15">NPV($D$67,G48:U48)+F48</f>
        <v>0</v>
      </c>
      <c r="X48" s="42">
        <f t="shared" si="13"/>
        <v>0</v>
      </c>
      <c r="Y48" s="42">
        <f t="shared" si="6"/>
        <v>0</v>
      </c>
      <c r="Z48" s="30">
        <f t="shared" ref="Z48:Z56" si="16">W48/$W$56</f>
        <v>0</v>
      </c>
    </row>
    <row r="49" spans="2:26" x14ac:dyDescent="0.3">
      <c r="B49" s="75"/>
      <c r="C49" s="44" t="s">
        <v>95</v>
      </c>
      <c r="D49" s="45"/>
      <c r="E49" s="45"/>
      <c r="F49" s="8">
        <v>0</v>
      </c>
      <c r="G49" s="8">
        <f>(CB_SMI_Mixto_MUY_BAJA!C20/1000000)*G$25</f>
        <v>0</v>
      </c>
      <c r="H49" s="8">
        <f>(CB_SMI_Mixto_MUY_BAJA!D20/1000000)*H$25</f>
        <v>0</v>
      </c>
      <c r="I49" s="8">
        <f>(CB_SMI_Mixto_MUY_BAJA!E20/1000000)*I$25</f>
        <v>0</v>
      </c>
      <c r="J49" s="8">
        <f>(CB_SMI_Mixto_MUY_BAJA!F20/1000000)*J$25</f>
        <v>0</v>
      </c>
      <c r="K49" s="8">
        <f>(CB_SMI_Mixto_MUY_BAJA!G20/1000000)*K$25</f>
        <v>0</v>
      </c>
      <c r="L49" s="8">
        <f>(CB_SMI_Mixto_MUY_BAJA!H20/1000000)*L$25</f>
        <v>0</v>
      </c>
      <c r="M49" s="8">
        <f>(CB_SMI_Mixto_MUY_BAJA!I20/1000000)*M$25</f>
        <v>0</v>
      </c>
      <c r="N49" s="8">
        <f>(CB_SMI_Mixto_MUY_BAJA!J20/1000000)*N$25</f>
        <v>0</v>
      </c>
      <c r="O49" s="8">
        <f>(CB_SMI_Mixto_MUY_BAJA!K20/1000000)*O$25</f>
        <v>0</v>
      </c>
      <c r="P49" s="8">
        <f>(CB_SMI_Mixto_MUY_BAJA!L20/1000000)*P$25</f>
        <v>0</v>
      </c>
      <c r="Q49" s="8">
        <f>(CB_SMI_Mixto_MUY_BAJA!M20/1000000)*Q$25</f>
        <v>0</v>
      </c>
      <c r="R49" s="8">
        <f>(CB_SMI_Mixto_MUY_BAJA!N20/1000000)*R$25</f>
        <v>0</v>
      </c>
      <c r="S49" s="8">
        <f>(CB_SMI_Mixto_MUY_BAJA!O20/1000000)*S$25</f>
        <v>0</v>
      </c>
      <c r="T49" s="8">
        <f>(CB_SMI_Mixto_MUY_BAJA!P20/1000000)*T$25</f>
        <v>0</v>
      </c>
      <c r="U49" s="8">
        <f>(CB_SMI_Mixto_MUY_BAJA!Q20/1000000)*U$25</f>
        <v>0</v>
      </c>
      <c r="V49" s="30">
        <f t="shared" si="14"/>
        <v>0</v>
      </c>
      <c r="W49" s="42">
        <f t="shared" si="15"/>
        <v>0</v>
      </c>
      <c r="X49" s="42">
        <f t="shared" si="13"/>
        <v>0</v>
      </c>
      <c r="Y49" s="42">
        <f t="shared" si="6"/>
        <v>0</v>
      </c>
      <c r="Z49" s="30">
        <f t="shared" si="16"/>
        <v>0</v>
      </c>
    </row>
    <row r="50" spans="2:26" x14ac:dyDescent="0.3">
      <c r="B50" s="75"/>
      <c r="C50" s="44" t="s">
        <v>96</v>
      </c>
      <c r="D50" s="45"/>
      <c r="E50" s="45"/>
      <c r="F50" s="8">
        <v>0</v>
      </c>
      <c r="G50" s="8">
        <f>(CB_SMI_Mixto_MUY_BAJA!C21/1000000)*G$25</f>
        <v>0.11867138951403118</v>
      </c>
      <c r="H50" s="8">
        <f>(CB_SMI_Mixto_MUY_BAJA!D21/1000000)*H$25</f>
        <v>0.23589844921543307</v>
      </c>
      <c r="I50" s="8">
        <f>(CB_SMI_Mixto_MUY_BAJA!E21/1000000)*I$25</f>
        <v>0.3517018621896465</v>
      </c>
      <c r="J50" s="8">
        <f>(CB_SMI_Mixto_MUY_BAJA!F21/1000000)*J$25</f>
        <v>0.3517018621896465</v>
      </c>
      <c r="K50" s="8">
        <f>(CB_SMI_Mixto_MUY_BAJA!G21/1000000)*K$25</f>
        <v>0.3517018621896465</v>
      </c>
      <c r="L50" s="8">
        <f>(CB_SMI_Mixto_MUY_BAJA!H21/1000000)*L$25</f>
        <v>0.3517018621896465</v>
      </c>
      <c r="M50" s="8">
        <f>(CB_SMI_Mixto_MUY_BAJA!I21/1000000)*M$25</f>
        <v>0.3517018621896465</v>
      </c>
      <c r="N50" s="8">
        <f>(CB_SMI_Mixto_MUY_BAJA!J21/1000000)*N$25</f>
        <v>0.3517018621896465</v>
      </c>
      <c r="O50" s="8">
        <f>(CB_SMI_Mixto_MUY_BAJA!K21/1000000)*O$25</f>
        <v>0.3517018621896465</v>
      </c>
      <c r="P50" s="8">
        <f>(CB_SMI_Mixto_MUY_BAJA!L21/1000000)*P$25</f>
        <v>0.3517018621896465</v>
      </c>
      <c r="Q50" s="8">
        <f>(CB_SMI_Mixto_MUY_BAJA!M21/1000000)*Q$25</f>
        <v>0.3517018621896465</v>
      </c>
      <c r="R50" s="8">
        <f>(CB_SMI_Mixto_MUY_BAJA!N21/1000000)*R$25</f>
        <v>0.3517018621896465</v>
      </c>
      <c r="S50" s="8">
        <f>(CB_SMI_Mixto_MUY_BAJA!O21/1000000)*S$25</f>
        <v>0.3517018621896465</v>
      </c>
      <c r="T50" s="8">
        <f>(CB_SMI_Mixto_MUY_BAJA!P21/1000000)*T$25</f>
        <v>0.3517018621896465</v>
      </c>
      <c r="U50" s="8">
        <f>(CB_SMI_Mixto_MUY_BAJA!Q21/1000000)*U$25</f>
        <v>0.3517018621896465</v>
      </c>
      <c r="V50" s="30">
        <f t="shared" si="14"/>
        <v>6.8628782002076699E-2</v>
      </c>
      <c r="W50" s="42">
        <f t="shared" si="15"/>
        <v>3.0929113611875625</v>
      </c>
      <c r="X50" s="42">
        <f t="shared" si="13"/>
        <v>0.31845470241665991</v>
      </c>
      <c r="Y50" s="42">
        <f t="shared" si="6"/>
        <v>0.39934993846730221</v>
      </c>
      <c r="Z50" s="30">
        <f t="shared" si="16"/>
        <v>6.9944684039870489E-2</v>
      </c>
    </row>
    <row r="51" spans="2:26" x14ac:dyDescent="0.3">
      <c r="B51" s="75"/>
      <c r="C51" s="44" t="s">
        <v>140</v>
      </c>
      <c r="D51" s="45"/>
      <c r="E51" s="45"/>
      <c r="F51" s="8">
        <v>0</v>
      </c>
      <c r="G51" s="8">
        <f>(CB_SMI_Mixto_MUY_BAJA!C22/1000000)*G$25</f>
        <v>0</v>
      </c>
      <c r="H51" s="8">
        <f>(CB_SMI_Mixto_MUY_BAJA!D22/1000000)*H$25</f>
        <v>0</v>
      </c>
      <c r="I51" s="8">
        <f>(CB_SMI_Mixto_MUY_BAJA!E22/1000000)*I$25</f>
        <v>0</v>
      </c>
      <c r="J51" s="8">
        <f>(CB_SMI_Mixto_MUY_BAJA!F22/1000000)*J$25</f>
        <v>0</v>
      </c>
      <c r="K51" s="8">
        <f>(CB_SMI_Mixto_MUY_BAJA!G22/1000000)*K$25</f>
        <v>0</v>
      </c>
      <c r="L51" s="8">
        <f>(CB_SMI_Mixto_MUY_BAJA!H22/1000000)*L$25</f>
        <v>0</v>
      </c>
      <c r="M51" s="8">
        <f>(CB_SMI_Mixto_MUY_BAJA!I22/1000000)*M$25</f>
        <v>0</v>
      </c>
      <c r="N51" s="8">
        <f>(CB_SMI_Mixto_MUY_BAJA!J22/1000000)*N$25</f>
        <v>0</v>
      </c>
      <c r="O51" s="8">
        <f>(CB_SMI_Mixto_MUY_BAJA!K22/1000000)*O$25</f>
        <v>0</v>
      </c>
      <c r="P51" s="8">
        <f>(CB_SMI_Mixto_MUY_BAJA!L22/1000000)*P$25</f>
        <v>0</v>
      </c>
      <c r="Q51" s="8">
        <f>(CB_SMI_Mixto_MUY_BAJA!M22/1000000)*Q$25</f>
        <v>0</v>
      </c>
      <c r="R51" s="8">
        <f>(CB_SMI_Mixto_MUY_BAJA!N22/1000000)*R$25</f>
        <v>0</v>
      </c>
      <c r="S51" s="8">
        <f>(CB_SMI_Mixto_MUY_BAJA!O22/1000000)*S$25</f>
        <v>0</v>
      </c>
      <c r="T51" s="8">
        <f>(CB_SMI_Mixto_MUY_BAJA!P22/1000000)*T$25</f>
        <v>0</v>
      </c>
      <c r="U51" s="8">
        <f>(CB_SMI_Mixto_MUY_BAJA!Q22/1000000)*U$25</f>
        <v>0</v>
      </c>
      <c r="V51" s="30">
        <f t="shared" si="14"/>
        <v>0</v>
      </c>
      <c r="W51" s="42">
        <f t="shared" si="15"/>
        <v>0</v>
      </c>
      <c r="X51" s="42">
        <f t="shared" si="13"/>
        <v>0</v>
      </c>
      <c r="Y51" s="42">
        <f t="shared" si="6"/>
        <v>0</v>
      </c>
      <c r="Z51" s="30">
        <f t="shared" si="16"/>
        <v>0</v>
      </c>
    </row>
    <row r="52" spans="2:26" x14ac:dyDescent="0.3">
      <c r="B52" s="75"/>
      <c r="C52" s="44" t="s">
        <v>98</v>
      </c>
      <c r="D52" s="45"/>
      <c r="E52" s="45"/>
      <c r="F52" s="8">
        <v>0</v>
      </c>
      <c r="G52" s="8">
        <f>(CB_SMI_Mixto_MUY_BAJA!C23/1000000)*G$25</f>
        <v>0</v>
      </c>
      <c r="H52" s="8">
        <f>(CB_SMI_Mixto_MUY_BAJA!D23/1000000)*H$25</f>
        <v>0</v>
      </c>
      <c r="I52" s="8">
        <f>(CB_SMI_Mixto_MUY_BAJA!E23/1000000)*I$25</f>
        <v>0</v>
      </c>
      <c r="J52" s="8">
        <f>(CB_SMI_Mixto_MUY_BAJA!F23/1000000)*J$25</f>
        <v>0</v>
      </c>
      <c r="K52" s="8">
        <f>(CB_SMI_Mixto_MUY_BAJA!G23/1000000)*K$25</f>
        <v>0</v>
      </c>
      <c r="L52" s="8">
        <f>(CB_SMI_Mixto_MUY_BAJA!H23/1000000)*L$25</f>
        <v>0</v>
      </c>
      <c r="M52" s="8">
        <f>(CB_SMI_Mixto_MUY_BAJA!I23/1000000)*M$25</f>
        <v>0</v>
      </c>
      <c r="N52" s="8">
        <f>(CB_SMI_Mixto_MUY_BAJA!J23/1000000)*N$25</f>
        <v>0</v>
      </c>
      <c r="O52" s="8">
        <f>(CB_SMI_Mixto_MUY_BAJA!K23/1000000)*O$25</f>
        <v>0</v>
      </c>
      <c r="P52" s="8">
        <f>(CB_SMI_Mixto_MUY_BAJA!L23/1000000)*P$25</f>
        <v>0</v>
      </c>
      <c r="Q52" s="8">
        <f>(CB_SMI_Mixto_MUY_BAJA!M23/1000000)*Q$25</f>
        <v>0</v>
      </c>
      <c r="R52" s="8">
        <f>(CB_SMI_Mixto_MUY_BAJA!N23/1000000)*R$25</f>
        <v>0</v>
      </c>
      <c r="S52" s="8">
        <f>(CB_SMI_Mixto_MUY_BAJA!O23/1000000)*S$25</f>
        <v>0</v>
      </c>
      <c r="T52" s="8">
        <f>(CB_SMI_Mixto_MUY_BAJA!P23/1000000)*T$25</f>
        <v>0</v>
      </c>
      <c r="U52" s="8">
        <f>(CB_SMI_Mixto_MUY_BAJA!Q23/1000000)*U$25</f>
        <v>0</v>
      </c>
      <c r="V52" s="30">
        <f t="shared" si="14"/>
        <v>0</v>
      </c>
      <c r="W52" s="42">
        <f t="shared" si="15"/>
        <v>0</v>
      </c>
      <c r="X52" s="42">
        <f t="shared" si="13"/>
        <v>0</v>
      </c>
      <c r="Y52" s="42">
        <f t="shared" si="6"/>
        <v>0</v>
      </c>
      <c r="Z52" s="30">
        <f t="shared" si="16"/>
        <v>0</v>
      </c>
    </row>
    <row r="53" spans="2:26" x14ac:dyDescent="0.3">
      <c r="B53" s="75"/>
      <c r="C53" s="44" t="s">
        <v>63</v>
      </c>
      <c r="D53" s="45"/>
      <c r="E53" s="45"/>
      <c r="F53" s="8">
        <v>0</v>
      </c>
      <c r="G53" s="8">
        <f>(CB_SMI_Mixto_MUY_BAJA!C24/1000000)*G$25</f>
        <v>0</v>
      </c>
      <c r="H53" s="8">
        <f>(CB_SMI_Mixto_MUY_BAJA!D24/1000000)*H$25</f>
        <v>0</v>
      </c>
      <c r="I53" s="8">
        <f>(CB_SMI_Mixto_MUY_BAJA!E24/1000000)*I$25</f>
        <v>0</v>
      </c>
      <c r="J53" s="8">
        <f>(CB_SMI_Mixto_MUY_BAJA!F24/1000000)*J$25</f>
        <v>0</v>
      </c>
      <c r="K53" s="8">
        <f>(CB_SMI_Mixto_MUY_BAJA!G24/1000000)*K$25</f>
        <v>0</v>
      </c>
      <c r="L53" s="8">
        <f>(CB_SMI_Mixto_MUY_BAJA!H24/1000000)*L$25</f>
        <v>0</v>
      </c>
      <c r="M53" s="8">
        <f>(CB_SMI_Mixto_MUY_BAJA!I24/1000000)*M$25</f>
        <v>0</v>
      </c>
      <c r="N53" s="8">
        <f>(CB_SMI_Mixto_MUY_BAJA!J24/1000000)*N$25</f>
        <v>0</v>
      </c>
      <c r="O53" s="8">
        <f>(CB_SMI_Mixto_MUY_BAJA!K24/1000000)*O$25</f>
        <v>0</v>
      </c>
      <c r="P53" s="8">
        <f>(CB_SMI_Mixto_MUY_BAJA!L24/1000000)*P$25</f>
        <v>0</v>
      </c>
      <c r="Q53" s="8">
        <f>(CB_SMI_Mixto_MUY_BAJA!M24/1000000)*Q$25</f>
        <v>0</v>
      </c>
      <c r="R53" s="8">
        <f>(CB_SMI_Mixto_MUY_BAJA!N24/1000000)*R$25</f>
        <v>0</v>
      </c>
      <c r="S53" s="8">
        <f>(CB_SMI_Mixto_MUY_BAJA!O24/1000000)*S$25</f>
        <v>0</v>
      </c>
      <c r="T53" s="8">
        <f>(CB_SMI_Mixto_MUY_BAJA!P24/1000000)*T$25</f>
        <v>0</v>
      </c>
      <c r="U53" s="8">
        <f>(CB_SMI_Mixto_MUY_BAJA!Q24/1000000)*U$25</f>
        <v>0</v>
      </c>
      <c r="V53" s="30">
        <f t="shared" si="14"/>
        <v>0</v>
      </c>
      <c r="W53" s="42">
        <f t="shared" si="15"/>
        <v>0</v>
      </c>
      <c r="X53" s="42">
        <f t="shared" si="13"/>
        <v>0</v>
      </c>
      <c r="Y53" s="42">
        <f t="shared" si="6"/>
        <v>0</v>
      </c>
      <c r="Z53" s="30">
        <f t="shared" si="16"/>
        <v>0</v>
      </c>
    </row>
    <row r="54" spans="2:26" x14ac:dyDescent="0.3">
      <c r="B54" s="75"/>
      <c r="C54" s="44" t="s">
        <v>99</v>
      </c>
      <c r="D54" s="45"/>
      <c r="E54" s="45"/>
      <c r="F54" s="8">
        <v>0</v>
      </c>
      <c r="G54" s="8">
        <f>(CB_SMI_Mixto_MUY_BAJA!C25/1000000)*G$25</f>
        <v>0</v>
      </c>
      <c r="H54" s="8">
        <f>(CB_SMI_Mixto_MUY_BAJA!D25/1000000)*H$25</f>
        <v>0</v>
      </c>
      <c r="I54" s="8">
        <f>(CB_SMI_Mixto_MUY_BAJA!E25/1000000)*I$25</f>
        <v>0</v>
      </c>
      <c r="J54" s="8">
        <f>(CB_SMI_Mixto_MUY_BAJA!F25/1000000)*J$25</f>
        <v>0</v>
      </c>
      <c r="K54" s="8">
        <f>(CB_SMI_Mixto_MUY_BAJA!G25/1000000)*K$25</f>
        <v>0</v>
      </c>
      <c r="L54" s="8">
        <f>(CB_SMI_Mixto_MUY_BAJA!H25/1000000)*L$25</f>
        <v>0</v>
      </c>
      <c r="M54" s="8">
        <f>(CB_SMI_Mixto_MUY_BAJA!I25/1000000)*M$25</f>
        <v>0</v>
      </c>
      <c r="N54" s="8">
        <f>(CB_SMI_Mixto_MUY_BAJA!J25/1000000)*N$25</f>
        <v>0</v>
      </c>
      <c r="O54" s="8">
        <f>(CB_SMI_Mixto_MUY_BAJA!K25/1000000)*O$25</f>
        <v>0</v>
      </c>
      <c r="P54" s="8">
        <f>(CB_SMI_Mixto_MUY_BAJA!L25/1000000)*P$25</f>
        <v>0</v>
      </c>
      <c r="Q54" s="8">
        <f>(CB_SMI_Mixto_MUY_BAJA!M25/1000000)*Q$25</f>
        <v>0</v>
      </c>
      <c r="R54" s="8">
        <f>(CB_SMI_Mixto_MUY_BAJA!N25/1000000)*R$25</f>
        <v>0</v>
      </c>
      <c r="S54" s="8">
        <f>(CB_SMI_Mixto_MUY_BAJA!O25/1000000)*S$25</f>
        <v>0</v>
      </c>
      <c r="T54" s="8">
        <f>(CB_SMI_Mixto_MUY_BAJA!P25/1000000)*T$25</f>
        <v>0</v>
      </c>
      <c r="U54" s="8">
        <f>(CB_SMI_Mixto_MUY_BAJA!Q25/1000000)*U$25</f>
        <v>0</v>
      </c>
      <c r="V54" s="30">
        <f t="shared" si="14"/>
        <v>0</v>
      </c>
      <c r="W54" s="42">
        <f t="shared" si="15"/>
        <v>0</v>
      </c>
      <c r="X54" s="42">
        <f t="shared" si="13"/>
        <v>0</v>
      </c>
      <c r="Y54" s="42">
        <f t="shared" si="6"/>
        <v>0</v>
      </c>
      <c r="Z54" s="30">
        <f t="shared" si="16"/>
        <v>0</v>
      </c>
    </row>
    <row r="55" spans="2:26" x14ac:dyDescent="0.3">
      <c r="B55" s="75"/>
      <c r="C55" s="44" t="s">
        <v>97</v>
      </c>
      <c r="D55" s="45"/>
      <c r="E55" s="45"/>
      <c r="F55" s="8">
        <v>0</v>
      </c>
      <c r="G55" s="8">
        <f>(CB_SMI_Mixto_MUY_BAJA!C26/1000000)*G$25</f>
        <v>1.5438995476327195</v>
      </c>
      <c r="H55" s="8">
        <f>(CB_SMI_Mixto_MUY_BAJA!D26/1000000)*H$25</f>
        <v>3.0713301109591633</v>
      </c>
      <c r="I55" s="8">
        <f>(CB_SMI_Mixto_MUY_BAJA!E26/1000000)*I$25</f>
        <v>4.6295228370454549</v>
      </c>
      <c r="J55" s="8">
        <f>(CB_SMI_Mixto_MUY_BAJA!F26/1000000)*J$25</f>
        <v>4.6403802452272735</v>
      </c>
      <c r="K55" s="8">
        <f>(CB_SMI_Mixto_MUY_BAJA!G26/1000000)*K$25</f>
        <v>4.6474471693181814</v>
      </c>
      <c r="L55" s="8">
        <f>(CB_SMI_Mixto_MUY_BAJA!H26/1000000)*L$25</f>
        <v>4.6525351590909105</v>
      </c>
      <c r="M55" s="8">
        <f>(CB_SMI_Mixto_MUY_BAJA!I26/1000000)*M$25</f>
        <v>4.6575005256818187</v>
      </c>
      <c r="N55" s="8">
        <f>(CB_SMI_Mixto_MUY_BAJA!J26/1000000)*N$25</f>
        <v>4.6959971347727274</v>
      </c>
      <c r="O55" s="8">
        <f>(CB_SMI_Mixto_MUY_BAJA!K26/1000000)*O$25</f>
        <v>4.7059451986363632</v>
      </c>
      <c r="P55" s="8">
        <f>(CB_SMI_Mixto_MUY_BAJA!L26/1000000)*P$25</f>
        <v>4.7138229002272727</v>
      </c>
      <c r="Q55" s="8">
        <f>(CB_SMI_Mixto_MUY_BAJA!M26/1000000)*Q$25</f>
        <v>4.7217196311363629</v>
      </c>
      <c r="R55" s="8">
        <f>(CB_SMI_Mixto_MUY_BAJA!N26/1000000)*R$25</f>
        <v>4.7310835018181816</v>
      </c>
      <c r="S55" s="8">
        <f>(CB_SMI_Mixto_MUY_BAJA!O26/1000000)*S$25</f>
        <v>4.7450137202272735</v>
      </c>
      <c r="T55" s="8">
        <f>(CB_SMI_Mixto_MUY_BAJA!P26/1000000)*T$25</f>
        <v>4.7589849584090897</v>
      </c>
      <c r="U55" s="8">
        <f>(CB_SMI_Mixto_MUY_BAJA!Q26/1000000)*U$25</f>
        <v>4.772997308181818</v>
      </c>
      <c r="V55" s="30">
        <f t="shared" si="14"/>
        <v>0.93137121799792333</v>
      </c>
      <c r="W55" s="42">
        <f t="shared" si="15"/>
        <v>41.126480057101134</v>
      </c>
      <c r="X55" s="42">
        <f t="shared" si="13"/>
        <v>4.2344960584321791</v>
      </c>
      <c r="Y55" s="42">
        <f t="shared" si="6"/>
        <v>5.3101609979129565</v>
      </c>
      <c r="Z55" s="30">
        <f t="shared" si="16"/>
        <v>0.93005531596012969</v>
      </c>
    </row>
    <row r="56" spans="2:26" x14ac:dyDescent="0.3">
      <c r="B56" s="76"/>
      <c r="C56" s="77" t="s">
        <v>132</v>
      </c>
      <c r="D56" s="77"/>
      <c r="E56" s="77"/>
      <c r="F56" s="14">
        <f t="shared" ref="F56:T56" si="17">SUM(F47:F55)</f>
        <v>0</v>
      </c>
      <c r="G56" s="14">
        <f t="shared" si="17"/>
        <v>1.6625709371467507</v>
      </c>
      <c r="H56" s="14">
        <f t="shared" si="17"/>
        <v>3.3072285601745963</v>
      </c>
      <c r="I56" s="14">
        <f t="shared" si="17"/>
        <v>4.981224699235101</v>
      </c>
      <c r="J56" s="14">
        <f t="shared" si="17"/>
        <v>4.9920821074169197</v>
      </c>
      <c r="K56" s="14">
        <f t="shared" si="17"/>
        <v>4.9991490315078275</v>
      </c>
      <c r="L56" s="14">
        <f t="shared" si="17"/>
        <v>5.0042370212805567</v>
      </c>
      <c r="M56" s="14">
        <f t="shared" si="17"/>
        <v>5.0092023878714649</v>
      </c>
      <c r="N56" s="14">
        <f t="shared" si="17"/>
        <v>5.0476989969623736</v>
      </c>
      <c r="O56" s="14">
        <f t="shared" si="17"/>
        <v>5.0576470608260093</v>
      </c>
      <c r="P56" s="14">
        <f t="shared" si="17"/>
        <v>5.0655247624169188</v>
      </c>
      <c r="Q56" s="14">
        <f t="shared" si="17"/>
        <v>5.0734214933260091</v>
      </c>
      <c r="R56" s="14">
        <f t="shared" si="17"/>
        <v>5.0827853640078278</v>
      </c>
      <c r="S56" s="14">
        <f t="shared" si="17"/>
        <v>5.0967155824169197</v>
      </c>
      <c r="T56" s="14">
        <f t="shared" si="17"/>
        <v>5.1106868205987359</v>
      </c>
      <c r="U56" s="14">
        <f>SUM(U47:U55)</f>
        <v>5.1246991703714642</v>
      </c>
      <c r="W56" s="42">
        <f>NPV($D$67,G56:U56)+F56</f>
        <v>44.219391418288687</v>
      </c>
      <c r="X56" s="42">
        <f t="shared" si="13"/>
        <v>4.5529507608488382</v>
      </c>
      <c r="Y56" s="42">
        <f t="shared" si="6"/>
        <v>5.7095109363802576</v>
      </c>
      <c r="Z56" s="30">
        <f t="shared" si="16"/>
        <v>1</v>
      </c>
    </row>
    <row r="58" spans="2:26" x14ac:dyDescent="0.3">
      <c r="B58" s="72" t="s">
        <v>64</v>
      </c>
      <c r="C58" s="73"/>
      <c r="D58" s="73"/>
      <c r="E58" s="73"/>
      <c r="F58" s="31">
        <f>F45+F56</f>
        <v>-1.233042790736842</v>
      </c>
      <c r="G58" s="31">
        <f>G45+G56</f>
        <v>-13.795528289758915</v>
      </c>
      <c r="H58" s="31">
        <f t="shared" ref="H58:U58" si="18">H45+H56</f>
        <v>-12.720886842108531</v>
      </c>
      <c r="I58" s="31">
        <f t="shared" si="18"/>
        <v>-11.612673771783159</v>
      </c>
      <c r="J58" s="31">
        <f t="shared" si="18"/>
        <v>2.9944645734903457</v>
      </c>
      <c r="K58" s="31">
        <f t="shared" si="18"/>
        <v>2.9916264710692166</v>
      </c>
      <c r="L58" s="31">
        <f t="shared" si="18"/>
        <v>2.9926116372428444</v>
      </c>
      <c r="M58" s="31">
        <f t="shared" si="18"/>
        <v>2.9910443676453378</v>
      </c>
      <c r="N58" s="31">
        <f t="shared" si="18"/>
        <v>3.025407071140183</v>
      </c>
      <c r="O58" s="31">
        <f t="shared" si="18"/>
        <v>3.0312212294077545</v>
      </c>
      <c r="P58" s="31">
        <f t="shared" si="18"/>
        <v>3.0349650254025997</v>
      </c>
      <c r="Q58" s="31">
        <f t="shared" si="18"/>
        <v>3.0362980381263127</v>
      </c>
      <c r="R58" s="31">
        <f t="shared" si="18"/>
        <v>3.0382571710960193</v>
      </c>
      <c r="S58" s="31">
        <f t="shared" si="18"/>
        <v>3.0453356211303819</v>
      </c>
      <c r="T58" s="31">
        <f t="shared" si="18"/>
        <v>3.0532235858046235</v>
      </c>
      <c r="U58" s="31">
        <f t="shared" si="18"/>
        <v>3.0613371056025853</v>
      </c>
    </row>
    <row r="60" spans="2:26" x14ac:dyDescent="0.3">
      <c r="B60" s="72" t="s">
        <v>156</v>
      </c>
      <c r="C60" s="73"/>
      <c r="D60" s="73"/>
      <c r="E60" s="73"/>
      <c r="F60" s="31">
        <v>0</v>
      </c>
      <c r="G60" s="31">
        <f>F61</f>
        <v>-1.233042790736842</v>
      </c>
      <c r="H60" s="31">
        <f t="shared" ref="H60:U60" si="19">G61</f>
        <v>-15.028571080495757</v>
      </c>
      <c r="I60" s="31">
        <f t="shared" si="19"/>
        <v>-27.749457922604286</v>
      </c>
      <c r="J60" s="31">
        <f t="shared" si="19"/>
        <v>-39.362131694387443</v>
      </c>
      <c r="K60" s="31">
        <f t="shared" si="19"/>
        <v>-36.367667120897096</v>
      </c>
      <c r="L60" s="31">
        <f>K61</f>
        <v>-33.376040649827878</v>
      </c>
      <c r="M60" s="31">
        <f t="shared" si="19"/>
        <v>-30.383429012585033</v>
      </c>
      <c r="N60" s="31">
        <f t="shared" si="19"/>
        <v>-27.392384644939696</v>
      </c>
      <c r="O60" s="31">
        <f t="shared" si="19"/>
        <v>-24.366977573799513</v>
      </c>
      <c r="P60" s="31">
        <f t="shared" si="19"/>
        <v>-21.335756344391758</v>
      </c>
      <c r="Q60" s="31">
        <f t="shared" si="19"/>
        <v>-18.300791318989159</v>
      </c>
      <c r="R60" s="31">
        <f t="shared" si="19"/>
        <v>-15.264493280862846</v>
      </c>
      <c r="S60" s="31">
        <f t="shared" si="19"/>
        <v>-12.226236109766827</v>
      </c>
      <c r="T60" s="31">
        <f t="shared" si="19"/>
        <v>-9.1809004886364445</v>
      </c>
      <c r="U60" s="31">
        <f t="shared" si="19"/>
        <v>-6.127676902831821</v>
      </c>
    </row>
    <row r="61" spans="2:26" x14ac:dyDescent="0.3">
      <c r="B61" s="72" t="s">
        <v>109</v>
      </c>
      <c r="C61" s="73"/>
      <c r="D61" s="73"/>
      <c r="E61" s="73"/>
      <c r="F61" s="31">
        <f>F58+F60</f>
        <v>-1.233042790736842</v>
      </c>
      <c r="G61" s="31">
        <f>G58+G60</f>
        <v>-15.028571080495757</v>
      </c>
      <c r="H61" s="31">
        <f t="shared" ref="H61:U61" si="20">H58+H60</f>
        <v>-27.749457922604286</v>
      </c>
      <c r="I61" s="31">
        <f t="shared" si="20"/>
        <v>-39.362131694387443</v>
      </c>
      <c r="J61" s="31">
        <f t="shared" si="20"/>
        <v>-36.367667120897096</v>
      </c>
      <c r="K61" s="31">
        <f t="shared" si="20"/>
        <v>-33.376040649827878</v>
      </c>
      <c r="L61" s="31">
        <f t="shared" si="20"/>
        <v>-30.383429012585033</v>
      </c>
      <c r="M61" s="31">
        <f t="shared" si="20"/>
        <v>-27.392384644939696</v>
      </c>
      <c r="N61" s="31">
        <f t="shared" si="20"/>
        <v>-24.366977573799513</v>
      </c>
      <c r="O61" s="31">
        <f t="shared" si="20"/>
        <v>-21.335756344391758</v>
      </c>
      <c r="P61" s="31">
        <f t="shared" si="20"/>
        <v>-18.300791318989159</v>
      </c>
      <c r="Q61" s="31">
        <f t="shared" si="20"/>
        <v>-15.264493280862846</v>
      </c>
      <c r="R61" s="31">
        <f t="shared" si="20"/>
        <v>-12.226236109766827</v>
      </c>
      <c r="S61" s="31">
        <f t="shared" si="20"/>
        <v>-9.1809004886364445</v>
      </c>
      <c r="T61" s="31">
        <f t="shared" si="20"/>
        <v>-6.127676902831821</v>
      </c>
      <c r="U61" s="31">
        <f t="shared" si="20"/>
        <v>-3.0663397972292357</v>
      </c>
    </row>
    <row r="62" spans="2:26" x14ac:dyDescent="0.3"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</row>
    <row r="63" spans="2:26" x14ac:dyDescent="0.3">
      <c r="B63" s="78" t="s">
        <v>157</v>
      </c>
      <c r="C63" s="79"/>
      <c r="D63" s="79"/>
      <c r="E63" s="79"/>
      <c r="F63" s="33">
        <f>F58/(1+0.06)^F27</f>
        <v>-1.233042790736842</v>
      </c>
      <c r="G63" s="33">
        <f>G58/(1+0.06)^G27</f>
        <v>-13.014649329961239</v>
      </c>
      <c r="H63" s="33">
        <f t="shared" ref="H63:T63" si="21">H58/(1+0.06)^H27</f>
        <v>-11.321544003300577</v>
      </c>
      <c r="I63" s="33">
        <f t="shared" si="21"/>
        <v>-9.7502248263525892</v>
      </c>
      <c r="J63" s="33">
        <f t="shared" si="21"/>
        <v>2.3718964134524443</v>
      </c>
      <c r="K63" s="33">
        <f t="shared" si="21"/>
        <v>2.2355173306689125</v>
      </c>
      <c r="L63" s="33">
        <f t="shared" si="21"/>
        <v>2.1096731171167802</v>
      </c>
      <c r="M63" s="33">
        <f>M58/(1+0.06)^M27</f>
        <v>1.9892153338625536</v>
      </c>
      <c r="N63" s="33">
        <f t="shared" si="21"/>
        <v>1.8981778247783923</v>
      </c>
      <c r="O63" s="33">
        <f t="shared" si="21"/>
        <v>1.7941751883060433</v>
      </c>
      <c r="P63" s="33">
        <f t="shared" si="21"/>
        <v>1.6947086183048696</v>
      </c>
      <c r="Q63" s="33">
        <f t="shared" si="21"/>
        <v>1.5994839298559926</v>
      </c>
      <c r="R63" s="33">
        <f t="shared" si="21"/>
        <v>1.5099207327028465</v>
      </c>
      <c r="S63" s="33">
        <f t="shared" si="21"/>
        <v>1.4277721750108823</v>
      </c>
      <c r="T63" s="33">
        <f t="shared" si="21"/>
        <v>1.3504437364681479</v>
      </c>
      <c r="U63" s="33">
        <f>U58/(1+0.06)^U27</f>
        <v>1.277389013301226</v>
      </c>
    </row>
    <row r="64" spans="2:26" x14ac:dyDescent="0.3">
      <c r="B64" s="78" t="s">
        <v>158</v>
      </c>
      <c r="C64" s="79"/>
      <c r="D64" s="79"/>
      <c r="E64" s="79"/>
      <c r="F64" s="33">
        <f>F63</f>
        <v>-1.233042790736842</v>
      </c>
      <c r="G64" s="33">
        <f>F64+G63</f>
        <v>-14.247692120698082</v>
      </c>
      <c r="H64" s="33">
        <f t="shared" ref="H64:U64" si="22">G64+H63</f>
        <v>-25.569236123998657</v>
      </c>
      <c r="I64" s="33">
        <f t="shared" si="22"/>
        <v>-35.319460950351242</v>
      </c>
      <c r="J64" s="33">
        <f t="shared" si="22"/>
        <v>-32.947564536898795</v>
      </c>
      <c r="K64" s="33">
        <f t="shared" si="22"/>
        <v>-30.712047206229883</v>
      </c>
      <c r="L64" s="33">
        <f t="shared" si="22"/>
        <v>-28.602374089113102</v>
      </c>
      <c r="M64" s="33">
        <f t="shared" si="22"/>
        <v>-26.613158755250549</v>
      </c>
      <c r="N64" s="33">
        <f t="shared" si="22"/>
        <v>-24.714980930472155</v>
      </c>
      <c r="O64" s="33">
        <f t="shared" si="22"/>
        <v>-22.920805742166113</v>
      </c>
      <c r="P64" s="33">
        <f t="shared" si="22"/>
        <v>-21.226097123861244</v>
      </c>
      <c r="Q64" s="33">
        <f t="shared" si="22"/>
        <v>-19.626613194005252</v>
      </c>
      <c r="R64" s="33">
        <f t="shared" si="22"/>
        <v>-18.116692461302407</v>
      </c>
      <c r="S64" s="33">
        <f t="shared" si="22"/>
        <v>-16.688920286291523</v>
      </c>
      <c r="T64" s="33">
        <f t="shared" si="22"/>
        <v>-15.338476549823376</v>
      </c>
      <c r="U64" s="33">
        <f t="shared" si="22"/>
        <v>-14.06108753652215</v>
      </c>
    </row>
    <row r="67" spans="2:20" x14ac:dyDescent="0.3">
      <c r="B67" s="85" t="s">
        <v>159</v>
      </c>
      <c r="C67" s="85"/>
      <c r="D67" s="34">
        <f>J4</f>
        <v>0.06</v>
      </c>
      <c r="H67" s="93" t="s">
        <v>160</v>
      </c>
      <c r="I67" s="93"/>
      <c r="J67" s="93" t="s">
        <v>161</v>
      </c>
      <c r="K67" s="93"/>
      <c r="L67" s="93" t="s">
        <v>162</v>
      </c>
      <c r="M67" s="93"/>
    </row>
    <row r="68" spans="2:20" x14ac:dyDescent="0.3">
      <c r="B68" s="62"/>
      <c r="C68" s="62"/>
      <c r="F68" s="100" t="s">
        <v>163</v>
      </c>
      <c r="G68" s="100"/>
      <c r="H68" s="94">
        <f>NPV(D67,G45:U45)+F45</f>
        <v>-58.280478954810846</v>
      </c>
      <c r="I68" s="94"/>
      <c r="J68" s="94">
        <f>H68*1000000/$D$76</f>
        <v>-45.243866125533494</v>
      </c>
      <c r="K68" s="94"/>
      <c r="L68" s="95">
        <f>J68*$S$4</f>
        <v>-43405.155406191814</v>
      </c>
      <c r="M68" s="95"/>
      <c r="S68" s="6"/>
      <c r="T68" s="6"/>
    </row>
    <row r="69" spans="2:20" x14ac:dyDescent="0.3">
      <c r="B69" s="80" t="s">
        <v>110</v>
      </c>
      <c r="C69" s="80"/>
      <c r="D69" s="36">
        <f>NPV(D67,G58:U58)+F58</f>
        <v>-14.061087536522157</v>
      </c>
      <c r="F69" s="101" t="s">
        <v>164</v>
      </c>
      <c r="G69" s="101"/>
      <c r="H69" s="89">
        <f>PMT(D67,15,-H68)</f>
        <v>-6.0007191978267596</v>
      </c>
      <c r="I69" s="89"/>
      <c r="J69" s="89">
        <f>H69*1000000/$D$76</f>
        <v>-4.6584335083090744</v>
      </c>
      <c r="K69" s="89"/>
      <c r="L69" s="90">
        <f t="shared" ref="L69" si="23">J69*$S$4</f>
        <v>-4469.1147705313933</v>
      </c>
      <c r="M69" s="90"/>
    </row>
    <row r="70" spans="2:20" x14ac:dyDescent="0.3">
      <c r="B70" s="80" t="s">
        <v>111</v>
      </c>
      <c r="C70" s="80"/>
      <c r="D70" s="37">
        <f>IRR(F58:U58)</f>
        <v>-1.047287423809562E-2</v>
      </c>
      <c r="F70" s="102" t="s">
        <v>165</v>
      </c>
      <c r="G70" s="102"/>
      <c r="H70" s="91">
        <f>H69/12</f>
        <v>-0.50005993315222996</v>
      </c>
      <c r="I70" s="91"/>
      <c r="J70" s="91">
        <f t="shared" ref="J70" si="24">J69/12</f>
        <v>-0.38820279235908955</v>
      </c>
      <c r="K70" s="91"/>
      <c r="L70" s="92">
        <f>L69/12</f>
        <v>-372.42623087761609</v>
      </c>
      <c r="M70" s="92"/>
    </row>
    <row r="71" spans="2:20" x14ac:dyDescent="0.3">
      <c r="B71" s="80" t="s">
        <v>166</v>
      </c>
      <c r="C71" s="80"/>
      <c r="D71" s="38">
        <f>NPV(D67,G56:U56)/-(F36+NPV(D67,G36:U36)+NPV(D67,G43:U43))</f>
        <v>0.75873418014589833</v>
      </c>
      <c r="F71" s="103"/>
      <c r="G71" s="103"/>
      <c r="L71" s="39"/>
      <c r="M71" s="39"/>
    </row>
    <row r="72" spans="2:20" x14ac:dyDescent="0.3">
      <c r="B72" s="62"/>
      <c r="C72" s="62"/>
      <c r="F72" s="104" t="s">
        <v>167</v>
      </c>
      <c r="G72" s="104"/>
      <c r="H72" s="94">
        <f>NPV(D67,G56:U56)+F56</f>
        <v>44.219391418288687</v>
      </c>
      <c r="I72" s="94"/>
      <c r="J72" s="94">
        <f>H72*1000000/$D$76</f>
        <v>34.328067671387437</v>
      </c>
      <c r="K72" s="94"/>
      <c r="L72" s="95">
        <f>J72*$S$4</f>
        <v>32932.97500122225</v>
      </c>
      <c r="M72" s="95"/>
    </row>
    <row r="73" spans="2:20" x14ac:dyDescent="0.3">
      <c r="B73" s="80" t="s">
        <v>168</v>
      </c>
      <c r="C73" s="80"/>
      <c r="D73" s="4">
        <v>2527114</v>
      </c>
      <c r="F73" s="105" t="s">
        <v>169</v>
      </c>
      <c r="G73" s="105"/>
      <c r="H73" s="89">
        <f>PMT(D67,15,-H72)</f>
        <v>4.5529507608488382</v>
      </c>
      <c r="I73" s="89"/>
      <c r="J73" s="94">
        <f>H73*1000000/$D$76</f>
        <v>3.5345127286910656</v>
      </c>
      <c r="K73" s="94"/>
      <c r="L73" s="90">
        <f>J73*$S$4</f>
        <v>3390.8701313970605</v>
      </c>
      <c r="M73" s="90"/>
    </row>
    <row r="74" spans="2:20" x14ac:dyDescent="0.3">
      <c r="B74" s="80" t="s">
        <v>170</v>
      </c>
      <c r="C74" s="80"/>
      <c r="D74" s="4">
        <v>2158536</v>
      </c>
      <c r="F74" s="106" t="s">
        <v>171</v>
      </c>
      <c r="G74" s="106"/>
      <c r="H74" s="96">
        <f>H73/12</f>
        <v>0.37941256340406987</v>
      </c>
      <c r="I74" s="96"/>
      <c r="J74" s="96">
        <f t="shared" ref="J74" si="25">J73/12</f>
        <v>0.29454272739092213</v>
      </c>
      <c r="K74" s="96"/>
      <c r="L74" s="97">
        <f>L73/12</f>
        <v>282.57251094975504</v>
      </c>
      <c r="M74" s="97"/>
    </row>
    <row r="75" spans="2:20" x14ac:dyDescent="0.3">
      <c r="B75" s="80" t="s">
        <v>172</v>
      </c>
      <c r="C75" s="80"/>
      <c r="D75" s="4">
        <v>1173397</v>
      </c>
      <c r="F75" s="103"/>
      <c r="G75" s="103"/>
      <c r="L75" s="39"/>
      <c r="M75" s="39"/>
    </row>
    <row r="76" spans="2:20" x14ac:dyDescent="0.3">
      <c r="B76" s="80" t="s">
        <v>173</v>
      </c>
      <c r="C76" s="80"/>
      <c r="D76" s="4">
        <v>1288141</v>
      </c>
      <c r="F76" s="107" t="s">
        <v>174</v>
      </c>
      <c r="G76" s="107"/>
      <c r="H76" s="94">
        <f>H72+H68</f>
        <v>-14.061087536522159</v>
      </c>
      <c r="I76" s="94"/>
      <c r="J76" s="94">
        <f>H76*1000000/$D$76</f>
        <v>-10.91579845414606</v>
      </c>
      <c r="K76" s="94"/>
      <c r="L76" s="95">
        <f>J76*$S$4</f>
        <v>-10472.180404969564</v>
      </c>
      <c r="M76" s="95"/>
    </row>
    <row r="77" spans="2:20" x14ac:dyDescent="0.3">
      <c r="B77" s="80" t="s">
        <v>175</v>
      </c>
      <c r="C77" s="80"/>
      <c r="D77" s="4">
        <v>593823</v>
      </c>
      <c r="F77" s="108" t="s">
        <v>176</v>
      </c>
      <c r="G77" s="108"/>
      <c r="H77" s="89">
        <f>PMT(D67,15,-H76)</f>
        <v>-1.4477684369779205</v>
      </c>
      <c r="I77" s="89"/>
      <c r="J77" s="94">
        <f>H77*1000000/$D$76</f>
        <v>-1.123920779618008</v>
      </c>
      <c r="K77" s="94"/>
      <c r="L77" s="90">
        <f>J77*$S$4</f>
        <v>-1078.2446391343321</v>
      </c>
      <c r="M77" s="90"/>
    </row>
    <row r="78" spans="2:20" x14ac:dyDescent="0.3">
      <c r="B78" s="62"/>
      <c r="C78" s="62"/>
      <c r="D78" s="35"/>
      <c r="F78" s="109" t="s">
        <v>177</v>
      </c>
      <c r="G78" s="109"/>
      <c r="H78" s="98">
        <f>H77/12</f>
        <v>-0.12064736974816004</v>
      </c>
      <c r="I78" s="98"/>
      <c r="J78" s="98">
        <f>J77/12</f>
        <v>-9.3660064968167325E-2</v>
      </c>
      <c r="K78" s="98"/>
      <c r="L78" s="99">
        <f t="shared" ref="L78" si="26">L77/12</f>
        <v>-89.853719927861007</v>
      </c>
      <c r="M78" s="99"/>
    </row>
    <row r="79" spans="2:20" x14ac:dyDescent="0.3">
      <c r="B79" s="86" t="s">
        <v>178</v>
      </c>
      <c r="C79" s="86"/>
      <c r="D79" s="4">
        <f>SUM(D73:D77)</f>
        <v>7741011</v>
      </c>
    </row>
  </sheetData>
  <mergeCells count="131">
    <mergeCell ref="B79:C79"/>
    <mergeCell ref="B78:C78"/>
    <mergeCell ref="F78:G78"/>
    <mergeCell ref="H78:I78"/>
    <mergeCell ref="J78:K78"/>
    <mergeCell ref="L78:M78"/>
    <mergeCell ref="J76:K76"/>
    <mergeCell ref="L76:M76"/>
    <mergeCell ref="B77:C77"/>
    <mergeCell ref="F77:G77"/>
    <mergeCell ref="H77:I77"/>
    <mergeCell ref="J77:K77"/>
    <mergeCell ref="L77:M77"/>
    <mergeCell ref="B75:C75"/>
    <mergeCell ref="F75:G75"/>
    <mergeCell ref="B76:C76"/>
    <mergeCell ref="F76:G76"/>
    <mergeCell ref="H76:I76"/>
    <mergeCell ref="B74:C74"/>
    <mergeCell ref="F74:G74"/>
    <mergeCell ref="H74:I74"/>
    <mergeCell ref="J74:K74"/>
    <mergeCell ref="L74:M74"/>
    <mergeCell ref="J72:K72"/>
    <mergeCell ref="L72:M72"/>
    <mergeCell ref="B73:C73"/>
    <mergeCell ref="F73:G73"/>
    <mergeCell ref="H73:I73"/>
    <mergeCell ref="J73:K73"/>
    <mergeCell ref="L73:M73"/>
    <mergeCell ref="B71:C71"/>
    <mergeCell ref="F71:G71"/>
    <mergeCell ref="B72:C72"/>
    <mergeCell ref="F72:G72"/>
    <mergeCell ref="H72:I72"/>
    <mergeCell ref="B70:C70"/>
    <mergeCell ref="F70:G70"/>
    <mergeCell ref="H70:I70"/>
    <mergeCell ref="J70:K70"/>
    <mergeCell ref="L70:M70"/>
    <mergeCell ref="B69:C69"/>
    <mergeCell ref="F69:G69"/>
    <mergeCell ref="H69:I69"/>
    <mergeCell ref="J69:K69"/>
    <mergeCell ref="L69:M69"/>
    <mergeCell ref="L67:M67"/>
    <mergeCell ref="B68:C68"/>
    <mergeCell ref="F68:G68"/>
    <mergeCell ref="H68:I68"/>
    <mergeCell ref="J68:K68"/>
    <mergeCell ref="L68:M68"/>
    <mergeCell ref="B63:E63"/>
    <mergeCell ref="B64:E64"/>
    <mergeCell ref="B67:C67"/>
    <mergeCell ref="H67:I67"/>
    <mergeCell ref="J67:K67"/>
    <mergeCell ref="L4:P4"/>
    <mergeCell ref="B2:E2"/>
    <mergeCell ref="G2:K2"/>
    <mergeCell ref="B4:C4"/>
    <mergeCell ref="D4:E4"/>
    <mergeCell ref="G4:I4"/>
    <mergeCell ref="B5:C5"/>
    <mergeCell ref="D5:E5"/>
    <mergeCell ref="G5:I5"/>
    <mergeCell ref="L5:P5"/>
    <mergeCell ref="B6:C6"/>
    <mergeCell ref="D6:E6"/>
    <mergeCell ref="G6:I6"/>
    <mergeCell ref="L6:P6"/>
    <mergeCell ref="B14:U14"/>
    <mergeCell ref="B7:C7"/>
    <mergeCell ref="D7:E7"/>
    <mergeCell ref="G7:I7"/>
    <mergeCell ref="L7:P7"/>
    <mergeCell ref="B8:C8"/>
    <mergeCell ref="D8:E8"/>
    <mergeCell ref="G8:I8"/>
    <mergeCell ref="L8:P8"/>
    <mergeCell ref="B9:C9"/>
    <mergeCell ref="D9:E9"/>
    <mergeCell ref="G9:I9"/>
    <mergeCell ref="L9:P9"/>
    <mergeCell ref="B12:D13"/>
    <mergeCell ref="B15:B19"/>
    <mergeCell ref="C15:E15"/>
    <mergeCell ref="C16:U16"/>
    <mergeCell ref="C17:E17"/>
    <mergeCell ref="C18:E18"/>
    <mergeCell ref="C19:E19"/>
    <mergeCell ref="C20:U20"/>
    <mergeCell ref="B21:B25"/>
    <mergeCell ref="C21:E21"/>
    <mergeCell ref="C22:E22"/>
    <mergeCell ref="C23:E23"/>
    <mergeCell ref="C24:E24"/>
    <mergeCell ref="C25:E25"/>
    <mergeCell ref="B26:U26"/>
    <mergeCell ref="B27:D28"/>
    <mergeCell ref="B30:B36"/>
    <mergeCell ref="C30:E30"/>
    <mergeCell ref="C31:E31"/>
    <mergeCell ref="C32:E32"/>
    <mergeCell ref="C33:E33"/>
    <mergeCell ref="C34:E34"/>
    <mergeCell ref="C35:E35"/>
    <mergeCell ref="C36:E36"/>
    <mergeCell ref="B37:U37"/>
    <mergeCell ref="B38:B43"/>
    <mergeCell ref="C38:E38"/>
    <mergeCell ref="C39:E39"/>
    <mergeCell ref="C40:E40"/>
    <mergeCell ref="C41:E41"/>
    <mergeCell ref="C42:E42"/>
    <mergeCell ref="C43:E43"/>
    <mergeCell ref="B58:E58"/>
    <mergeCell ref="B60:E60"/>
    <mergeCell ref="B61:E61"/>
    <mergeCell ref="B44:U44"/>
    <mergeCell ref="B47:B5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B45:E45"/>
  </mergeCells>
  <conditionalFormatting sqref="F30:U36">
    <cfRule type="cellIs" dxfId="15" priority="9" operator="lessThan">
      <formula>0</formula>
    </cfRule>
  </conditionalFormatting>
  <conditionalFormatting sqref="F38:U43">
    <cfRule type="cellIs" dxfId="14" priority="7" operator="lessThan">
      <formula>0</formula>
    </cfRule>
  </conditionalFormatting>
  <conditionalFormatting sqref="F45:U45">
    <cfRule type="cellIs" dxfId="13" priority="5" operator="lessThan">
      <formula>0</formula>
    </cfRule>
  </conditionalFormatting>
  <conditionalFormatting sqref="F47:U56">
    <cfRule type="cellIs" dxfId="12" priority="8" operator="lessThan">
      <formula>0</formula>
    </cfRule>
  </conditionalFormatting>
  <conditionalFormatting sqref="F58:U61">
    <cfRule type="cellIs" dxfId="11" priority="3" operator="lessThan">
      <formula>0</formula>
    </cfRule>
  </conditionalFormatting>
  <conditionalFormatting sqref="F63:U64">
    <cfRule type="cellIs" dxfId="10" priority="2" operator="lessThan">
      <formula>0</formula>
    </cfRule>
  </conditionalFormatting>
  <conditionalFormatting sqref="H68:M69 H70 J70 H72:M73 H74 J74 H76:M78">
    <cfRule type="cellIs" dxfId="9" priority="4" operator="lessThan">
      <formula>0</formula>
    </cfRule>
  </conditionalFormatting>
  <conditionalFormatting sqref="L70 L74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5CD45-CDB3-44DA-A265-D58457A225EC}">
  <sheetPr>
    <tabColor theme="8" tint="-0.499984740745262"/>
  </sheetPr>
  <dimension ref="A1:Q26"/>
  <sheetViews>
    <sheetView zoomScale="80" zoomScaleNormal="80" workbookViewId="0">
      <selection activeCell="D23" sqref="D23"/>
    </sheetView>
  </sheetViews>
  <sheetFormatPr baseColWidth="10" defaultRowHeight="14.4" x14ac:dyDescent="0.3"/>
  <cols>
    <col min="1" max="1" width="42.77734375" bestFit="1" customWidth="1"/>
    <col min="2" max="11" width="12" bestFit="1" customWidth="1"/>
    <col min="12" max="17" width="12.88671875" bestFit="1" customWidth="1"/>
  </cols>
  <sheetData>
    <row r="1" spans="1:17" x14ac:dyDescent="0.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</row>
    <row r="2" spans="1:17" x14ac:dyDescent="0.3">
      <c r="A2" t="s">
        <v>113</v>
      </c>
      <c r="B2">
        <v>1856961.3826132801</v>
      </c>
      <c r="C2">
        <v>1913041.6163682011</v>
      </c>
      <c r="D2">
        <v>1970815.4731825211</v>
      </c>
      <c r="E2">
        <v>2030334.100472633</v>
      </c>
      <c r="F2">
        <v>2091650.1903069059</v>
      </c>
      <c r="G2">
        <v>2154818.0260541751</v>
      </c>
      <c r="H2">
        <v>2219893.5304410108</v>
      </c>
      <c r="I2">
        <v>2286934.3150603301</v>
      </c>
      <c r="J2">
        <v>2355999.7313751508</v>
      </c>
      <c r="K2">
        <v>2427150.9232626809</v>
      </c>
      <c r="L2">
        <v>2500450.8811452142</v>
      </c>
      <c r="M2">
        <v>2575964.497755799</v>
      </c>
      <c r="N2">
        <v>2653758.625588025</v>
      </c>
      <c r="O2">
        <v>2733902.1360807829</v>
      </c>
      <c r="P2">
        <v>2816465.9805904231</v>
      </c>
      <c r="Q2">
        <v>2901523.253204254</v>
      </c>
    </row>
    <row r="3" spans="1:17" x14ac:dyDescent="0.3">
      <c r="A3" t="s">
        <v>102</v>
      </c>
      <c r="B3">
        <v>6777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">
      <c r="A4" t="s">
        <v>103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">
      <c r="A5" t="s">
        <v>104</v>
      </c>
      <c r="B5">
        <v>40181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">
      <c r="A6" t="s">
        <v>133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134</v>
      </c>
      <c r="B7">
        <v>216.6082500818431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">
      <c r="A8" t="s">
        <v>135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">
      <c r="A9" t="s">
        <v>136</v>
      </c>
      <c r="B9">
        <v>966.86691674850965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">
      <c r="A10" t="s">
        <v>137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">
      <c r="A11" t="s">
        <v>82</v>
      </c>
      <c r="B11">
        <v>861726.25799999991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">
      <c r="A12" t="s">
        <v>141</v>
      </c>
      <c r="B12">
        <v>64752.610526315802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">
      <c r="A13" t="s">
        <v>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">
      <c r="A14" t="s">
        <v>84</v>
      </c>
      <c r="B14">
        <v>789420.68045363587</v>
      </c>
      <c r="C14">
        <v>789420.68045363587</v>
      </c>
      <c r="D14">
        <v>789420.68045363587</v>
      </c>
      <c r="E14">
        <v>789420.68045363587</v>
      </c>
      <c r="F14">
        <v>789420.68045363587</v>
      </c>
      <c r="G14">
        <v>789420.68045363587</v>
      </c>
      <c r="H14">
        <v>789420.68045363587</v>
      </c>
      <c r="I14">
        <v>789420.68045363587</v>
      </c>
      <c r="J14">
        <v>789420.68045363587</v>
      </c>
      <c r="K14">
        <v>789420.68045363587</v>
      </c>
      <c r="L14">
        <v>789420.68045363587</v>
      </c>
      <c r="M14">
        <v>789420.68045363587</v>
      </c>
      <c r="N14">
        <v>789420.68045363587</v>
      </c>
      <c r="O14">
        <v>789420.68045363587</v>
      </c>
      <c r="P14">
        <v>789420.68045363587</v>
      </c>
      <c r="Q14">
        <v>789420.68045363587</v>
      </c>
    </row>
    <row r="15" spans="1:17" x14ac:dyDescent="0.3">
      <c r="A15" t="s">
        <v>85</v>
      </c>
      <c r="B15">
        <v>374974.82321547711</v>
      </c>
      <c r="C15">
        <v>374974.82321547711</v>
      </c>
      <c r="D15">
        <v>374974.82321547711</v>
      </c>
      <c r="E15">
        <v>374974.82321547711</v>
      </c>
      <c r="F15">
        <v>374974.82321547711</v>
      </c>
      <c r="G15">
        <v>374974.82321547711</v>
      </c>
      <c r="H15">
        <v>374974.82321547711</v>
      </c>
      <c r="I15">
        <v>374974.82321547711</v>
      </c>
      <c r="J15">
        <v>374974.82321547711</v>
      </c>
      <c r="K15">
        <v>374974.82321547711</v>
      </c>
      <c r="L15">
        <v>374974.82321547711</v>
      </c>
      <c r="M15">
        <v>374974.82321547711</v>
      </c>
      <c r="N15">
        <v>374974.82321547711</v>
      </c>
      <c r="O15">
        <v>374974.82321547711</v>
      </c>
      <c r="P15">
        <v>374974.82321547711</v>
      </c>
      <c r="Q15">
        <v>374974.82321547711</v>
      </c>
    </row>
    <row r="16" spans="1:17" x14ac:dyDescent="0.3">
      <c r="A16" t="s">
        <v>142</v>
      </c>
      <c r="B16">
        <v>53219.478578947368</v>
      </c>
      <c r="C16">
        <v>53219.478578947368</v>
      </c>
      <c r="D16">
        <v>53219.478578947368</v>
      </c>
      <c r="E16">
        <v>53219.478578947368</v>
      </c>
      <c r="F16">
        <v>53219.478578947368</v>
      </c>
      <c r="G16">
        <v>53219.478578947368</v>
      </c>
      <c r="H16">
        <v>53219.478578947368</v>
      </c>
      <c r="I16">
        <v>53219.478578947368</v>
      </c>
      <c r="J16">
        <v>53219.478578947368</v>
      </c>
      <c r="K16">
        <v>53219.478578947368</v>
      </c>
      <c r="L16">
        <v>53219.478578947368</v>
      </c>
      <c r="M16">
        <v>53219.478578947368</v>
      </c>
      <c r="N16">
        <v>53219.478578947368</v>
      </c>
      <c r="O16">
        <v>53219.478578947368</v>
      </c>
      <c r="P16">
        <v>53219.478578947368</v>
      </c>
      <c r="Q16">
        <v>53219.478578947368</v>
      </c>
    </row>
    <row r="17" spans="1:17" x14ac:dyDescent="0.3">
      <c r="A17" t="s">
        <v>86</v>
      </c>
      <c r="B17">
        <v>58321.83600000001</v>
      </c>
      <c r="C17">
        <v>58321.83600000001</v>
      </c>
      <c r="D17">
        <v>58321.83600000001</v>
      </c>
      <c r="E17">
        <v>58321.83600000001</v>
      </c>
      <c r="F17">
        <v>58321.83600000001</v>
      </c>
      <c r="G17">
        <v>58321.83600000001</v>
      </c>
      <c r="H17">
        <v>58321.83600000001</v>
      </c>
      <c r="I17">
        <v>58321.83600000001</v>
      </c>
      <c r="J17">
        <v>58321.83600000001</v>
      </c>
      <c r="K17">
        <v>58321.83600000001</v>
      </c>
      <c r="L17">
        <v>58321.83600000001</v>
      </c>
      <c r="M17">
        <v>58321.83600000001</v>
      </c>
      <c r="N17">
        <v>58321.83600000001</v>
      </c>
      <c r="O17">
        <v>58321.83600000001</v>
      </c>
      <c r="P17">
        <v>58321.83600000001</v>
      </c>
      <c r="Q17">
        <v>58321.83600000001</v>
      </c>
    </row>
    <row r="18" spans="1:17" x14ac:dyDescent="0.3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">
      <c r="A20" t="s">
        <v>89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t="s">
        <v>90</v>
      </c>
      <c r="B21">
        <v>169969.79123259959</v>
      </c>
      <c r="C21">
        <v>169969.79123259959</v>
      </c>
      <c r="D21">
        <v>169969.79123259959</v>
      </c>
      <c r="E21">
        <v>169969.79123259959</v>
      </c>
      <c r="F21">
        <v>169969.79123259959</v>
      </c>
      <c r="G21">
        <v>169969.79123259959</v>
      </c>
      <c r="H21">
        <v>169969.79123259959</v>
      </c>
      <c r="I21">
        <v>169969.79123259959</v>
      </c>
      <c r="J21">
        <v>169969.79123259959</v>
      </c>
      <c r="K21">
        <v>169969.79123259959</v>
      </c>
      <c r="L21">
        <v>169969.79123259959</v>
      </c>
      <c r="M21">
        <v>169969.79123259959</v>
      </c>
      <c r="N21">
        <v>169969.79123259959</v>
      </c>
      <c r="O21">
        <v>169969.79123259959</v>
      </c>
      <c r="P21">
        <v>169969.79123259959</v>
      </c>
      <c r="Q21">
        <v>169969.79123259959</v>
      </c>
    </row>
    <row r="22" spans="1:17" x14ac:dyDescent="0.3">
      <c r="A22" t="s">
        <v>139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91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">
      <c r="A24" t="s">
        <v>92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">
      <c r="A25" t="s">
        <v>93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">
      <c r="A26" t="s">
        <v>94</v>
      </c>
      <c r="B26">
        <v>4843846.105681818</v>
      </c>
      <c r="C26">
        <v>4847413.6802272722</v>
      </c>
      <c r="D26">
        <v>4851080.521590909</v>
      </c>
      <c r="E26">
        <v>4904543.9956818176</v>
      </c>
      <c r="F26">
        <v>4916046.3984090909</v>
      </c>
      <c r="G26">
        <v>4923533.1397727272</v>
      </c>
      <c r="H26">
        <v>4928923.3863636367</v>
      </c>
      <c r="I26">
        <v>4934183.725227274</v>
      </c>
      <c r="J26">
        <v>4974967.2615909092</v>
      </c>
      <c r="K26">
        <v>4985506.2995454539</v>
      </c>
      <c r="L26">
        <v>4993851.9834090909</v>
      </c>
      <c r="M26">
        <v>5002217.8270454537</v>
      </c>
      <c r="N26">
        <v>5012137.9672727268</v>
      </c>
      <c r="O26">
        <v>5026895.7234090902</v>
      </c>
      <c r="P26">
        <v>5041696.9361363631</v>
      </c>
      <c r="Q26">
        <v>5056541.7027272712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476A-F4C7-4706-B180-83A3522B2255}">
  <sheetPr>
    <tabColor theme="8" tint="-0.499984740745262"/>
  </sheetPr>
  <dimension ref="B2:Z79"/>
  <sheetViews>
    <sheetView tabSelected="1" topLeftCell="A52" zoomScale="80" zoomScaleNormal="80" workbookViewId="0">
      <selection activeCell="J83" sqref="J83"/>
    </sheetView>
  </sheetViews>
  <sheetFormatPr baseColWidth="10" defaultRowHeight="14.4" x14ac:dyDescent="0.3"/>
  <cols>
    <col min="1" max="1" width="5.33203125" customWidth="1"/>
    <col min="2" max="2" width="17.33203125" customWidth="1"/>
    <col min="3" max="3" width="14" bestFit="1" customWidth="1"/>
    <col min="4" max="4" width="12.5546875" bestFit="1" customWidth="1"/>
    <col min="5" max="5" width="18.109375" customWidth="1"/>
    <col min="6" max="6" width="19.109375" bestFit="1" customWidth="1"/>
    <col min="7" max="11" width="12" bestFit="1" customWidth="1"/>
    <col min="12" max="21" width="12.5546875" bestFit="1" customWidth="1"/>
  </cols>
  <sheetData>
    <row r="2" spans="2:21" ht="18.600000000000001" thickBot="1" x14ac:dyDescent="0.4">
      <c r="B2" s="81" t="s">
        <v>50</v>
      </c>
      <c r="C2" s="81"/>
      <c r="D2" s="81"/>
      <c r="E2" s="81"/>
      <c r="G2" s="81" t="s">
        <v>41</v>
      </c>
      <c r="H2" s="81"/>
      <c r="I2" s="81"/>
      <c r="J2" s="81"/>
      <c r="K2" s="81"/>
      <c r="M2" s="28"/>
      <c r="N2" s="28"/>
      <c r="O2" s="28"/>
      <c r="P2" s="28"/>
      <c r="Q2" s="28"/>
    </row>
    <row r="3" spans="2:21" ht="15" customHeight="1" x14ac:dyDescent="0.35">
      <c r="G3" s="5"/>
      <c r="H3" s="5"/>
      <c r="I3" s="5"/>
      <c r="J3" s="5"/>
    </row>
    <row r="4" spans="2:21" x14ac:dyDescent="0.3">
      <c r="B4" s="80" t="s">
        <v>51</v>
      </c>
      <c r="C4" s="80"/>
      <c r="D4" s="80" t="s">
        <v>40</v>
      </c>
      <c r="E4" s="80"/>
      <c r="G4" s="80" t="s">
        <v>17</v>
      </c>
      <c r="H4" s="80"/>
      <c r="I4" s="80"/>
      <c r="J4" s="18">
        <v>0.06</v>
      </c>
      <c r="K4" s="16" t="s">
        <v>29</v>
      </c>
      <c r="L4" s="68"/>
      <c r="M4" s="68"/>
      <c r="N4" s="68"/>
      <c r="O4" s="68"/>
      <c r="P4" s="68"/>
      <c r="R4" s="26" t="s">
        <v>42</v>
      </c>
      <c r="S4" s="27">
        <v>959.36</v>
      </c>
      <c r="T4" s="20" t="s">
        <v>44</v>
      </c>
      <c r="U4" s="29">
        <v>45946</v>
      </c>
    </row>
    <row r="5" spans="2:21" x14ac:dyDescent="0.3">
      <c r="B5" s="68" t="s">
        <v>52</v>
      </c>
      <c r="C5" s="68"/>
      <c r="D5" s="68" t="s">
        <v>152</v>
      </c>
      <c r="E5" s="68"/>
      <c r="G5" s="80" t="s">
        <v>46</v>
      </c>
      <c r="H5" s="80"/>
      <c r="I5" s="80"/>
      <c r="J5" s="19">
        <v>15</v>
      </c>
      <c r="K5" s="20" t="s">
        <v>47</v>
      </c>
      <c r="L5" s="43"/>
      <c r="M5" s="43"/>
      <c r="N5" s="43"/>
      <c r="O5" s="43"/>
      <c r="P5" s="43"/>
      <c r="R5" s="26" t="s">
        <v>43</v>
      </c>
      <c r="S5" s="27">
        <v>39521.26</v>
      </c>
      <c r="T5" s="20" t="s">
        <v>45</v>
      </c>
      <c r="U5" s="29">
        <v>45946</v>
      </c>
    </row>
    <row r="6" spans="2:21" x14ac:dyDescent="0.3">
      <c r="B6" s="68" t="s">
        <v>53</v>
      </c>
      <c r="C6" s="68"/>
      <c r="D6" s="68" t="s">
        <v>152</v>
      </c>
      <c r="E6" s="68"/>
      <c r="G6" s="86" t="s">
        <v>106</v>
      </c>
      <c r="H6" s="86"/>
      <c r="I6" s="86"/>
      <c r="J6" s="20">
        <v>3</v>
      </c>
      <c r="K6" s="20" t="s">
        <v>47</v>
      </c>
      <c r="L6" s="43"/>
      <c r="M6" s="43"/>
      <c r="N6" s="43"/>
      <c r="O6" s="43"/>
      <c r="P6" s="43"/>
    </row>
    <row r="7" spans="2:21" x14ac:dyDescent="0.3">
      <c r="B7" s="68" t="s">
        <v>54</v>
      </c>
      <c r="C7" s="68"/>
      <c r="D7" s="68" t="s">
        <v>152</v>
      </c>
      <c r="E7" s="68"/>
      <c r="G7" s="86" t="s">
        <v>128</v>
      </c>
      <c r="H7" s="86"/>
      <c r="I7" s="86"/>
      <c r="J7" s="21">
        <f>(SUMIF($F$12:$U$12,"&lt;="&amp;$J$6,$F$17:$U$17)) / ($J$6)</f>
        <v>2259</v>
      </c>
      <c r="K7" s="20" t="s">
        <v>107</v>
      </c>
      <c r="L7" s="43" t="str">
        <f>"Razonable para chile en torno a 1M y 1,5M por año."</f>
        <v>Razonable para chile en torno a 1M y 1,5M por año.</v>
      </c>
      <c r="M7" s="43"/>
      <c r="N7" s="43"/>
      <c r="O7" s="43"/>
      <c r="P7" s="43"/>
    </row>
    <row r="8" spans="2:21" x14ac:dyDescent="0.3">
      <c r="B8" s="68" t="s">
        <v>55</v>
      </c>
      <c r="C8" s="68"/>
      <c r="D8" s="68" t="s">
        <v>152</v>
      </c>
      <c r="E8" s="68"/>
      <c r="G8" s="86" t="s">
        <v>129</v>
      </c>
      <c r="H8" s="86"/>
      <c r="I8" s="86"/>
      <c r="J8" s="21">
        <f>(SUMIF($F$12:$U$12,"&lt;="&amp;$J$6,$F$18:$U$18)) / ($J$6)</f>
        <v>0</v>
      </c>
      <c r="K8" s="20" t="s">
        <v>107</v>
      </c>
      <c r="L8" s="43" t="str">
        <f t="shared" ref="L8:L9" si="0">"Razonable para chile en torno a 1M y 1,5M por año."</f>
        <v>Razonable para chile en torno a 1M y 1,5M por año.</v>
      </c>
      <c r="M8" s="43"/>
      <c r="N8" s="43"/>
      <c r="O8" s="43"/>
      <c r="P8" s="43"/>
    </row>
    <row r="9" spans="2:21" x14ac:dyDescent="0.3">
      <c r="B9" s="68" t="s">
        <v>56</v>
      </c>
      <c r="C9" s="68"/>
      <c r="D9" s="68" t="s">
        <v>152</v>
      </c>
      <c r="E9" s="68"/>
      <c r="G9" s="86" t="s">
        <v>130</v>
      </c>
      <c r="H9" s="86"/>
      <c r="I9" s="86"/>
      <c r="J9" s="21">
        <f>(SUMIF($F$12:$U$12,"&lt;="&amp;$J$6,$F$19:$U$19)) / ($J$6)</f>
        <v>13393.666666666666</v>
      </c>
      <c r="K9" s="20" t="s">
        <v>107</v>
      </c>
      <c r="L9" s="43" t="str">
        <f t="shared" si="0"/>
        <v>Razonable para chile en torno a 1M y 1,5M por año.</v>
      </c>
      <c r="M9" s="43"/>
      <c r="N9" s="43"/>
      <c r="O9" s="43"/>
      <c r="P9" s="43"/>
    </row>
    <row r="12" spans="2:21" x14ac:dyDescent="0.3">
      <c r="B12" s="83" t="s">
        <v>121</v>
      </c>
      <c r="C12" s="83"/>
      <c r="D12" s="83"/>
      <c r="E12" s="22" t="s">
        <v>48</v>
      </c>
      <c r="F12" s="24">
        <v>0</v>
      </c>
      <c r="G12" s="24">
        <v>1</v>
      </c>
      <c r="H12" s="24">
        <v>2</v>
      </c>
      <c r="I12" s="24">
        <v>3</v>
      </c>
      <c r="J12" s="24">
        <v>4</v>
      </c>
      <c r="K12" s="24">
        <v>5</v>
      </c>
      <c r="L12" s="24">
        <v>6</v>
      </c>
      <c r="M12" s="24">
        <v>7</v>
      </c>
      <c r="N12" s="24">
        <v>8</v>
      </c>
      <c r="O12" s="24">
        <v>9</v>
      </c>
      <c r="P12" s="24">
        <v>10</v>
      </c>
      <c r="Q12" s="24">
        <v>11</v>
      </c>
      <c r="R12" s="24">
        <v>12</v>
      </c>
      <c r="S12" s="24">
        <v>13</v>
      </c>
      <c r="T12" s="24">
        <v>14</v>
      </c>
      <c r="U12" s="24">
        <v>15</v>
      </c>
    </row>
    <row r="13" spans="2:21" x14ac:dyDescent="0.3">
      <c r="B13" s="84"/>
      <c r="C13" s="84"/>
      <c r="D13" s="84"/>
      <c r="E13" s="23" t="s">
        <v>49</v>
      </c>
      <c r="F13" s="25">
        <v>2025</v>
      </c>
      <c r="G13" s="25">
        <v>2026</v>
      </c>
      <c r="H13" s="25">
        <v>2027</v>
      </c>
      <c r="I13" s="25">
        <v>2028</v>
      </c>
      <c r="J13" s="25">
        <v>2029</v>
      </c>
      <c r="K13" s="25">
        <v>2030</v>
      </c>
      <c r="L13" s="25">
        <v>2031</v>
      </c>
      <c r="M13" s="25">
        <v>2032</v>
      </c>
      <c r="N13" s="25">
        <v>2033</v>
      </c>
      <c r="O13" s="25">
        <v>2034</v>
      </c>
      <c r="P13" s="25">
        <v>2035</v>
      </c>
      <c r="Q13" s="25">
        <v>2036</v>
      </c>
      <c r="R13" s="25">
        <v>2037</v>
      </c>
      <c r="S13" s="25">
        <v>2038</v>
      </c>
      <c r="T13" s="25">
        <v>2039</v>
      </c>
      <c r="U13" s="25">
        <v>2040</v>
      </c>
    </row>
    <row r="14" spans="2:21" x14ac:dyDescent="0.3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</row>
    <row r="15" spans="2:21" x14ac:dyDescent="0.3">
      <c r="B15" s="65" t="s">
        <v>122</v>
      </c>
      <c r="C15" s="69" t="s">
        <v>138</v>
      </c>
      <c r="D15" s="70"/>
      <c r="E15" s="70"/>
      <c r="F15" s="4">
        <f>CB_SMI_Mixto_EXT_BAJA!B2/1000</f>
        <v>1856.9613826132802</v>
      </c>
      <c r="G15" s="4">
        <f>CB_SMI_Mixto_EXT_BAJA!C2/1000</f>
        <v>1913.0416163682012</v>
      </c>
      <c r="H15" s="4">
        <f>CB_SMI_Mixto_EXT_BAJA!D2/1000</f>
        <v>1970.8154731825211</v>
      </c>
      <c r="I15" s="4">
        <f>CB_SMI_Mixto_EXT_BAJA!E2/1000</f>
        <v>2030.3341004726331</v>
      </c>
      <c r="J15" s="4">
        <f>CB_SMI_Mixto_EXT_BAJA!F2/1000</f>
        <v>2091.6501903069061</v>
      </c>
      <c r="K15" s="4">
        <f>CB_SMI_Mixto_EXT_BAJA!G2/1000</f>
        <v>2154.8180260541749</v>
      </c>
      <c r="L15" s="4">
        <f>CB_SMI_Mixto_EXT_BAJA!H2/1000</f>
        <v>2219.8935304410106</v>
      </c>
      <c r="M15" s="4">
        <f>CB_SMI_Mixto_EXT_BAJA!I2/1000</f>
        <v>2286.9343150603299</v>
      </c>
      <c r="N15" s="4">
        <f>CB_SMI_Mixto_EXT_BAJA!J2/1000</f>
        <v>2355.999731375151</v>
      </c>
      <c r="O15" s="4">
        <f>CB_SMI_Mixto_EXT_BAJA!K2/1000</f>
        <v>2427.1509232626809</v>
      </c>
      <c r="P15" s="4">
        <f>CB_SMI_Mixto_EXT_BAJA!L2/1000</f>
        <v>2500.4508811452142</v>
      </c>
      <c r="Q15" s="4">
        <f>CB_SMI_Mixto_EXT_BAJA!M2/1000</f>
        <v>2575.9644977557991</v>
      </c>
      <c r="R15" s="4">
        <f>CB_SMI_Mixto_EXT_BAJA!N2/1000</f>
        <v>2653.7586255880251</v>
      </c>
      <c r="S15" s="4">
        <f>CB_SMI_Mixto_EXT_BAJA!O2/1000</f>
        <v>2733.9021360807828</v>
      </c>
      <c r="T15" s="4">
        <f>CB_SMI_Mixto_EXT_BAJA!P2/1000</f>
        <v>2816.465980590423</v>
      </c>
      <c r="U15" s="4">
        <f>CB_SMI_Mixto_EXT_BAJA!Q2/1000</f>
        <v>2901.5232532042542</v>
      </c>
    </row>
    <row r="16" spans="2:21" x14ac:dyDescent="0.3">
      <c r="B16" s="66"/>
      <c r="C16" s="71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</row>
    <row r="17" spans="2:26" x14ac:dyDescent="0.3">
      <c r="B17" s="66"/>
      <c r="C17" s="61" t="s">
        <v>115</v>
      </c>
      <c r="D17" s="62"/>
      <c r="E17" s="62"/>
      <c r="F17" s="12">
        <f>CB_SMI_Mixto_EXT_BAJA!B3</f>
        <v>6777</v>
      </c>
      <c r="G17" s="12">
        <f>CB_SMI_Mixto_EXT_BAJA!C3</f>
        <v>0</v>
      </c>
      <c r="H17" s="12">
        <f>CB_SMI_Mixto_EXT_BAJA!D3</f>
        <v>0</v>
      </c>
      <c r="I17" s="12">
        <f>CB_SMI_Mixto_EXT_BAJA!E3</f>
        <v>0</v>
      </c>
      <c r="J17" s="12">
        <f>CB_SMI_Mixto_EXT_BAJA!F3</f>
        <v>0</v>
      </c>
      <c r="K17" s="12">
        <f>CB_SMI_Mixto_EXT_BAJA!G3</f>
        <v>0</v>
      </c>
      <c r="L17" s="12">
        <f>CB_SMI_Mixto_EXT_BAJA!H3</f>
        <v>0</v>
      </c>
      <c r="M17" s="12">
        <f>CB_SMI_Mixto_EXT_BAJA!I3</f>
        <v>0</v>
      </c>
      <c r="N17" s="12">
        <f>CB_SMI_Mixto_EXT_BAJA!J3</f>
        <v>0</v>
      </c>
      <c r="O17" s="12">
        <f>CB_SMI_Mixto_EXT_BAJA!K3</f>
        <v>0</v>
      </c>
      <c r="P17" s="12">
        <f>CB_SMI_Mixto_EXT_BAJA!L3</f>
        <v>0</v>
      </c>
      <c r="Q17" s="12">
        <f>CB_SMI_Mixto_EXT_BAJA!M3</f>
        <v>0</v>
      </c>
      <c r="R17" s="12">
        <f>CB_SMI_Mixto_EXT_BAJA!N3</f>
        <v>0</v>
      </c>
      <c r="S17" s="12">
        <f>CB_SMI_Mixto_EXT_BAJA!O3</f>
        <v>0</v>
      </c>
      <c r="T17" s="12">
        <f>CB_SMI_Mixto_EXT_BAJA!P3</f>
        <v>0</v>
      </c>
      <c r="U17" s="12">
        <f>CB_SMI_Mixto_EXT_BAJA!Q3</f>
        <v>0</v>
      </c>
    </row>
    <row r="18" spans="2:26" x14ac:dyDescent="0.3">
      <c r="B18" s="66"/>
      <c r="C18" s="61" t="s">
        <v>116</v>
      </c>
      <c r="D18" s="62"/>
      <c r="E18" s="62"/>
      <c r="F18" s="12">
        <f>CB_SMI_Mixto_EXT_BAJA!B4</f>
        <v>0</v>
      </c>
      <c r="G18" s="12">
        <f>CB_SMI_Mixto_EXT_BAJA!C4</f>
        <v>0</v>
      </c>
      <c r="H18" s="12">
        <f>CB_SMI_Mixto_EXT_BAJA!D4</f>
        <v>0</v>
      </c>
      <c r="I18" s="12">
        <f>CB_SMI_Mixto_EXT_BAJA!E4</f>
        <v>0</v>
      </c>
      <c r="J18" s="12">
        <f>CB_SMI_Mixto_EXT_BAJA!F4</f>
        <v>0</v>
      </c>
      <c r="K18" s="12">
        <f>CB_SMI_Mixto_EXT_BAJA!G4</f>
        <v>0</v>
      </c>
      <c r="L18" s="12">
        <f>CB_SMI_Mixto_EXT_BAJA!H4</f>
        <v>0</v>
      </c>
      <c r="M18" s="12">
        <f>CB_SMI_Mixto_EXT_BAJA!I4</f>
        <v>0</v>
      </c>
      <c r="N18" s="12">
        <f>CB_SMI_Mixto_EXT_BAJA!J4</f>
        <v>0</v>
      </c>
      <c r="O18" s="12">
        <f>CB_SMI_Mixto_EXT_BAJA!K4</f>
        <v>0</v>
      </c>
      <c r="P18" s="12">
        <f>CB_SMI_Mixto_EXT_BAJA!L4</f>
        <v>0</v>
      </c>
      <c r="Q18" s="12">
        <f>CB_SMI_Mixto_EXT_BAJA!M4</f>
        <v>0</v>
      </c>
      <c r="R18" s="12">
        <f>CB_SMI_Mixto_EXT_BAJA!N4</f>
        <v>0</v>
      </c>
      <c r="S18" s="12">
        <f>CB_SMI_Mixto_EXT_BAJA!O4</f>
        <v>0</v>
      </c>
      <c r="T18" s="12">
        <f>CB_SMI_Mixto_EXT_BAJA!P4</f>
        <v>0</v>
      </c>
      <c r="U18" s="12">
        <f>CB_SMI_Mixto_EXT_BAJA!Q4</f>
        <v>0</v>
      </c>
    </row>
    <row r="19" spans="2:26" x14ac:dyDescent="0.3">
      <c r="B19" s="67"/>
      <c r="C19" s="61" t="s">
        <v>117</v>
      </c>
      <c r="D19" s="62"/>
      <c r="E19" s="62"/>
      <c r="F19" s="13">
        <f>CB_SMI_Mixto_EXT_BAJA!B5</f>
        <v>40181</v>
      </c>
      <c r="G19" s="13">
        <f>CB_SMI_Mixto_EXT_BAJA!C5</f>
        <v>0</v>
      </c>
      <c r="H19" s="13">
        <f>CB_SMI_Mixto_EXT_BAJA!D5</f>
        <v>0</v>
      </c>
      <c r="I19" s="13">
        <f>CB_SMI_Mixto_EXT_BAJA!E5</f>
        <v>0</v>
      </c>
      <c r="J19" s="13">
        <f>CB_SMI_Mixto_EXT_BAJA!F5</f>
        <v>0</v>
      </c>
      <c r="K19" s="13">
        <f>CB_SMI_Mixto_EXT_BAJA!G5</f>
        <v>0</v>
      </c>
      <c r="L19" s="13">
        <f>CB_SMI_Mixto_EXT_BAJA!H5</f>
        <v>0</v>
      </c>
      <c r="M19" s="13">
        <f>CB_SMI_Mixto_EXT_BAJA!I5</f>
        <v>0</v>
      </c>
      <c r="N19" s="13">
        <f>CB_SMI_Mixto_EXT_BAJA!J5</f>
        <v>0</v>
      </c>
      <c r="O19" s="13">
        <f>CB_SMI_Mixto_EXT_BAJA!K5</f>
        <v>0</v>
      </c>
      <c r="P19" s="13">
        <f>CB_SMI_Mixto_EXT_BAJA!L5</f>
        <v>0</v>
      </c>
      <c r="Q19" s="13">
        <f>CB_SMI_Mixto_EXT_BAJA!M5</f>
        <v>0</v>
      </c>
      <c r="R19" s="13">
        <f>CB_SMI_Mixto_EXT_BAJA!N5</f>
        <v>0</v>
      </c>
      <c r="S19" s="13">
        <f>CB_SMI_Mixto_EXT_BAJA!O5</f>
        <v>0</v>
      </c>
      <c r="T19" s="13">
        <f>CB_SMI_Mixto_EXT_BAJA!P5</f>
        <v>0</v>
      </c>
      <c r="U19" s="13">
        <f>CB_SMI_Mixto_EXT_BAJA!Q5</f>
        <v>0</v>
      </c>
    </row>
    <row r="20" spans="2:26" x14ac:dyDescent="0.3">
      <c r="B20" s="10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</row>
    <row r="21" spans="2:26" x14ac:dyDescent="0.3">
      <c r="B21" s="58" t="s">
        <v>105</v>
      </c>
      <c r="C21" s="56" t="s">
        <v>125</v>
      </c>
      <c r="D21" s="57"/>
      <c r="E21" s="57"/>
      <c r="F21" s="9">
        <v>0</v>
      </c>
      <c r="G21" s="11">
        <f>IF(G$12&lt;=$J$6,$J7,G17)</f>
        <v>2259</v>
      </c>
      <c r="H21" s="11">
        <f t="shared" ref="H21:U23" si="1">IF(H$12&lt;=$J$6,$J7,H17)</f>
        <v>2259</v>
      </c>
      <c r="I21" s="11">
        <f t="shared" si="1"/>
        <v>2259</v>
      </c>
      <c r="J21" s="11">
        <f t="shared" si="1"/>
        <v>0</v>
      </c>
      <c r="K21" s="11">
        <f t="shared" si="1"/>
        <v>0</v>
      </c>
      <c r="L21" s="11">
        <f t="shared" si="1"/>
        <v>0</v>
      </c>
      <c r="M21" s="11">
        <f t="shared" si="1"/>
        <v>0</v>
      </c>
      <c r="N21" s="11">
        <f t="shared" si="1"/>
        <v>0</v>
      </c>
      <c r="O21" s="11">
        <f t="shared" si="1"/>
        <v>0</v>
      </c>
      <c r="P21" s="11">
        <f t="shared" si="1"/>
        <v>0</v>
      </c>
      <c r="Q21" s="11">
        <f t="shared" si="1"/>
        <v>0</v>
      </c>
      <c r="R21" s="11">
        <f t="shared" si="1"/>
        <v>0</v>
      </c>
      <c r="S21" s="11">
        <f t="shared" si="1"/>
        <v>0</v>
      </c>
      <c r="T21" s="11">
        <f t="shared" si="1"/>
        <v>0</v>
      </c>
      <c r="U21" s="11">
        <f t="shared" si="1"/>
        <v>0</v>
      </c>
    </row>
    <row r="22" spans="2:26" x14ac:dyDescent="0.3">
      <c r="B22" s="59"/>
      <c r="C22" s="56" t="s">
        <v>126</v>
      </c>
      <c r="D22" s="57"/>
      <c r="E22" s="57"/>
      <c r="F22" s="9">
        <v>0</v>
      </c>
      <c r="G22" s="11">
        <f>IF(G$12&lt;=$J$6,$J8,G18)</f>
        <v>0</v>
      </c>
      <c r="H22" s="11">
        <f t="shared" si="1"/>
        <v>0</v>
      </c>
      <c r="I22" s="11">
        <f t="shared" si="1"/>
        <v>0</v>
      </c>
      <c r="J22" s="11">
        <f t="shared" si="1"/>
        <v>0</v>
      </c>
      <c r="K22" s="11">
        <f t="shared" si="1"/>
        <v>0</v>
      </c>
      <c r="L22" s="11">
        <f t="shared" si="1"/>
        <v>0</v>
      </c>
      <c r="M22" s="11">
        <f t="shared" si="1"/>
        <v>0</v>
      </c>
      <c r="N22" s="11">
        <f>IF(N$12&lt;=$J$6,$J8,N18)</f>
        <v>0</v>
      </c>
      <c r="O22" s="11">
        <f t="shared" si="1"/>
        <v>0</v>
      </c>
      <c r="P22" s="11">
        <f t="shared" si="1"/>
        <v>0</v>
      </c>
      <c r="Q22" s="11">
        <f t="shared" si="1"/>
        <v>0</v>
      </c>
      <c r="R22" s="11">
        <f t="shared" si="1"/>
        <v>0</v>
      </c>
      <c r="S22" s="11">
        <f t="shared" si="1"/>
        <v>0</v>
      </c>
      <c r="T22" s="11">
        <f t="shared" si="1"/>
        <v>0</v>
      </c>
      <c r="U22" s="11">
        <f t="shared" si="1"/>
        <v>0</v>
      </c>
    </row>
    <row r="23" spans="2:26" x14ac:dyDescent="0.3">
      <c r="B23" s="59"/>
      <c r="C23" s="56" t="s">
        <v>127</v>
      </c>
      <c r="D23" s="57"/>
      <c r="E23" s="57"/>
      <c r="F23" s="9">
        <v>0</v>
      </c>
      <c r="G23" s="11">
        <f>IF(G$12&lt;=$J$6,$J9,G19)</f>
        <v>13393.666666666666</v>
      </c>
      <c r="H23" s="11">
        <f t="shared" si="1"/>
        <v>13393.666666666666</v>
      </c>
      <c r="I23" s="11">
        <f t="shared" si="1"/>
        <v>13393.666666666666</v>
      </c>
      <c r="J23" s="11">
        <f t="shared" si="1"/>
        <v>0</v>
      </c>
      <c r="K23" s="11">
        <f t="shared" si="1"/>
        <v>0</v>
      </c>
      <c r="L23" s="11">
        <f t="shared" si="1"/>
        <v>0</v>
      </c>
      <c r="M23" s="11">
        <f t="shared" si="1"/>
        <v>0</v>
      </c>
      <c r="N23" s="11">
        <f t="shared" si="1"/>
        <v>0</v>
      </c>
      <c r="O23" s="11">
        <f t="shared" si="1"/>
        <v>0</v>
      </c>
      <c r="P23" s="11">
        <f t="shared" si="1"/>
        <v>0</v>
      </c>
      <c r="Q23" s="11">
        <f t="shared" si="1"/>
        <v>0</v>
      </c>
      <c r="R23" s="11">
        <f t="shared" si="1"/>
        <v>0</v>
      </c>
      <c r="S23" s="11">
        <f t="shared" si="1"/>
        <v>0</v>
      </c>
      <c r="T23" s="11">
        <f t="shared" si="1"/>
        <v>0</v>
      </c>
      <c r="U23" s="11">
        <f t="shared" si="1"/>
        <v>0</v>
      </c>
    </row>
    <row r="24" spans="2:26" x14ac:dyDescent="0.3">
      <c r="B24" s="59"/>
      <c r="C24" s="71" t="s">
        <v>114</v>
      </c>
      <c r="D24" s="64"/>
      <c r="E24" s="64"/>
      <c r="F24" s="4">
        <f>SUM(F17:F19)</f>
        <v>46958</v>
      </c>
      <c r="G24" s="7">
        <f>SUM(F24,G17:G19)-SUM(G21:G23)</f>
        <v>31305.333333333336</v>
      </c>
      <c r="H24" s="7">
        <f t="shared" ref="H24:U24" si="2">SUM(G24,H17:H19)-SUM(H21:H23)</f>
        <v>15652.66666666667</v>
      </c>
      <c r="I24" s="7">
        <f t="shared" si="2"/>
        <v>0</v>
      </c>
      <c r="J24" s="7">
        <f t="shared" si="2"/>
        <v>0</v>
      </c>
      <c r="K24" s="7">
        <f t="shared" si="2"/>
        <v>0</v>
      </c>
      <c r="L24" s="7">
        <f t="shared" si="2"/>
        <v>0</v>
      </c>
      <c r="M24" s="7">
        <f t="shared" si="2"/>
        <v>0</v>
      </c>
      <c r="N24" s="7">
        <f t="shared" si="2"/>
        <v>0</v>
      </c>
      <c r="O24" s="7">
        <f t="shared" si="2"/>
        <v>0</v>
      </c>
      <c r="P24" s="7">
        <f>SUM(O24,P17:P19)-SUM(P21:P23)</f>
        <v>0</v>
      </c>
      <c r="Q24" s="7">
        <f>SUM(P24,Q17:Q19)-SUM(Q21:Q23)</f>
        <v>0</v>
      </c>
      <c r="R24" s="7">
        <f t="shared" si="2"/>
        <v>0</v>
      </c>
      <c r="S24" s="7">
        <f t="shared" si="2"/>
        <v>0</v>
      </c>
      <c r="T24" s="7">
        <f t="shared" si="2"/>
        <v>0</v>
      </c>
      <c r="U24" s="7">
        <f t="shared" si="2"/>
        <v>0</v>
      </c>
    </row>
    <row r="25" spans="2:26" x14ac:dyDescent="0.3">
      <c r="B25" s="60"/>
      <c r="C25" s="63" t="s">
        <v>108</v>
      </c>
      <c r="D25" s="63"/>
      <c r="E25" s="63"/>
      <c r="F25" s="17">
        <v>0</v>
      </c>
      <c r="G25" s="17">
        <f>IF(G$12&lt;=$J$6,SUM($F$21:G23)/SUM($F$17:G19),1)</f>
        <v>0.33333333333333331</v>
      </c>
      <c r="H25" s="17">
        <f>IF(H$12&lt;=$J$6,SUM($F$21:H23)/SUM($F$17:H19),1)</f>
        <v>0.66666666666666652</v>
      </c>
      <c r="I25" s="17">
        <f>IF(I$12&lt;=$J$6,SUM($F$21:I23)/SUM($F$17:I19),1)</f>
        <v>0.99999999999999989</v>
      </c>
      <c r="J25" s="17">
        <f>IF(J$12&lt;=$J$6,SUM($F$21:J23)/SUM($F$17:J19),1)</f>
        <v>1</v>
      </c>
      <c r="K25" s="17">
        <f>IF(K$12&lt;=$J$6,SUM($F$21:K23)/SUM($F$17:K19),1)</f>
        <v>1</v>
      </c>
      <c r="L25" s="17">
        <f>IF(L$12&lt;=$J$6,SUM($F$21:L23)/SUM($F$17:L19),1)</f>
        <v>1</v>
      </c>
      <c r="M25" s="17">
        <f>IF(M$12&lt;=$J$6,SUM($F$21:M23)/SUM($F$17:M19),1)</f>
        <v>1</v>
      </c>
      <c r="N25" s="17">
        <f>IF(N$12&lt;=$J$6,SUM($F$21:N23)/SUM($F$17:N19),1)</f>
        <v>1</v>
      </c>
      <c r="O25" s="17">
        <f>IF(O$12&lt;=$J$6,SUM($F$21:O23)/SUM($F$17:O19),1)</f>
        <v>1</v>
      </c>
      <c r="P25" s="17">
        <f>IF(P$12&lt;=$J$6,SUM($F$21:P23)/SUM($F$17:P19),1)</f>
        <v>1</v>
      </c>
      <c r="Q25" s="17">
        <f>IF(Q$12&lt;=$J$6,SUM($F$21:Q23)/SUM($F$17:Q19),1)</f>
        <v>1</v>
      </c>
      <c r="R25" s="17">
        <f>IF(R$12&lt;=$J$6,SUM($F$21:R23)/SUM($F$17:R19),1)</f>
        <v>1</v>
      </c>
      <c r="S25" s="17">
        <f>IF(S$12&lt;=$J$6,SUM($F$21:S23)/SUM($F$17:S19),1)</f>
        <v>1</v>
      </c>
      <c r="T25" s="17">
        <f>IF(T$12&lt;=$J$6,SUM($F$21:T23)/SUM($F$17:T19),1)</f>
        <v>1</v>
      </c>
      <c r="U25" s="17">
        <f>IF(U$12&lt;=$J$6,SUM($F$21:U23)/SUM($F$17:U19),1)</f>
        <v>1</v>
      </c>
    </row>
    <row r="26" spans="2:26" ht="28.2" customHeight="1" x14ac:dyDescent="0.3"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</row>
    <row r="27" spans="2:26" x14ac:dyDescent="0.3">
      <c r="B27" s="46" t="s">
        <v>124</v>
      </c>
      <c r="C27" s="47"/>
      <c r="D27" s="48"/>
      <c r="E27" s="22" t="s">
        <v>48</v>
      </c>
      <c r="F27" s="24">
        <v>0</v>
      </c>
      <c r="G27" s="24">
        <v>1</v>
      </c>
      <c r="H27" s="24">
        <v>2</v>
      </c>
      <c r="I27" s="24">
        <v>3</v>
      </c>
      <c r="J27" s="24">
        <v>4</v>
      </c>
      <c r="K27" s="24">
        <v>5</v>
      </c>
      <c r="L27" s="24">
        <v>6</v>
      </c>
      <c r="M27" s="24">
        <v>7</v>
      </c>
      <c r="N27" s="24">
        <v>8</v>
      </c>
      <c r="O27" s="24">
        <v>9</v>
      </c>
      <c r="P27" s="24">
        <v>10</v>
      </c>
      <c r="Q27" s="24">
        <v>11</v>
      </c>
      <c r="R27" s="24">
        <v>12</v>
      </c>
      <c r="S27" s="24">
        <v>13</v>
      </c>
      <c r="T27" s="24">
        <v>14</v>
      </c>
      <c r="U27" s="24">
        <v>15</v>
      </c>
    </row>
    <row r="28" spans="2:26" x14ac:dyDescent="0.3">
      <c r="B28" s="49"/>
      <c r="C28" s="50"/>
      <c r="D28" s="51"/>
      <c r="E28" s="23" t="s">
        <v>49</v>
      </c>
      <c r="F28" s="25">
        <v>2025</v>
      </c>
      <c r="G28" s="25">
        <v>2026</v>
      </c>
      <c r="H28" s="25">
        <v>2027</v>
      </c>
      <c r="I28" s="25">
        <v>2028</v>
      </c>
      <c r="J28" s="25">
        <v>2029</v>
      </c>
      <c r="K28" s="25">
        <v>2030</v>
      </c>
      <c r="L28" s="25">
        <v>2031</v>
      </c>
      <c r="M28" s="25">
        <v>2032</v>
      </c>
      <c r="N28" s="25">
        <v>2033</v>
      </c>
      <c r="O28" s="25">
        <v>2034</v>
      </c>
      <c r="P28" s="25">
        <v>2035</v>
      </c>
      <c r="Q28" s="25">
        <v>2036</v>
      </c>
      <c r="R28" s="25">
        <v>2037</v>
      </c>
      <c r="S28" s="25">
        <v>2038</v>
      </c>
      <c r="T28" s="25">
        <v>2039</v>
      </c>
      <c r="U28" s="25">
        <v>2040</v>
      </c>
      <c r="W28" s="40" t="s">
        <v>179</v>
      </c>
      <c r="X28" s="40" t="s">
        <v>180</v>
      </c>
      <c r="Y28" s="1" t="s">
        <v>181</v>
      </c>
      <c r="Z28" s="41" t="s">
        <v>182</v>
      </c>
    </row>
    <row r="29" spans="2:26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2:26" x14ac:dyDescent="0.3">
      <c r="B30" s="52" t="s">
        <v>118</v>
      </c>
      <c r="C30" s="44" t="s">
        <v>57</v>
      </c>
      <c r="D30" s="45"/>
      <c r="E30" s="45"/>
      <c r="F30" s="8">
        <v>0</v>
      </c>
      <c r="G30" s="8">
        <f>((-CB_SMI_Mixto_EXT_BAJA!$B$7)*G21)/1000000</f>
        <v>-0.48931803693488357</v>
      </c>
      <c r="H30" s="8">
        <f>((-CB_SMI_Mixto_EXT_BAJA!$B$7)*H21)/1000000</f>
        <v>-0.48931803693488357</v>
      </c>
      <c r="I30" s="8">
        <f>((-CB_SMI_Mixto_EXT_BAJA!$B$7)*I21)/1000000</f>
        <v>-0.48931803693488357</v>
      </c>
      <c r="J30" s="8">
        <f>((-CB_SMI_Mixto_EXT_BAJA!$B$7)*J21)/1000000</f>
        <v>0</v>
      </c>
      <c r="K30" s="8">
        <f>((-CB_SMI_Mixto_EXT_BAJA!$B$7)*K21)/1000000</f>
        <v>0</v>
      </c>
      <c r="L30" s="8">
        <f>((-CB_SMI_Mixto_EXT_BAJA!$B$7)*L21)/1000000</f>
        <v>0</v>
      </c>
      <c r="M30" s="8">
        <f>((-CB_SMI_Mixto_EXT_BAJA!$B$7)*M21)/1000000</f>
        <v>0</v>
      </c>
      <c r="N30" s="8">
        <f>((-CB_SMI_Mixto_EXT_BAJA!$B$7)*N21)/1000000</f>
        <v>0</v>
      </c>
      <c r="O30" s="8">
        <f>((-CB_SMI_Mixto_EXT_BAJA!$B$7)*O21)/1000000</f>
        <v>0</v>
      </c>
      <c r="P30" s="8">
        <f>((-CB_SMI_Mixto_EXT_BAJA!$B$7)*P21)/1000000</f>
        <v>0</v>
      </c>
      <c r="Q30" s="8">
        <f>((-CB_SMI_Mixto_EXT_BAJA!$B$7)*Q21)/1000000</f>
        <v>0</v>
      </c>
      <c r="R30" s="8">
        <f>((-CB_SMI_Mixto_EXT_BAJA!$B$7)*R21)/1000000</f>
        <v>0</v>
      </c>
      <c r="S30" s="8">
        <f>((-CB_SMI_Mixto_EXT_BAJA!$B$7)*S21)/1000000</f>
        <v>0</v>
      </c>
      <c r="T30" s="8">
        <f>((-CB_SMI_Mixto_EXT_BAJA!$B$7)*T21)/1000000</f>
        <v>0</v>
      </c>
      <c r="U30" s="8">
        <f>((-CB_SMI_Mixto_EXT_BAJA!$B$7)*U21)/1000000</f>
        <v>0</v>
      </c>
      <c r="W30" s="42">
        <f t="shared" ref="W30:W36" si="3">NPV($D$67,G30:U30)+F30</f>
        <v>-1.307952959814054</v>
      </c>
      <c r="X30" s="42">
        <f t="shared" ref="X30:X36" si="4">PMT($D$67,15,-W30)</f>
        <v>-0.13467045186598706</v>
      </c>
      <c r="Y30" s="42">
        <f>W30*1000000/7744865</f>
        <v>-0.16888002047989914</v>
      </c>
      <c r="Z30" s="30">
        <f t="shared" ref="Z30:Z36" si="5">W30/$W$36</f>
        <v>3.5494310569537973E-2</v>
      </c>
    </row>
    <row r="31" spans="2:26" x14ac:dyDescent="0.3">
      <c r="B31" s="53"/>
      <c r="C31" s="44" t="s">
        <v>58</v>
      </c>
      <c r="D31" s="45"/>
      <c r="E31" s="45"/>
      <c r="F31" s="8">
        <v>0</v>
      </c>
      <c r="G31" s="8">
        <f>((-CB_SMI_Mixto_EXT_BAJA!$B$8)*G22)/1000000</f>
        <v>0</v>
      </c>
      <c r="H31" s="8">
        <f>((-CB_SMI_Mixto_EXT_BAJA!$B$8)*H22)/1000000</f>
        <v>0</v>
      </c>
      <c r="I31" s="8">
        <f>((-CB_SMI_Mixto_EXT_BAJA!$B$8)*I22)/1000000</f>
        <v>0</v>
      </c>
      <c r="J31" s="8">
        <f>((-CB_SMI_Mixto_EXT_BAJA!$B$8)*J22)/1000000</f>
        <v>0</v>
      </c>
      <c r="K31" s="8">
        <f>((-CB_SMI_Mixto_EXT_BAJA!$B$8)*K22)/1000000</f>
        <v>0</v>
      </c>
      <c r="L31" s="8">
        <f>((-CB_SMI_Mixto_EXT_BAJA!$B$8)*L22)/1000000</f>
        <v>0</v>
      </c>
      <c r="M31" s="8">
        <f>((-CB_SMI_Mixto_EXT_BAJA!$B$8)*M22)/1000000</f>
        <v>0</v>
      </c>
      <c r="N31" s="8">
        <f>((-CB_SMI_Mixto_EXT_BAJA!$B$8)*N22)/1000000</f>
        <v>0</v>
      </c>
      <c r="O31" s="8">
        <f>((-CB_SMI_Mixto_EXT_BAJA!$B$8)*O22)/1000000</f>
        <v>0</v>
      </c>
      <c r="P31" s="8">
        <f>((-CB_SMI_Mixto_EXT_BAJA!$B$8)*P22)/1000000</f>
        <v>0</v>
      </c>
      <c r="Q31" s="8">
        <f>((-CB_SMI_Mixto_EXT_BAJA!$B$8)*Q22)/1000000</f>
        <v>0</v>
      </c>
      <c r="R31" s="8">
        <f>((-CB_SMI_Mixto_EXT_BAJA!$B$8)*R22)/1000000</f>
        <v>0</v>
      </c>
      <c r="S31" s="8">
        <f>((-CB_SMI_Mixto_EXT_BAJA!$B$8)*S22)/1000000</f>
        <v>0</v>
      </c>
      <c r="T31" s="8">
        <f>((-CB_SMI_Mixto_EXT_BAJA!$B$8)*T22)/1000000</f>
        <v>0</v>
      </c>
      <c r="U31" s="8">
        <f>((-CB_SMI_Mixto_EXT_BAJA!$B$8)*U22)/1000000</f>
        <v>0</v>
      </c>
      <c r="W31" s="42">
        <f t="shared" si="3"/>
        <v>0</v>
      </c>
      <c r="X31" s="42">
        <f t="shared" si="4"/>
        <v>0</v>
      </c>
      <c r="Y31" s="42">
        <f t="shared" ref="Y31:Y56" si="6">W31*1000000/7744865</f>
        <v>0</v>
      </c>
      <c r="Z31" s="30">
        <f t="shared" si="5"/>
        <v>0</v>
      </c>
    </row>
    <row r="32" spans="2:26" x14ac:dyDescent="0.3">
      <c r="B32" s="53"/>
      <c r="C32" s="44" t="s">
        <v>59</v>
      </c>
      <c r="D32" s="45"/>
      <c r="E32" s="45"/>
      <c r="F32" s="8">
        <v>0</v>
      </c>
      <c r="G32" s="8">
        <f>((-CB_SMI_Mixto_EXT_BAJA!$B$9)*G23)/1000000</f>
        <v>-12.949893193957287</v>
      </c>
      <c r="H32" s="8">
        <f>((-CB_SMI_Mixto_EXT_BAJA!$B$9)*H23)/1000000</f>
        <v>-12.949893193957287</v>
      </c>
      <c r="I32" s="8">
        <f>((-CB_SMI_Mixto_EXT_BAJA!$B$9)*I23)/1000000</f>
        <v>-12.949893193957287</v>
      </c>
      <c r="J32" s="8">
        <f>((-CB_SMI_Mixto_EXT_BAJA!$B$9)*J23)/1000000</f>
        <v>0</v>
      </c>
      <c r="K32" s="8">
        <f>((-CB_SMI_Mixto_EXT_BAJA!$B$9)*K23)/1000000</f>
        <v>0</v>
      </c>
      <c r="L32" s="8">
        <f>((-CB_SMI_Mixto_EXT_BAJA!$B$9)*L23)/1000000</f>
        <v>0</v>
      </c>
      <c r="M32" s="8">
        <f>((-CB_SMI_Mixto_EXT_BAJA!$B$9)*M23)/1000000</f>
        <v>0</v>
      </c>
      <c r="N32" s="8">
        <f>((-CB_SMI_Mixto_EXT_BAJA!$B$9)*N23)/1000000</f>
        <v>0</v>
      </c>
      <c r="O32" s="8">
        <f>((-CB_SMI_Mixto_EXT_BAJA!$B$9)*O23)/1000000</f>
        <v>0</v>
      </c>
      <c r="P32" s="8">
        <f>((-CB_SMI_Mixto_EXT_BAJA!$B$9)*P23)/1000000</f>
        <v>0</v>
      </c>
      <c r="Q32" s="8">
        <f>((-CB_SMI_Mixto_EXT_BAJA!$B$9)*Q23)/1000000</f>
        <v>0</v>
      </c>
      <c r="R32" s="8">
        <f>((-CB_SMI_Mixto_EXT_BAJA!$B$9)*R23)/1000000</f>
        <v>0</v>
      </c>
      <c r="S32" s="8">
        <f>((-CB_SMI_Mixto_EXT_BAJA!$B$9)*S23)/1000000</f>
        <v>0</v>
      </c>
      <c r="T32" s="8">
        <f>((-CB_SMI_Mixto_EXT_BAJA!$B$9)*T23)/1000000</f>
        <v>0</v>
      </c>
      <c r="U32" s="8">
        <f>((-CB_SMI_Mixto_EXT_BAJA!$B$9)*U23)/1000000</f>
        <v>0</v>
      </c>
      <c r="W32" s="42">
        <f t="shared" si="3"/>
        <v>-34.615219251699735</v>
      </c>
      <c r="X32" s="42">
        <f t="shared" si="4"/>
        <v>-3.5640786490741556</v>
      </c>
      <c r="Y32" s="42">
        <f t="shared" si="6"/>
        <v>-4.4694412687244691</v>
      </c>
      <c r="Z32" s="30">
        <f t="shared" si="5"/>
        <v>0.939363555343115</v>
      </c>
    </row>
    <row r="33" spans="2:26" x14ac:dyDescent="0.3">
      <c r="B33" s="53"/>
      <c r="C33" s="44" t="s">
        <v>60</v>
      </c>
      <c r="D33" s="45"/>
      <c r="E33" s="45"/>
      <c r="F33" s="8">
        <f>((-CB_SMI_Mixto_EXT_BAJA!B10)*CB_SMI_Mixto_EXT_BAJA!B6)/1000000</f>
        <v>0</v>
      </c>
      <c r="G33" s="8">
        <f>((-CB_SMI_Mixto_EXT_BAJA!C10)*CB_SMI_Mixto_EXT_BAJA!C6)/1000000</f>
        <v>0</v>
      </c>
      <c r="H33" s="8">
        <f>((-CB_SMI_Mixto_EXT_BAJA!D10)*CB_SMI_Mixto_EXT_BAJA!D6)/1000000</f>
        <v>0</v>
      </c>
      <c r="I33" s="8">
        <f>((-CB_SMI_Mixto_EXT_BAJA!E10)*CB_SMI_Mixto_EXT_BAJA!E6)/1000000</f>
        <v>0</v>
      </c>
      <c r="J33" s="8">
        <f>((-CB_SMI_Mixto_EXT_BAJA!F10)*CB_SMI_Mixto_EXT_BAJA!F6)/1000000</f>
        <v>0</v>
      </c>
      <c r="K33" s="8">
        <f>((-CB_SMI_Mixto_EXT_BAJA!G10)*CB_SMI_Mixto_EXT_BAJA!G6)/1000000</f>
        <v>0</v>
      </c>
      <c r="L33" s="8">
        <f>((-CB_SMI_Mixto_EXT_BAJA!H10)*CB_SMI_Mixto_EXT_BAJA!H6)/1000000</f>
        <v>0</v>
      </c>
      <c r="M33" s="8">
        <f>((-CB_SMI_Mixto_EXT_BAJA!I10)*CB_SMI_Mixto_EXT_BAJA!I6)/1000000</f>
        <v>0</v>
      </c>
      <c r="N33" s="8">
        <f>((-CB_SMI_Mixto_EXT_BAJA!J10)*CB_SMI_Mixto_EXT_BAJA!J6)/1000000</f>
        <v>0</v>
      </c>
      <c r="O33" s="8">
        <f>((-CB_SMI_Mixto_EXT_BAJA!K10)*CB_SMI_Mixto_EXT_BAJA!K6)/1000000</f>
        <v>0</v>
      </c>
      <c r="P33" s="8">
        <f>((-CB_SMI_Mixto_EXT_BAJA!L10)*CB_SMI_Mixto_EXT_BAJA!L6)/1000000</f>
        <v>0</v>
      </c>
      <c r="Q33" s="8">
        <f>((-CB_SMI_Mixto_EXT_BAJA!M10)*CB_SMI_Mixto_EXT_BAJA!M6)/1000000</f>
        <v>0</v>
      </c>
      <c r="R33" s="8">
        <f>((-CB_SMI_Mixto_EXT_BAJA!N10)*CB_SMI_Mixto_EXT_BAJA!N6)/1000000</f>
        <v>0</v>
      </c>
      <c r="S33" s="8">
        <f>((-CB_SMI_Mixto_EXT_BAJA!O10)*CB_SMI_Mixto_EXT_BAJA!O6)/1000000</f>
        <v>0</v>
      </c>
      <c r="T33" s="8">
        <f>((-CB_SMI_Mixto_EXT_BAJA!P10)*CB_SMI_Mixto_EXT_BAJA!P6)/1000000</f>
        <v>0</v>
      </c>
      <c r="U33" s="8">
        <f>((-CB_SMI_Mixto_EXT_BAJA!Q10)*CB_SMI_Mixto_EXT_BAJA!Q6)/1000000</f>
        <v>0</v>
      </c>
      <c r="W33" s="42">
        <f t="shared" si="3"/>
        <v>0</v>
      </c>
      <c r="X33" s="42">
        <f t="shared" si="4"/>
        <v>0</v>
      </c>
      <c r="Y33" s="42">
        <f t="shared" si="6"/>
        <v>0</v>
      </c>
      <c r="Z33" s="30">
        <f t="shared" si="5"/>
        <v>0</v>
      </c>
    </row>
    <row r="34" spans="2:26" x14ac:dyDescent="0.3">
      <c r="B34" s="53"/>
      <c r="C34" s="44" t="s">
        <v>145</v>
      </c>
      <c r="D34" s="45"/>
      <c r="E34" s="45"/>
      <c r="F34" s="8">
        <f>(-CB_SMI_Mixto_EXT_BAJA!B11)/1000000</f>
        <v>-0.86172625799999991</v>
      </c>
      <c r="G34" s="8">
        <f>(-CB_SMI_Mixto_EXT_BAJA!C11)/1000000</f>
        <v>0</v>
      </c>
      <c r="H34" s="8">
        <f>(-CB_SMI_Mixto_EXT_BAJA!D11)/1000000</f>
        <v>0</v>
      </c>
      <c r="I34" s="8">
        <f>(-CB_SMI_Mixto_EXT_BAJA!E11)/1000000</f>
        <v>0</v>
      </c>
      <c r="J34" s="8">
        <f>(-CB_SMI_Mixto_EXT_BAJA!F11)/1000000</f>
        <v>0</v>
      </c>
      <c r="K34" s="8">
        <f>(-CB_SMI_Mixto_EXT_BAJA!G11)/1000000</f>
        <v>0</v>
      </c>
      <c r="L34" s="8">
        <f>(-CB_SMI_Mixto_EXT_BAJA!H11)/1000000</f>
        <v>0</v>
      </c>
      <c r="M34" s="8">
        <f>(-CB_SMI_Mixto_EXT_BAJA!I11)/1000000</f>
        <v>0</v>
      </c>
      <c r="N34" s="8">
        <f>(-CB_SMI_Mixto_EXT_BAJA!J11)/1000000</f>
        <v>0</v>
      </c>
      <c r="O34" s="8">
        <f>(-CB_SMI_Mixto_EXT_BAJA!K11)/1000000</f>
        <v>0</v>
      </c>
      <c r="P34" s="8">
        <f>(-CB_SMI_Mixto_EXT_BAJA!L11)/1000000</f>
        <v>0</v>
      </c>
      <c r="Q34" s="8">
        <f>(-CB_SMI_Mixto_EXT_BAJA!M11)/1000000</f>
        <v>0</v>
      </c>
      <c r="R34" s="8">
        <f>(-CB_SMI_Mixto_EXT_BAJA!N11)/1000000</f>
        <v>0</v>
      </c>
      <c r="S34" s="8">
        <f>(-CB_SMI_Mixto_EXT_BAJA!O11)/1000000</f>
        <v>0</v>
      </c>
      <c r="T34" s="8">
        <f>(-CB_SMI_Mixto_EXT_BAJA!P11)/1000000</f>
        <v>0</v>
      </c>
      <c r="U34" s="8">
        <f>(-CB_SMI_Mixto_EXT_BAJA!Q11)/1000000</f>
        <v>0</v>
      </c>
      <c r="W34" s="42">
        <f t="shared" si="3"/>
        <v>-0.86172625799999991</v>
      </c>
      <c r="X34" s="42">
        <f t="shared" si="4"/>
        <v>-8.8725717296548892E-2</v>
      </c>
      <c r="Y34" s="42">
        <f t="shared" si="6"/>
        <v>-0.11126420641289421</v>
      </c>
      <c r="Z34" s="30">
        <f t="shared" si="5"/>
        <v>2.3384923133417682E-2</v>
      </c>
    </row>
    <row r="35" spans="2:26" x14ac:dyDescent="0.3">
      <c r="B35" s="53"/>
      <c r="C35" s="44" t="s">
        <v>143</v>
      </c>
      <c r="D35" s="45"/>
      <c r="E35" s="45"/>
      <c r="F35" s="8">
        <f>(-CB_SMI_Mixto_EXT_BAJA!B12)/1000000</f>
        <v>-6.4752610526315799E-2</v>
      </c>
      <c r="G35" s="8">
        <f>(-CB_SMI_Mixto_EXT_BAJA!C12)/1000000</f>
        <v>0</v>
      </c>
      <c r="H35" s="8">
        <f>(-CB_SMI_Mixto_EXT_BAJA!D12)/1000000</f>
        <v>0</v>
      </c>
      <c r="I35" s="8">
        <f>(-CB_SMI_Mixto_EXT_BAJA!E12)/1000000</f>
        <v>0</v>
      </c>
      <c r="J35" s="8">
        <f>(-CB_SMI_Mixto_EXT_BAJA!F12)/1000000</f>
        <v>0</v>
      </c>
      <c r="K35" s="8">
        <f>(-CB_SMI_Mixto_EXT_BAJA!G12)/1000000</f>
        <v>0</v>
      </c>
      <c r="L35" s="8">
        <f>(-CB_SMI_Mixto_EXT_BAJA!H12)/1000000</f>
        <v>0</v>
      </c>
      <c r="M35" s="8">
        <f>(-CB_SMI_Mixto_EXT_BAJA!I12)/1000000</f>
        <v>0</v>
      </c>
      <c r="N35" s="8">
        <f>(-CB_SMI_Mixto_EXT_BAJA!J12)/1000000</f>
        <v>0</v>
      </c>
      <c r="O35" s="8">
        <f>(-CB_SMI_Mixto_EXT_BAJA!K12)/1000000</f>
        <v>0</v>
      </c>
      <c r="P35" s="8">
        <f>(-CB_SMI_Mixto_EXT_BAJA!L12)/1000000</f>
        <v>0</v>
      </c>
      <c r="Q35" s="8">
        <f>(-CB_SMI_Mixto_EXT_BAJA!M12)/1000000</f>
        <v>0</v>
      </c>
      <c r="R35" s="8">
        <f>(-CB_SMI_Mixto_EXT_BAJA!N12)/1000000</f>
        <v>0</v>
      </c>
      <c r="S35" s="8">
        <f>(-CB_SMI_Mixto_EXT_BAJA!O12)/1000000</f>
        <v>0</v>
      </c>
      <c r="T35" s="8">
        <f>(-CB_SMI_Mixto_EXT_BAJA!P12)/1000000</f>
        <v>0</v>
      </c>
      <c r="U35" s="8">
        <f>(-CB_SMI_Mixto_EXT_BAJA!Q12)/1000000</f>
        <v>0</v>
      </c>
      <c r="W35" s="42">
        <f t="shared" si="3"/>
        <v>-6.4752610526315799E-2</v>
      </c>
      <c r="X35" s="42">
        <f t="shared" si="4"/>
        <v>-6.6671077531113504E-3</v>
      </c>
      <c r="Y35" s="42">
        <f t="shared" si="6"/>
        <v>-8.3607151998538118E-3</v>
      </c>
      <c r="Z35" s="30">
        <f t="shared" si="5"/>
        <v>1.7572109539292092E-3</v>
      </c>
    </row>
    <row r="36" spans="2:26" x14ac:dyDescent="0.3">
      <c r="B36" s="54"/>
      <c r="C36" s="55" t="s">
        <v>123</v>
      </c>
      <c r="D36" s="55"/>
      <c r="E36" s="55"/>
      <c r="F36" s="15">
        <f>SUM(F30:F35)</f>
        <v>-0.92647886852631567</v>
      </c>
      <c r="G36" s="15">
        <f t="shared" ref="G36:U36" si="7">SUM(G30:G35)</f>
        <v>-13.439211230892171</v>
      </c>
      <c r="H36" s="15">
        <f t="shared" si="7"/>
        <v>-13.439211230892171</v>
      </c>
      <c r="I36" s="15">
        <f t="shared" si="7"/>
        <v>-13.439211230892171</v>
      </c>
      <c r="J36" s="15">
        <f t="shared" si="7"/>
        <v>0</v>
      </c>
      <c r="K36" s="15">
        <f t="shared" si="7"/>
        <v>0</v>
      </c>
      <c r="L36" s="15">
        <f t="shared" si="7"/>
        <v>0</v>
      </c>
      <c r="M36" s="15">
        <f t="shared" si="7"/>
        <v>0</v>
      </c>
      <c r="N36" s="15">
        <f t="shared" si="7"/>
        <v>0</v>
      </c>
      <c r="O36" s="15">
        <f t="shared" si="7"/>
        <v>0</v>
      </c>
      <c r="P36" s="15">
        <f t="shared" si="7"/>
        <v>0</v>
      </c>
      <c r="Q36" s="15">
        <f t="shared" si="7"/>
        <v>0</v>
      </c>
      <c r="R36" s="15">
        <f t="shared" si="7"/>
        <v>0</v>
      </c>
      <c r="S36" s="15">
        <f t="shared" si="7"/>
        <v>0</v>
      </c>
      <c r="T36" s="15">
        <f t="shared" si="7"/>
        <v>0</v>
      </c>
      <c r="U36" s="15">
        <f t="shared" si="7"/>
        <v>0</v>
      </c>
      <c r="W36" s="42">
        <f t="shared" si="3"/>
        <v>-36.849651080040111</v>
      </c>
      <c r="X36" s="42">
        <f t="shared" si="4"/>
        <v>-3.7941419259898037</v>
      </c>
      <c r="Y36" s="42">
        <f t="shared" si="6"/>
        <v>-4.7579462108171171</v>
      </c>
      <c r="Z36" s="30">
        <f t="shared" si="5"/>
        <v>1</v>
      </c>
    </row>
    <row r="37" spans="2:26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W37" s="42"/>
      <c r="X37" s="42"/>
      <c r="Y37" s="42"/>
    </row>
    <row r="38" spans="2:26" x14ac:dyDescent="0.3">
      <c r="B38" s="52" t="s">
        <v>119</v>
      </c>
      <c r="C38" s="44" t="s">
        <v>100</v>
      </c>
      <c r="D38" s="45"/>
      <c r="E38" s="45"/>
      <c r="F38" s="8">
        <v>0</v>
      </c>
      <c r="G38" s="8">
        <f>(-CB_SMI_Mixto_EXT_BAJA!C13/1000000)*G$25</f>
        <v>0</v>
      </c>
      <c r="H38" s="8">
        <f>(-CB_SMI_Mixto_EXT_BAJA!D13/1000000)*H$25</f>
        <v>0</v>
      </c>
      <c r="I38" s="8">
        <f>(-CB_SMI_Mixto_EXT_BAJA!E13/1000000)*I$25</f>
        <v>0</v>
      </c>
      <c r="J38" s="8">
        <f>(-CB_SMI_Mixto_EXT_BAJA!F13/1000000)*J$25</f>
        <v>0</v>
      </c>
      <c r="K38" s="8">
        <f>(-CB_SMI_Mixto_EXT_BAJA!G13/1000000)*K$25</f>
        <v>0</v>
      </c>
      <c r="L38" s="8">
        <f>(-CB_SMI_Mixto_EXT_BAJA!H13/1000000)*L$25</f>
        <v>0</v>
      </c>
      <c r="M38" s="8">
        <f>(-CB_SMI_Mixto_EXT_BAJA!I13/1000000)*M$25</f>
        <v>0</v>
      </c>
      <c r="N38" s="8">
        <f>(-CB_SMI_Mixto_EXT_BAJA!J13/1000000)*N$25</f>
        <v>0</v>
      </c>
      <c r="O38" s="8">
        <f>(-CB_SMI_Mixto_EXT_BAJA!K13/1000000)*O$25</f>
        <v>0</v>
      </c>
      <c r="P38" s="8">
        <f>(-CB_SMI_Mixto_EXT_BAJA!L13/1000000)*P$25</f>
        <v>0</v>
      </c>
      <c r="Q38" s="8">
        <f>(-CB_SMI_Mixto_EXT_BAJA!M13/1000000)*Q$25</f>
        <v>0</v>
      </c>
      <c r="R38" s="8">
        <f>(-CB_SMI_Mixto_EXT_BAJA!N13/1000000)*R$25</f>
        <v>0</v>
      </c>
      <c r="S38" s="8">
        <f>(-CB_SMI_Mixto_EXT_BAJA!O13/1000000)*S$25</f>
        <v>0</v>
      </c>
      <c r="T38" s="8">
        <f>(-CB_SMI_Mixto_EXT_BAJA!P13/1000000)*T$25</f>
        <v>0</v>
      </c>
      <c r="U38" s="8">
        <f>(-CB_SMI_Mixto_EXT_BAJA!Q13/1000000)*U$25</f>
        <v>0</v>
      </c>
      <c r="W38" s="42">
        <f t="shared" ref="W38:W43" si="8">NPV($D$67,G38:U38)+F38</f>
        <v>0</v>
      </c>
      <c r="X38" s="42">
        <f t="shared" ref="X38:X43" si="9">PMT($D$67,15,-W38)</f>
        <v>0</v>
      </c>
      <c r="Y38" s="42">
        <f t="shared" si="6"/>
        <v>0</v>
      </c>
      <c r="Z38" s="30">
        <f t="shared" ref="Z38:Z43" si="10">W38/$W$43</f>
        <v>0</v>
      </c>
    </row>
    <row r="39" spans="2:26" x14ac:dyDescent="0.3">
      <c r="B39" s="53"/>
      <c r="C39" s="44" t="s">
        <v>101</v>
      </c>
      <c r="D39" s="45"/>
      <c r="E39" s="45"/>
      <c r="F39" s="8">
        <v>0</v>
      </c>
      <c r="G39" s="8">
        <f>(-CB_SMI_Mixto_EXT_BAJA!C14/1000000)*G$25</f>
        <v>-0.26314022681787863</v>
      </c>
      <c r="H39" s="8">
        <f>(-CB_SMI_Mixto_EXT_BAJA!D14/1000000)*H$25</f>
        <v>-0.52628045363575715</v>
      </c>
      <c r="I39" s="8">
        <f>(-CB_SMI_Mixto_EXT_BAJA!E14/1000000)*I$25</f>
        <v>-0.78942068045363578</v>
      </c>
      <c r="J39" s="8">
        <f>(-CB_SMI_Mixto_EXT_BAJA!F14/1000000)*J$25</f>
        <v>-0.78942068045363589</v>
      </c>
      <c r="K39" s="8">
        <f>(-CB_SMI_Mixto_EXT_BAJA!G14/1000000)*K$25</f>
        <v>-0.78942068045363589</v>
      </c>
      <c r="L39" s="8">
        <f>(-CB_SMI_Mixto_EXT_BAJA!H14/1000000)*L$25</f>
        <v>-0.78942068045363589</v>
      </c>
      <c r="M39" s="8">
        <f>(-CB_SMI_Mixto_EXT_BAJA!I14/1000000)*M$25</f>
        <v>-0.78942068045363589</v>
      </c>
      <c r="N39" s="8">
        <f>(-CB_SMI_Mixto_EXT_BAJA!J14/1000000)*N$25</f>
        <v>-0.78942068045363589</v>
      </c>
      <c r="O39" s="8">
        <f>(-CB_SMI_Mixto_EXT_BAJA!K14/1000000)*O$25</f>
        <v>-0.78942068045363589</v>
      </c>
      <c r="P39" s="8">
        <f>(-CB_SMI_Mixto_EXT_BAJA!L14/1000000)*P$25</f>
        <v>-0.78942068045363589</v>
      </c>
      <c r="Q39" s="8">
        <f>(-CB_SMI_Mixto_EXT_BAJA!M14/1000000)*Q$25</f>
        <v>-0.78942068045363589</v>
      </c>
      <c r="R39" s="8">
        <f>(-CB_SMI_Mixto_EXT_BAJA!N14/1000000)*R$25</f>
        <v>-0.78942068045363589</v>
      </c>
      <c r="S39" s="8">
        <f>(-CB_SMI_Mixto_EXT_BAJA!O14/1000000)*S$25</f>
        <v>-0.78942068045363589</v>
      </c>
      <c r="T39" s="8">
        <f>(-CB_SMI_Mixto_EXT_BAJA!P14/1000000)*T$25</f>
        <v>-0.78942068045363589</v>
      </c>
      <c r="U39" s="8">
        <f>(-CB_SMI_Mixto_EXT_BAJA!Q14/1000000)*U$25</f>
        <v>-0.78942068045363589</v>
      </c>
      <c r="W39" s="42">
        <f t="shared" si="8"/>
        <v>-6.9363653455491727</v>
      </c>
      <c r="X39" s="42">
        <f t="shared" si="9"/>
        <v>-0.71418734778159054</v>
      </c>
      <c r="Y39" s="42">
        <f t="shared" si="6"/>
        <v>-0.89560829601925573</v>
      </c>
      <c r="Z39" s="30">
        <f t="shared" si="10"/>
        <v>0.61869888004137918</v>
      </c>
    </row>
    <row r="40" spans="2:26" x14ac:dyDescent="0.3">
      <c r="B40" s="53"/>
      <c r="C40" s="44" t="s">
        <v>146</v>
      </c>
      <c r="D40" s="45"/>
      <c r="E40" s="45"/>
      <c r="F40" s="8">
        <v>0</v>
      </c>
      <c r="G40" s="8">
        <f>(-CB_SMI_Mixto_EXT_BAJA!C15/1000000)*G$25</f>
        <v>-0.12499160773849236</v>
      </c>
      <c r="H40" s="8">
        <f>(-CB_SMI_Mixto_EXT_BAJA!D15/1000000)*H$25</f>
        <v>-0.24998321547698468</v>
      </c>
      <c r="I40" s="8">
        <f>(-CB_SMI_Mixto_EXT_BAJA!E15/1000000)*I$25</f>
        <v>-0.37497482321547704</v>
      </c>
      <c r="J40" s="8">
        <f>(-CB_SMI_Mixto_EXT_BAJA!F15/1000000)*J$25</f>
        <v>-0.37497482321547709</v>
      </c>
      <c r="K40" s="8">
        <f>(-CB_SMI_Mixto_EXT_BAJA!G15/1000000)*K$25</f>
        <v>-0.37497482321547709</v>
      </c>
      <c r="L40" s="8">
        <f>(-CB_SMI_Mixto_EXT_BAJA!H15/1000000)*L$25</f>
        <v>-0.37497482321547709</v>
      </c>
      <c r="M40" s="8">
        <f>(-CB_SMI_Mixto_EXT_BAJA!I15/1000000)*M$25</f>
        <v>-0.37497482321547709</v>
      </c>
      <c r="N40" s="8">
        <f>(-CB_SMI_Mixto_EXT_BAJA!J15/1000000)*N$25</f>
        <v>-0.37497482321547709</v>
      </c>
      <c r="O40" s="8">
        <f>(-CB_SMI_Mixto_EXT_BAJA!K15/1000000)*O$25</f>
        <v>-0.37497482321547709</v>
      </c>
      <c r="P40" s="8">
        <f>(-CB_SMI_Mixto_EXT_BAJA!L15/1000000)*P$25</f>
        <v>-0.37497482321547709</v>
      </c>
      <c r="Q40" s="8">
        <f>(-CB_SMI_Mixto_EXT_BAJA!M15/1000000)*Q$25</f>
        <v>-0.37497482321547709</v>
      </c>
      <c r="R40" s="8">
        <f>(-CB_SMI_Mixto_EXT_BAJA!N15/1000000)*R$25</f>
        <v>-0.37497482321547709</v>
      </c>
      <c r="S40" s="8">
        <f>(-CB_SMI_Mixto_EXT_BAJA!O15/1000000)*S$25</f>
        <v>-0.37497482321547709</v>
      </c>
      <c r="T40" s="8">
        <f>(-CB_SMI_Mixto_EXT_BAJA!P15/1000000)*T$25</f>
        <v>-0.37497482321547709</v>
      </c>
      <c r="U40" s="8">
        <f>(-CB_SMI_Mixto_EXT_BAJA!Q15/1000000)*U$25</f>
        <v>-0.37497482321547709</v>
      </c>
      <c r="W40" s="42">
        <f t="shared" si="8"/>
        <v>-3.2947735391358579</v>
      </c>
      <c r="X40" s="42">
        <f t="shared" si="9"/>
        <v>-0.33923899019625559</v>
      </c>
      <c r="Y40" s="42">
        <f t="shared" si="6"/>
        <v>-0.42541394060914656</v>
      </c>
      <c r="Z40" s="30">
        <f t="shared" si="10"/>
        <v>0.29388196801965522</v>
      </c>
    </row>
    <row r="41" spans="2:26" x14ac:dyDescent="0.3">
      <c r="B41" s="53"/>
      <c r="C41" s="44" t="s">
        <v>144</v>
      </c>
      <c r="D41" s="45"/>
      <c r="E41" s="45"/>
      <c r="F41" s="8">
        <v>0</v>
      </c>
      <c r="G41" s="8">
        <f>(-CB_SMI_Mixto_EXT_BAJA!C16/1000000)*G$25</f>
        <v>-1.7739826192982457E-2</v>
      </c>
      <c r="H41" s="8">
        <f>(-CB_SMI_Mixto_EXT_BAJA!D16/1000000)*H$25</f>
        <v>-3.5479652385964906E-2</v>
      </c>
      <c r="I41" s="8">
        <f>(-CB_SMI_Mixto_EXT_BAJA!E16/1000000)*I$25</f>
        <v>-5.3219478578947363E-2</v>
      </c>
      <c r="J41" s="8">
        <f>(-CB_SMI_Mixto_EXT_BAJA!F16/1000000)*J$25</f>
        <v>-5.321947857894737E-2</v>
      </c>
      <c r="K41" s="8">
        <f>(-CB_SMI_Mixto_EXT_BAJA!G16/1000000)*K$25</f>
        <v>-5.321947857894737E-2</v>
      </c>
      <c r="L41" s="8">
        <f>(-CB_SMI_Mixto_EXT_BAJA!H16/1000000)*L$25</f>
        <v>-5.321947857894737E-2</v>
      </c>
      <c r="M41" s="8">
        <f>(-CB_SMI_Mixto_EXT_BAJA!I16/1000000)*M$25</f>
        <v>-5.321947857894737E-2</v>
      </c>
      <c r="N41" s="8">
        <f>(-CB_SMI_Mixto_EXT_BAJA!J16/1000000)*N$25</f>
        <v>-5.321947857894737E-2</v>
      </c>
      <c r="O41" s="8">
        <f>(-CB_SMI_Mixto_EXT_BAJA!K16/1000000)*O$25</f>
        <v>-5.321947857894737E-2</v>
      </c>
      <c r="P41" s="8">
        <f>(-CB_SMI_Mixto_EXT_BAJA!L16/1000000)*P$25</f>
        <v>-5.321947857894737E-2</v>
      </c>
      <c r="Q41" s="8">
        <f>(-CB_SMI_Mixto_EXT_BAJA!M16/1000000)*Q$25</f>
        <v>-5.321947857894737E-2</v>
      </c>
      <c r="R41" s="8">
        <f>(-CB_SMI_Mixto_EXT_BAJA!N16/1000000)*R$25</f>
        <v>-5.321947857894737E-2</v>
      </c>
      <c r="S41" s="8">
        <f>(-CB_SMI_Mixto_EXT_BAJA!O16/1000000)*S$25</f>
        <v>-5.321947857894737E-2</v>
      </c>
      <c r="T41" s="8">
        <f>(-CB_SMI_Mixto_EXT_BAJA!P16/1000000)*T$25</f>
        <v>-5.321947857894737E-2</v>
      </c>
      <c r="U41" s="8">
        <f>(-CB_SMI_Mixto_EXT_BAJA!Q16/1000000)*U$25</f>
        <v>-5.321947857894737E-2</v>
      </c>
      <c r="W41" s="42">
        <f t="shared" si="8"/>
        <v>-0.46762107462282015</v>
      </c>
      <c r="X41" s="42">
        <f t="shared" si="9"/>
        <v>-4.8147558326919103E-2</v>
      </c>
      <c r="Y41" s="42">
        <f t="shared" si="6"/>
        <v>-6.0378208609552279E-2</v>
      </c>
      <c r="Z41" s="30">
        <f t="shared" si="10"/>
        <v>4.1710120609279845E-2</v>
      </c>
    </row>
    <row r="42" spans="2:26" x14ac:dyDescent="0.3">
      <c r="B42" s="53"/>
      <c r="C42" s="44" t="s">
        <v>61</v>
      </c>
      <c r="D42" s="45"/>
      <c r="E42" s="45"/>
      <c r="F42" s="8">
        <v>0</v>
      </c>
      <c r="G42" s="8">
        <f>(-CB_SMI_Mixto_EXT_BAJA!C17/1000000)*G$25</f>
        <v>-1.9440612000000003E-2</v>
      </c>
      <c r="H42" s="8">
        <f>(-CB_SMI_Mixto_EXT_BAJA!D17/1000000)*H$25</f>
        <v>-3.8881223999999999E-2</v>
      </c>
      <c r="I42" s="8">
        <f>(-CB_SMI_Mixto_EXT_BAJA!E17/1000000)*I$25</f>
        <v>-5.8321836000000002E-2</v>
      </c>
      <c r="J42" s="8">
        <f>(-CB_SMI_Mixto_EXT_BAJA!F17/1000000)*J$25</f>
        <v>-5.8321836000000009E-2</v>
      </c>
      <c r="K42" s="8">
        <f>(-CB_SMI_Mixto_EXT_BAJA!G17/1000000)*K$25</f>
        <v>-5.8321836000000009E-2</v>
      </c>
      <c r="L42" s="8">
        <f>(-CB_SMI_Mixto_EXT_BAJA!H17/1000000)*L$25</f>
        <v>-5.8321836000000009E-2</v>
      </c>
      <c r="M42" s="8">
        <f>(-CB_SMI_Mixto_EXT_BAJA!I17/1000000)*M$25</f>
        <v>-5.8321836000000009E-2</v>
      </c>
      <c r="N42" s="8">
        <f>(-CB_SMI_Mixto_EXT_BAJA!J17/1000000)*N$25</f>
        <v>-5.8321836000000009E-2</v>
      </c>
      <c r="O42" s="8">
        <f>(-CB_SMI_Mixto_EXT_BAJA!K17/1000000)*O$25</f>
        <v>-5.8321836000000009E-2</v>
      </c>
      <c r="P42" s="8">
        <f>(-CB_SMI_Mixto_EXT_BAJA!L17/1000000)*P$25</f>
        <v>-5.8321836000000009E-2</v>
      </c>
      <c r="Q42" s="8">
        <f>(-CB_SMI_Mixto_EXT_BAJA!M17/1000000)*Q$25</f>
        <v>-5.8321836000000009E-2</v>
      </c>
      <c r="R42" s="8">
        <f>(-CB_SMI_Mixto_EXT_BAJA!N17/1000000)*R$25</f>
        <v>-5.8321836000000009E-2</v>
      </c>
      <c r="S42" s="8">
        <f>(-CB_SMI_Mixto_EXT_BAJA!O17/1000000)*S$25</f>
        <v>-5.8321836000000009E-2</v>
      </c>
      <c r="T42" s="8">
        <f>(-CB_SMI_Mixto_EXT_BAJA!P17/1000000)*T$25</f>
        <v>-5.8321836000000009E-2</v>
      </c>
      <c r="U42" s="8">
        <f>(-CB_SMI_Mixto_EXT_BAJA!Q17/1000000)*U$25</f>
        <v>-5.8321836000000009E-2</v>
      </c>
      <c r="W42" s="42">
        <f t="shared" si="8"/>
        <v>-0.51245371718249755</v>
      </c>
      <c r="X42" s="42">
        <f t="shared" si="9"/>
        <v>-5.2763651120284069E-2</v>
      </c>
      <c r="Y42" s="42">
        <f t="shared" si="6"/>
        <v>-6.616690118969118E-2</v>
      </c>
      <c r="Z42" s="30">
        <f t="shared" si="10"/>
        <v>4.5709031329685644E-2</v>
      </c>
    </row>
    <row r="43" spans="2:26" x14ac:dyDescent="0.3">
      <c r="B43" s="54"/>
      <c r="C43" s="55" t="s">
        <v>131</v>
      </c>
      <c r="D43" s="55"/>
      <c r="E43" s="55"/>
      <c r="F43" s="15">
        <f>SUM(F38:F42)</f>
        <v>0</v>
      </c>
      <c r="G43" s="15">
        <f>SUM(G38:G42)</f>
        <v>-0.42531227274935351</v>
      </c>
      <c r="H43" s="15">
        <f t="shared" ref="H43:T43" si="11">SUM(H38:H42)</f>
        <v>-0.85062454549870681</v>
      </c>
      <c r="I43" s="15">
        <f t="shared" si="11"/>
        <v>-1.2759368182480602</v>
      </c>
      <c r="J43" s="15">
        <f t="shared" si="11"/>
        <v>-1.2759368182480602</v>
      </c>
      <c r="K43" s="15">
        <f t="shared" si="11"/>
        <v>-1.2759368182480602</v>
      </c>
      <c r="L43" s="15">
        <f t="shared" si="11"/>
        <v>-1.2759368182480602</v>
      </c>
      <c r="M43" s="15">
        <f t="shared" si="11"/>
        <v>-1.2759368182480602</v>
      </c>
      <c r="N43" s="15">
        <f t="shared" si="11"/>
        <v>-1.2759368182480602</v>
      </c>
      <c r="O43" s="15">
        <f t="shared" si="11"/>
        <v>-1.2759368182480602</v>
      </c>
      <c r="P43" s="15">
        <f t="shared" si="11"/>
        <v>-1.2759368182480602</v>
      </c>
      <c r="Q43" s="15">
        <f t="shared" si="11"/>
        <v>-1.2759368182480602</v>
      </c>
      <c r="R43" s="15">
        <f t="shared" si="11"/>
        <v>-1.2759368182480602</v>
      </c>
      <c r="S43" s="15">
        <f t="shared" si="11"/>
        <v>-1.2759368182480602</v>
      </c>
      <c r="T43" s="15">
        <f t="shared" si="11"/>
        <v>-1.2759368182480602</v>
      </c>
      <c r="U43" s="15">
        <f>SUM(U38:U42)</f>
        <v>-1.2759368182480602</v>
      </c>
      <c r="W43" s="42">
        <f t="shared" si="8"/>
        <v>-11.211213676490349</v>
      </c>
      <c r="X43" s="42">
        <f t="shared" si="9"/>
        <v>-1.1543375474250495</v>
      </c>
      <c r="Y43" s="42">
        <f t="shared" si="6"/>
        <v>-1.447567346427646</v>
      </c>
      <c r="Z43" s="30">
        <f t="shared" si="10"/>
        <v>1</v>
      </c>
    </row>
    <row r="44" spans="2:26" x14ac:dyDescent="0.3"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W44" s="42"/>
      <c r="X44" s="42"/>
      <c r="Y44" s="42"/>
    </row>
    <row r="45" spans="2:26" x14ac:dyDescent="0.3">
      <c r="B45" s="88" t="s">
        <v>155</v>
      </c>
      <c r="C45" s="55"/>
      <c r="D45" s="55"/>
      <c r="E45" s="55"/>
      <c r="F45" s="15">
        <f>F36+F43</f>
        <v>-0.92647886852631567</v>
      </c>
      <c r="G45" s="15">
        <f t="shared" ref="G45:U45" si="12">G36+G43</f>
        <v>-13.864523503641525</v>
      </c>
      <c r="H45" s="15">
        <f t="shared" si="12"/>
        <v>-14.289835776390879</v>
      </c>
      <c r="I45" s="15">
        <f t="shared" si="12"/>
        <v>-14.715148049140232</v>
      </c>
      <c r="J45" s="15">
        <f t="shared" si="12"/>
        <v>-1.2759368182480602</v>
      </c>
      <c r="K45" s="15">
        <f t="shared" si="12"/>
        <v>-1.2759368182480602</v>
      </c>
      <c r="L45" s="15">
        <f t="shared" si="12"/>
        <v>-1.2759368182480602</v>
      </c>
      <c r="M45" s="15">
        <f t="shared" si="12"/>
        <v>-1.2759368182480602</v>
      </c>
      <c r="N45" s="15">
        <f t="shared" si="12"/>
        <v>-1.2759368182480602</v>
      </c>
      <c r="O45" s="15">
        <f t="shared" si="12"/>
        <v>-1.2759368182480602</v>
      </c>
      <c r="P45" s="15">
        <f t="shared" si="12"/>
        <v>-1.2759368182480602</v>
      </c>
      <c r="Q45" s="15">
        <f t="shared" si="12"/>
        <v>-1.2759368182480602</v>
      </c>
      <c r="R45" s="15">
        <f t="shared" si="12"/>
        <v>-1.2759368182480602</v>
      </c>
      <c r="S45" s="15">
        <f t="shared" si="12"/>
        <v>-1.2759368182480602</v>
      </c>
      <c r="T45" s="15">
        <f t="shared" si="12"/>
        <v>-1.2759368182480602</v>
      </c>
      <c r="U45" s="15">
        <f t="shared" si="12"/>
        <v>-1.2759368182480602</v>
      </c>
      <c r="W45" s="42">
        <f>NPV($D$67,G45:U45)+F45</f>
        <v>-48.060864756530457</v>
      </c>
      <c r="X45" s="42">
        <f>PMT($D$67,15,-W45)</f>
        <v>-4.9484794734148529</v>
      </c>
      <c r="Y45" s="42">
        <f t="shared" si="6"/>
        <v>-6.2055135572447622</v>
      </c>
    </row>
    <row r="46" spans="2:26" x14ac:dyDescent="0.3">
      <c r="B46" s="9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W46" s="42"/>
      <c r="X46" s="42"/>
      <c r="Y46" s="42"/>
    </row>
    <row r="47" spans="2:26" x14ac:dyDescent="0.3">
      <c r="B47" s="74" t="s">
        <v>120</v>
      </c>
      <c r="C47" s="44" t="s">
        <v>112</v>
      </c>
      <c r="D47" s="45"/>
      <c r="E47" s="45"/>
      <c r="F47" s="8">
        <v>0</v>
      </c>
      <c r="G47" s="8">
        <f>(CB_SMI_Mixto_EXT_BAJA!C18/1000000)*G$25</f>
        <v>0</v>
      </c>
      <c r="H47" s="8">
        <f>(CB_SMI_Mixto_EXT_BAJA!D18/1000000)*H$25</f>
        <v>0</v>
      </c>
      <c r="I47" s="8">
        <f>(CB_SMI_Mixto_EXT_BAJA!E18/1000000)*I$25</f>
        <v>0</v>
      </c>
      <c r="J47" s="8">
        <f>(CB_SMI_Mixto_EXT_BAJA!F18/1000000)*J$25</f>
        <v>0</v>
      </c>
      <c r="K47" s="8">
        <f>(CB_SMI_Mixto_EXT_BAJA!G18/1000000)*K$25</f>
        <v>0</v>
      </c>
      <c r="L47" s="8">
        <f>(CB_SMI_Mixto_EXT_BAJA!H18/1000000)*L$25</f>
        <v>0</v>
      </c>
      <c r="M47" s="8">
        <f>(CB_SMI_Mixto_EXT_BAJA!I18/1000000)*M$25</f>
        <v>0</v>
      </c>
      <c r="N47" s="8">
        <f>(CB_SMI_Mixto_EXT_BAJA!J18/1000000)*N$25</f>
        <v>0</v>
      </c>
      <c r="O47" s="8">
        <f>(CB_SMI_Mixto_EXT_BAJA!K18/1000000)*O$25</f>
        <v>0</v>
      </c>
      <c r="P47" s="8">
        <f>(CB_SMI_Mixto_EXT_BAJA!L18/1000000)*P$25</f>
        <v>0</v>
      </c>
      <c r="Q47" s="8">
        <f>(CB_SMI_Mixto_EXT_BAJA!M18/1000000)*Q$25</f>
        <v>0</v>
      </c>
      <c r="R47" s="8">
        <f>(CB_SMI_Mixto_EXT_BAJA!N18/1000000)*R$25</f>
        <v>0</v>
      </c>
      <c r="S47" s="8">
        <f>(CB_SMI_Mixto_EXT_BAJA!O18/1000000)*S$25</f>
        <v>0</v>
      </c>
      <c r="T47" s="8">
        <f>(CB_SMI_Mixto_EXT_BAJA!P18/1000000)*T$25</f>
        <v>0</v>
      </c>
      <c r="U47" s="8">
        <f>(CB_SMI_Mixto_EXT_BAJA!Q18/1000000)*U$25</f>
        <v>0</v>
      </c>
      <c r="V47" s="30">
        <f>U47/$U$56</f>
        <v>0</v>
      </c>
      <c r="W47" s="42">
        <f>NPV($D$67,G47:U47)+F47</f>
        <v>0</v>
      </c>
      <c r="X47" s="42">
        <f t="shared" ref="X47:X56" si="13">PMT($D$67,15,-W47)</f>
        <v>0</v>
      </c>
      <c r="Y47" s="42">
        <f>W47*1000000/7744865</f>
        <v>0</v>
      </c>
      <c r="Z47" s="30">
        <f>W47/$W$56</f>
        <v>0</v>
      </c>
    </row>
    <row r="48" spans="2:26" x14ac:dyDescent="0.3">
      <c r="B48" s="75"/>
      <c r="C48" s="44" t="s">
        <v>62</v>
      </c>
      <c r="D48" s="45"/>
      <c r="E48" s="45"/>
      <c r="F48" s="8">
        <v>0</v>
      </c>
      <c r="G48" s="8">
        <f>(CB_SMI_Mixto_EXT_BAJA!C19/1000000)*G$25</f>
        <v>0</v>
      </c>
      <c r="H48" s="8">
        <f>(CB_SMI_Mixto_EXT_BAJA!D19/1000000)*H$25</f>
        <v>0</v>
      </c>
      <c r="I48" s="8">
        <f>(CB_SMI_Mixto_EXT_BAJA!E19/1000000)*I$25</f>
        <v>0</v>
      </c>
      <c r="J48" s="8">
        <f>(CB_SMI_Mixto_EXT_BAJA!F19/1000000)*J$25</f>
        <v>0</v>
      </c>
      <c r="K48" s="8">
        <f>(CB_SMI_Mixto_EXT_BAJA!G19/1000000)*K$25</f>
        <v>0</v>
      </c>
      <c r="L48" s="8">
        <f>(CB_SMI_Mixto_EXT_BAJA!H19/1000000)*L$25</f>
        <v>0</v>
      </c>
      <c r="M48" s="8">
        <f>(CB_SMI_Mixto_EXT_BAJA!I19/1000000)*M$25</f>
        <v>0</v>
      </c>
      <c r="N48" s="8">
        <f>(CB_SMI_Mixto_EXT_BAJA!J19/1000000)*N$25</f>
        <v>0</v>
      </c>
      <c r="O48" s="8">
        <f>(CB_SMI_Mixto_EXT_BAJA!K19/1000000)*O$25</f>
        <v>0</v>
      </c>
      <c r="P48" s="8">
        <f>(CB_SMI_Mixto_EXT_BAJA!L19/1000000)*P$25</f>
        <v>0</v>
      </c>
      <c r="Q48" s="8">
        <f>(CB_SMI_Mixto_EXT_BAJA!M19/1000000)*Q$25</f>
        <v>0</v>
      </c>
      <c r="R48" s="8">
        <f>(CB_SMI_Mixto_EXT_BAJA!N19/1000000)*R$25</f>
        <v>0</v>
      </c>
      <c r="S48" s="8">
        <f>(CB_SMI_Mixto_EXT_BAJA!O19/1000000)*S$25</f>
        <v>0</v>
      </c>
      <c r="T48" s="8">
        <f>(CB_SMI_Mixto_EXT_BAJA!P19/1000000)*T$25</f>
        <v>0</v>
      </c>
      <c r="U48" s="8">
        <f>(CB_SMI_Mixto_EXT_BAJA!Q19/1000000)*U$25</f>
        <v>0</v>
      </c>
      <c r="V48" s="30">
        <f t="shared" ref="V48:V55" si="14">U48/$U$56</f>
        <v>0</v>
      </c>
      <c r="W48" s="42">
        <f t="shared" ref="W48:W55" si="15">NPV($D$67,G48:U48)+F48</f>
        <v>0</v>
      </c>
      <c r="X48" s="42">
        <f t="shared" si="13"/>
        <v>0</v>
      </c>
      <c r="Y48" s="42">
        <f t="shared" si="6"/>
        <v>0</v>
      </c>
      <c r="Z48" s="30">
        <f t="shared" ref="Z48:Z56" si="16">W48/$W$56</f>
        <v>0</v>
      </c>
    </row>
    <row r="49" spans="2:26" x14ac:dyDescent="0.3">
      <c r="B49" s="75"/>
      <c r="C49" s="44" t="s">
        <v>95</v>
      </c>
      <c r="D49" s="45"/>
      <c r="E49" s="45"/>
      <c r="F49" s="8">
        <v>0</v>
      </c>
      <c r="G49" s="8">
        <f>(CB_SMI_Mixto_EXT_BAJA!C20/1000000)*G$25</f>
        <v>0</v>
      </c>
      <c r="H49" s="8">
        <f>(CB_SMI_Mixto_EXT_BAJA!D20/1000000)*H$25</f>
        <v>0</v>
      </c>
      <c r="I49" s="8">
        <f>(CB_SMI_Mixto_EXT_BAJA!E20/1000000)*I$25</f>
        <v>0</v>
      </c>
      <c r="J49" s="8">
        <f>(CB_SMI_Mixto_EXT_BAJA!F20/1000000)*J$25</f>
        <v>0</v>
      </c>
      <c r="K49" s="8">
        <f>(CB_SMI_Mixto_EXT_BAJA!G20/1000000)*K$25</f>
        <v>0</v>
      </c>
      <c r="L49" s="8">
        <f>(CB_SMI_Mixto_EXT_BAJA!H20/1000000)*L$25</f>
        <v>0</v>
      </c>
      <c r="M49" s="8">
        <f>(CB_SMI_Mixto_EXT_BAJA!I20/1000000)*M$25</f>
        <v>0</v>
      </c>
      <c r="N49" s="8">
        <f>(CB_SMI_Mixto_EXT_BAJA!J20/1000000)*N$25</f>
        <v>0</v>
      </c>
      <c r="O49" s="8">
        <f>(CB_SMI_Mixto_EXT_BAJA!K20/1000000)*O$25</f>
        <v>0</v>
      </c>
      <c r="P49" s="8">
        <f>(CB_SMI_Mixto_EXT_BAJA!L20/1000000)*P$25</f>
        <v>0</v>
      </c>
      <c r="Q49" s="8">
        <f>(CB_SMI_Mixto_EXT_BAJA!M20/1000000)*Q$25</f>
        <v>0</v>
      </c>
      <c r="R49" s="8">
        <f>(CB_SMI_Mixto_EXT_BAJA!N20/1000000)*R$25</f>
        <v>0</v>
      </c>
      <c r="S49" s="8">
        <f>(CB_SMI_Mixto_EXT_BAJA!O20/1000000)*S$25</f>
        <v>0</v>
      </c>
      <c r="T49" s="8">
        <f>(CB_SMI_Mixto_EXT_BAJA!P20/1000000)*T$25</f>
        <v>0</v>
      </c>
      <c r="U49" s="8">
        <f>(CB_SMI_Mixto_EXT_BAJA!Q20/1000000)*U$25</f>
        <v>0</v>
      </c>
      <c r="V49" s="30">
        <f t="shared" si="14"/>
        <v>0</v>
      </c>
      <c r="W49" s="42">
        <f t="shared" si="15"/>
        <v>0</v>
      </c>
      <c r="X49" s="42">
        <f t="shared" si="13"/>
        <v>0</v>
      </c>
      <c r="Y49" s="42">
        <f t="shared" si="6"/>
        <v>0</v>
      </c>
      <c r="Z49" s="30">
        <f t="shared" si="16"/>
        <v>0</v>
      </c>
    </row>
    <row r="50" spans="2:26" x14ac:dyDescent="0.3">
      <c r="B50" s="75"/>
      <c r="C50" s="44" t="s">
        <v>96</v>
      </c>
      <c r="D50" s="45"/>
      <c r="E50" s="45"/>
      <c r="F50" s="8">
        <v>0</v>
      </c>
      <c r="G50" s="8">
        <f>(CB_SMI_Mixto_EXT_BAJA!C21/1000000)*G$25</f>
        <v>5.6656597077533191E-2</v>
      </c>
      <c r="H50" s="8">
        <f>(CB_SMI_Mixto_EXT_BAJA!D21/1000000)*H$25</f>
        <v>0.11331319415506637</v>
      </c>
      <c r="I50" s="8">
        <f>(CB_SMI_Mixto_EXT_BAJA!E21/1000000)*I$25</f>
        <v>0.16996979123259956</v>
      </c>
      <c r="J50" s="8">
        <f>(CB_SMI_Mixto_EXT_BAJA!F21/1000000)*J$25</f>
        <v>0.16996979123259959</v>
      </c>
      <c r="K50" s="8">
        <f>(CB_SMI_Mixto_EXT_BAJA!G21/1000000)*K$25</f>
        <v>0.16996979123259959</v>
      </c>
      <c r="L50" s="8">
        <f>(CB_SMI_Mixto_EXT_BAJA!H21/1000000)*L$25</f>
        <v>0.16996979123259959</v>
      </c>
      <c r="M50" s="8">
        <f>(CB_SMI_Mixto_EXT_BAJA!I21/1000000)*M$25</f>
        <v>0.16996979123259959</v>
      </c>
      <c r="N50" s="8">
        <f>(CB_SMI_Mixto_EXT_BAJA!J21/1000000)*N$25</f>
        <v>0.16996979123259959</v>
      </c>
      <c r="O50" s="8">
        <f>(CB_SMI_Mixto_EXT_BAJA!K21/1000000)*O$25</f>
        <v>0.16996979123259959</v>
      </c>
      <c r="P50" s="8">
        <f>(CB_SMI_Mixto_EXT_BAJA!L21/1000000)*P$25</f>
        <v>0.16996979123259959</v>
      </c>
      <c r="Q50" s="8">
        <f>(CB_SMI_Mixto_EXT_BAJA!M21/1000000)*Q$25</f>
        <v>0.16996979123259959</v>
      </c>
      <c r="R50" s="8">
        <f>(CB_SMI_Mixto_EXT_BAJA!N21/1000000)*R$25</f>
        <v>0.16996979123259959</v>
      </c>
      <c r="S50" s="8">
        <f>(CB_SMI_Mixto_EXT_BAJA!O21/1000000)*S$25</f>
        <v>0.16996979123259959</v>
      </c>
      <c r="T50" s="8">
        <f>(CB_SMI_Mixto_EXT_BAJA!P21/1000000)*T$25</f>
        <v>0.16996979123259959</v>
      </c>
      <c r="U50" s="8">
        <f>(CB_SMI_Mixto_EXT_BAJA!Q21/1000000)*U$25</f>
        <v>0.16996979123259959</v>
      </c>
      <c r="V50" s="30">
        <f t="shared" si="14"/>
        <v>3.2520695961164303E-2</v>
      </c>
      <c r="W50" s="42">
        <f t="shared" si="15"/>
        <v>1.493465523374105</v>
      </c>
      <c r="X50" s="42">
        <f t="shared" si="13"/>
        <v>0.15377133815856553</v>
      </c>
      <c r="Y50" s="42">
        <f t="shared" si="6"/>
        <v>0.19283299623351793</v>
      </c>
      <c r="Z50" s="30">
        <f t="shared" si="16"/>
        <v>3.316833133624205E-2</v>
      </c>
    </row>
    <row r="51" spans="2:26" x14ac:dyDescent="0.3">
      <c r="B51" s="75"/>
      <c r="C51" s="44" t="s">
        <v>140</v>
      </c>
      <c r="D51" s="45"/>
      <c r="E51" s="45"/>
      <c r="F51" s="8">
        <v>0</v>
      </c>
      <c r="G51" s="8">
        <f>(CB_SMI_Mixto_EXT_BAJA!C22/1000000)*G$25</f>
        <v>0</v>
      </c>
      <c r="H51" s="8">
        <f>(CB_SMI_Mixto_EXT_BAJA!D22/1000000)*H$25</f>
        <v>0</v>
      </c>
      <c r="I51" s="8">
        <f>(CB_SMI_Mixto_EXT_BAJA!E22/1000000)*I$25</f>
        <v>0</v>
      </c>
      <c r="J51" s="8">
        <f>(CB_SMI_Mixto_EXT_BAJA!F22/1000000)*J$25</f>
        <v>0</v>
      </c>
      <c r="K51" s="8">
        <f>(CB_SMI_Mixto_EXT_BAJA!G22/1000000)*K$25</f>
        <v>0</v>
      </c>
      <c r="L51" s="8">
        <f>(CB_SMI_Mixto_EXT_BAJA!H22/1000000)*L$25</f>
        <v>0</v>
      </c>
      <c r="M51" s="8">
        <f>(CB_SMI_Mixto_EXT_BAJA!I22/1000000)*M$25</f>
        <v>0</v>
      </c>
      <c r="N51" s="8">
        <f>(CB_SMI_Mixto_EXT_BAJA!J22/1000000)*N$25</f>
        <v>0</v>
      </c>
      <c r="O51" s="8">
        <f>(CB_SMI_Mixto_EXT_BAJA!K22/1000000)*O$25</f>
        <v>0</v>
      </c>
      <c r="P51" s="8">
        <f>(CB_SMI_Mixto_EXT_BAJA!L22/1000000)*P$25</f>
        <v>0</v>
      </c>
      <c r="Q51" s="8">
        <f>(CB_SMI_Mixto_EXT_BAJA!M22/1000000)*Q$25</f>
        <v>0</v>
      </c>
      <c r="R51" s="8">
        <f>(CB_SMI_Mixto_EXT_BAJA!N22/1000000)*R$25</f>
        <v>0</v>
      </c>
      <c r="S51" s="8">
        <f>(CB_SMI_Mixto_EXT_BAJA!O22/1000000)*S$25</f>
        <v>0</v>
      </c>
      <c r="T51" s="8">
        <f>(CB_SMI_Mixto_EXT_BAJA!P22/1000000)*T$25</f>
        <v>0</v>
      </c>
      <c r="U51" s="8">
        <f>(CB_SMI_Mixto_EXT_BAJA!Q22/1000000)*U$25</f>
        <v>0</v>
      </c>
      <c r="V51" s="30">
        <f t="shared" si="14"/>
        <v>0</v>
      </c>
      <c r="W51" s="42">
        <f t="shared" si="15"/>
        <v>0</v>
      </c>
      <c r="X51" s="42">
        <f t="shared" si="13"/>
        <v>0</v>
      </c>
      <c r="Y51" s="42">
        <f t="shared" si="6"/>
        <v>0</v>
      </c>
      <c r="Z51" s="30">
        <f t="shared" si="16"/>
        <v>0</v>
      </c>
    </row>
    <row r="52" spans="2:26" x14ac:dyDescent="0.3">
      <c r="B52" s="75"/>
      <c r="C52" s="44" t="s">
        <v>98</v>
      </c>
      <c r="D52" s="45"/>
      <c r="E52" s="45"/>
      <c r="F52" s="8">
        <v>0</v>
      </c>
      <c r="G52" s="8">
        <f>(CB_SMI_Mixto_EXT_BAJA!C23/1000000)*G$25</f>
        <v>0</v>
      </c>
      <c r="H52" s="8">
        <f>(CB_SMI_Mixto_EXT_BAJA!D23/1000000)*H$25</f>
        <v>0</v>
      </c>
      <c r="I52" s="8">
        <f>(CB_SMI_Mixto_EXT_BAJA!E23/1000000)*I$25</f>
        <v>0</v>
      </c>
      <c r="J52" s="8">
        <f>(CB_SMI_Mixto_EXT_BAJA!F23/1000000)*J$25</f>
        <v>0</v>
      </c>
      <c r="K52" s="8">
        <f>(CB_SMI_Mixto_EXT_BAJA!G23/1000000)*K$25</f>
        <v>0</v>
      </c>
      <c r="L52" s="8">
        <f>(CB_SMI_Mixto_EXT_BAJA!H23/1000000)*L$25</f>
        <v>0</v>
      </c>
      <c r="M52" s="8">
        <f>(CB_SMI_Mixto_EXT_BAJA!I23/1000000)*M$25</f>
        <v>0</v>
      </c>
      <c r="N52" s="8">
        <f>(CB_SMI_Mixto_EXT_BAJA!J23/1000000)*N$25</f>
        <v>0</v>
      </c>
      <c r="O52" s="8">
        <f>(CB_SMI_Mixto_EXT_BAJA!K23/1000000)*O$25</f>
        <v>0</v>
      </c>
      <c r="P52" s="8">
        <f>(CB_SMI_Mixto_EXT_BAJA!L23/1000000)*P$25</f>
        <v>0</v>
      </c>
      <c r="Q52" s="8">
        <f>(CB_SMI_Mixto_EXT_BAJA!M23/1000000)*Q$25</f>
        <v>0</v>
      </c>
      <c r="R52" s="8">
        <f>(CB_SMI_Mixto_EXT_BAJA!N23/1000000)*R$25</f>
        <v>0</v>
      </c>
      <c r="S52" s="8">
        <f>(CB_SMI_Mixto_EXT_BAJA!O23/1000000)*S$25</f>
        <v>0</v>
      </c>
      <c r="T52" s="8">
        <f>(CB_SMI_Mixto_EXT_BAJA!P23/1000000)*T$25</f>
        <v>0</v>
      </c>
      <c r="U52" s="8">
        <f>(CB_SMI_Mixto_EXT_BAJA!Q23/1000000)*U$25</f>
        <v>0</v>
      </c>
      <c r="V52" s="30">
        <f t="shared" si="14"/>
        <v>0</v>
      </c>
      <c r="W52" s="42">
        <f t="shared" si="15"/>
        <v>0</v>
      </c>
      <c r="X52" s="42">
        <f t="shared" si="13"/>
        <v>0</v>
      </c>
      <c r="Y52" s="42">
        <f t="shared" si="6"/>
        <v>0</v>
      </c>
      <c r="Z52" s="30">
        <f t="shared" si="16"/>
        <v>0</v>
      </c>
    </row>
    <row r="53" spans="2:26" x14ac:dyDescent="0.3">
      <c r="B53" s="75"/>
      <c r="C53" s="44" t="s">
        <v>63</v>
      </c>
      <c r="D53" s="45"/>
      <c r="E53" s="45"/>
      <c r="F53" s="8">
        <v>0</v>
      </c>
      <c r="G53" s="8">
        <f>(CB_SMI_Mixto_EXT_BAJA!C24/1000000)*G$25</f>
        <v>0</v>
      </c>
      <c r="H53" s="8">
        <f>(CB_SMI_Mixto_EXT_BAJA!D24/1000000)*H$25</f>
        <v>0</v>
      </c>
      <c r="I53" s="8">
        <f>(CB_SMI_Mixto_EXT_BAJA!E24/1000000)*I$25</f>
        <v>0</v>
      </c>
      <c r="J53" s="8">
        <f>(CB_SMI_Mixto_EXT_BAJA!F24/1000000)*J$25</f>
        <v>0</v>
      </c>
      <c r="K53" s="8">
        <f>(CB_SMI_Mixto_EXT_BAJA!G24/1000000)*K$25</f>
        <v>0</v>
      </c>
      <c r="L53" s="8">
        <f>(CB_SMI_Mixto_EXT_BAJA!H24/1000000)*L$25</f>
        <v>0</v>
      </c>
      <c r="M53" s="8">
        <f>(CB_SMI_Mixto_EXT_BAJA!I24/1000000)*M$25</f>
        <v>0</v>
      </c>
      <c r="N53" s="8">
        <f>(CB_SMI_Mixto_EXT_BAJA!J24/1000000)*N$25</f>
        <v>0</v>
      </c>
      <c r="O53" s="8">
        <f>(CB_SMI_Mixto_EXT_BAJA!K24/1000000)*O$25</f>
        <v>0</v>
      </c>
      <c r="P53" s="8">
        <f>(CB_SMI_Mixto_EXT_BAJA!L24/1000000)*P$25</f>
        <v>0</v>
      </c>
      <c r="Q53" s="8">
        <f>(CB_SMI_Mixto_EXT_BAJA!M24/1000000)*Q$25</f>
        <v>0</v>
      </c>
      <c r="R53" s="8">
        <f>(CB_SMI_Mixto_EXT_BAJA!N24/1000000)*R$25</f>
        <v>0</v>
      </c>
      <c r="S53" s="8">
        <f>(CB_SMI_Mixto_EXT_BAJA!O24/1000000)*S$25</f>
        <v>0</v>
      </c>
      <c r="T53" s="8">
        <f>(CB_SMI_Mixto_EXT_BAJA!P24/1000000)*T$25</f>
        <v>0</v>
      </c>
      <c r="U53" s="8">
        <f>(CB_SMI_Mixto_EXT_BAJA!Q24/1000000)*U$25</f>
        <v>0</v>
      </c>
      <c r="V53" s="30">
        <f t="shared" si="14"/>
        <v>0</v>
      </c>
      <c r="W53" s="42">
        <f t="shared" si="15"/>
        <v>0</v>
      </c>
      <c r="X53" s="42">
        <f t="shared" si="13"/>
        <v>0</v>
      </c>
      <c r="Y53" s="42">
        <f t="shared" si="6"/>
        <v>0</v>
      </c>
      <c r="Z53" s="30">
        <f t="shared" si="16"/>
        <v>0</v>
      </c>
    </row>
    <row r="54" spans="2:26" x14ac:dyDescent="0.3">
      <c r="B54" s="75"/>
      <c r="C54" s="44" t="s">
        <v>99</v>
      </c>
      <c r="D54" s="45"/>
      <c r="E54" s="45"/>
      <c r="F54" s="8">
        <v>0</v>
      </c>
      <c r="G54" s="8">
        <f>(CB_SMI_Mixto_EXT_BAJA!C25/1000000)*G$25</f>
        <v>0</v>
      </c>
      <c r="H54" s="8">
        <f>(CB_SMI_Mixto_EXT_BAJA!D25/1000000)*H$25</f>
        <v>0</v>
      </c>
      <c r="I54" s="8">
        <f>(CB_SMI_Mixto_EXT_BAJA!E25/1000000)*I$25</f>
        <v>0</v>
      </c>
      <c r="J54" s="8">
        <f>(CB_SMI_Mixto_EXT_BAJA!F25/1000000)*J$25</f>
        <v>0</v>
      </c>
      <c r="K54" s="8">
        <f>(CB_SMI_Mixto_EXT_BAJA!G25/1000000)*K$25</f>
        <v>0</v>
      </c>
      <c r="L54" s="8">
        <f>(CB_SMI_Mixto_EXT_BAJA!H25/1000000)*L$25</f>
        <v>0</v>
      </c>
      <c r="M54" s="8">
        <f>(CB_SMI_Mixto_EXT_BAJA!I25/1000000)*M$25</f>
        <v>0</v>
      </c>
      <c r="N54" s="8">
        <f>(CB_SMI_Mixto_EXT_BAJA!J25/1000000)*N$25</f>
        <v>0</v>
      </c>
      <c r="O54" s="8">
        <f>(CB_SMI_Mixto_EXT_BAJA!K25/1000000)*O$25</f>
        <v>0</v>
      </c>
      <c r="P54" s="8">
        <f>(CB_SMI_Mixto_EXT_BAJA!L25/1000000)*P$25</f>
        <v>0</v>
      </c>
      <c r="Q54" s="8">
        <f>(CB_SMI_Mixto_EXT_BAJA!M25/1000000)*Q$25</f>
        <v>0</v>
      </c>
      <c r="R54" s="8">
        <f>(CB_SMI_Mixto_EXT_BAJA!N25/1000000)*R$25</f>
        <v>0</v>
      </c>
      <c r="S54" s="8">
        <f>(CB_SMI_Mixto_EXT_BAJA!O25/1000000)*S$25</f>
        <v>0</v>
      </c>
      <c r="T54" s="8">
        <f>(CB_SMI_Mixto_EXT_BAJA!P25/1000000)*T$25</f>
        <v>0</v>
      </c>
      <c r="U54" s="8">
        <f>(CB_SMI_Mixto_EXT_BAJA!Q25/1000000)*U$25</f>
        <v>0</v>
      </c>
      <c r="V54" s="30">
        <f t="shared" si="14"/>
        <v>0</v>
      </c>
      <c r="W54" s="42">
        <f t="shared" si="15"/>
        <v>0</v>
      </c>
      <c r="X54" s="42">
        <f t="shared" si="13"/>
        <v>0</v>
      </c>
      <c r="Y54" s="42">
        <f t="shared" si="6"/>
        <v>0</v>
      </c>
      <c r="Z54" s="30">
        <f t="shared" si="16"/>
        <v>0</v>
      </c>
    </row>
    <row r="55" spans="2:26" x14ac:dyDescent="0.3">
      <c r="B55" s="75"/>
      <c r="C55" s="44" t="s">
        <v>97</v>
      </c>
      <c r="D55" s="45"/>
      <c r="E55" s="45"/>
      <c r="F55" s="8">
        <v>0</v>
      </c>
      <c r="G55" s="8">
        <f>(CB_SMI_Mixto_EXT_BAJA!C26/1000000)*G$25</f>
        <v>1.6158045600757573</v>
      </c>
      <c r="H55" s="8">
        <f>(CB_SMI_Mixto_EXT_BAJA!D26/1000000)*H$25</f>
        <v>3.2340536810606051</v>
      </c>
      <c r="I55" s="8">
        <f>(CB_SMI_Mixto_EXT_BAJA!E26/1000000)*I$25</f>
        <v>4.9045439956818164</v>
      </c>
      <c r="J55" s="8">
        <f>(CB_SMI_Mixto_EXT_BAJA!F26/1000000)*J$25</f>
        <v>4.9160463984090912</v>
      </c>
      <c r="K55" s="8">
        <f>(CB_SMI_Mixto_EXT_BAJA!G26/1000000)*K$25</f>
        <v>4.9235331397727276</v>
      </c>
      <c r="L55" s="8">
        <f>(CB_SMI_Mixto_EXT_BAJA!H26/1000000)*L$25</f>
        <v>4.9289233863636364</v>
      </c>
      <c r="M55" s="8">
        <f>(CB_SMI_Mixto_EXT_BAJA!I26/1000000)*M$25</f>
        <v>4.9341837252272738</v>
      </c>
      <c r="N55" s="8">
        <f>(CB_SMI_Mixto_EXT_BAJA!J26/1000000)*N$25</f>
        <v>4.9749672615909093</v>
      </c>
      <c r="O55" s="8">
        <f>(CB_SMI_Mixto_EXT_BAJA!K26/1000000)*O$25</f>
        <v>4.9855062995454542</v>
      </c>
      <c r="P55" s="8">
        <f>(CB_SMI_Mixto_EXT_BAJA!L26/1000000)*P$25</f>
        <v>4.9938519834090913</v>
      </c>
      <c r="Q55" s="8">
        <f>(CB_SMI_Mixto_EXT_BAJA!M26/1000000)*Q$25</f>
        <v>5.0022178270454534</v>
      </c>
      <c r="R55" s="8">
        <f>(CB_SMI_Mixto_EXT_BAJA!N26/1000000)*R$25</f>
        <v>5.0121379672727269</v>
      </c>
      <c r="S55" s="8">
        <f>(CB_SMI_Mixto_EXT_BAJA!O26/1000000)*S$25</f>
        <v>5.0268957234090905</v>
      </c>
      <c r="T55" s="8">
        <f>(CB_SMI_Mixto_EXT_BAJA!P26/1000000)*T$25</f>
        <v>5.041696936136363</v>
      </c>
      <c r="U55" s="8">
        <f>(CB_SMI_Mixto_EXT_BAJA!Q26/1000000)*U$25</f>
        <v>5.0565417027272712</v>
      </c>
      <c r="V55" s="30">
        <f t="shared" si="14"/>
        <v>0.96747930403883575</v>
      </c>
      <c r="W55" s="42">
        <f t="shared" si="15"/>
        <v>43.533385789529873</v>
      </c>
      <c r="X55" s="42">
        <f t="shared" si="13"/>
        <v>4.4823177252229289</v>
      </c>
      <c r="Y55" s="42">
        <f t="shared" si="6"/>
        <v>5.6209353926156069</v>
      </c>
      <c r="Z55" s="30">
        <f t="shared" si="16"/>
        <v>0.96683166866375758</v>
      </c>
    </row>
    <row r="56" spans="2:26" x14ac:dyDescent="0.3">
      <c r="B56" s="76"/>
      <c r="C56" s="77" t="s">
        <v>132</v>
      </c>
      <c r="D56" s="77"/>
      <c r="E56" s="77"/>
      <c r="F56" s="14">
        <f t="shared" ref="F56:T56" si="17">SUM(F47:F55)</f>
        <v>0</v>
      </c>
      <c r="G56" s="14">
        <f t="shared" si="17"/>
        <v>1.6724611571532906</v>
      </c>
      <c r="H56" s="14">
        <f t="shared" si="17"/>
        <v>3.3473668752156716</v>
      </c>
      <c r="I56" s="14">
        <f t="shared" si="17"/>
        <v>5.0745137869144159</v>
      </c>
      <c r="J56" s="14">
        <f t="shared" si="17"/>
        <v>5.0860161896416907</v>
      </c>
      <c r="K56" s="14">
        <f t="shared" si="17"/>
        <v>5.093502931005327</v>
      </c>
      <c r="L56" s="14">
        <f t="shared" si="17"/>
        <v>5.0988931775962358</v>
      </c>
      <c r="M56" s="14">
        <f t="shared" si="17"/>
        <v>5.1041535164598733</v>
      </c>
      <c r="N56" s="14">
        <f t="shared" si="17"/>
        <v>5.1449370528235088</v>
      </c>
      <c r="O56" s="14">
        <f t="shared" si="17"/>
        <v>5.1554760907780537</v>
      </c>
      <c r="P56" s="14">
        <f t="shared" si="17"/>
        <v>5.1638217746416908</v>
      </c>
      <c r="Q56" s="14">
        <f t="shared" si="17"/>
        <v>5.1721876182780528</v>
      </c>
      <c r="R56" s="14">
        <f t="shared" si="17"/>
        <v>5.1821077585053263</v>
      </c>
      <c r="S56" s="14">
        <f t="shared" si="17"/>
        <v>5.19686551464169</v>
      </c>
      <c r="T56" s="14">
        <f t="shared" si="17"/>
        <v>5.2116667273689625</v>
      </c>
      <c r="U56" s="14">
        <f>SUM(U47:U55)</f>
        <v>5.2265114939598707</v>
      </c>
      <c r="W56" s="42">
        <f>NPV($D$67,G56:U56)+F56</f>
        <v>45.026851312903993</v>
      </c>
      <c r="X56" s="42">
        <f t="shared" si="13"/>
        <v>4.6360890633814957</v>
      </c>
      <c r="Y56" s="42">
        <f t="shared" si="6"/>
        <v>5.8137683888491267</v>
      </c>
      <c r="Z56" s="30">
        <f t="shared" si="16"/>
        <v>1</v>
      </c>
    </row>
    <row r="58" spans="2:26" x14ac:dyDescent="0.3">
      <c r="B58" s="72" t="s">
        <v>64</v>
      </c>
      <c r="C58" s="73"/>
      <c r="D58" s="73"/>
      <c r="E58" s="73"/>
      <c r="F58" s="31">
        <f>F45+F56</f>
        <v>-0.92647886852631567</v>
      </c>
      <c r="G58" s="31">
        <f>G45+G56</f>
        <v>-12.192062346488235</v>
      </c>
      <c r="H58" s="31">
        <f t="shared" ref="H58:U58" si="18">H45+H56</f>
        <v>-10.942468901175207</v>
      </c>
      <c r="I58" s="31">
        <f t="shared" si="18"/>
        <v>-9.6406342622258165</v>
      </c>
      <c r="J58" s="31">
        <f t="shared" si="18"/>
        <v>3.8100793713936305</v>
      </c>
      <c r="K58" s="31">
        <f t="shared" si="18"/>
        <v>3.8175661127572669</v>
      </c>
      <c r="L58" s="31">
        <f t="shared" si="18"/>
        <v>3.8229563593481757</v>
      </c>
      <c r="M58" s="31">
        <f t="shared" si="18"/>
        <v>3.8282166982118131</v>
      </c>
      <c r="N58" s="31">
        <f t="shared" si="18"/>
        <v>3.8690002345754486</v>
      </c>
      <c r="O58" s="31">
        <f t="shared" si="18"/>
        <v>3.8795392725299935</v>
      </c>
      <c r="P58" s="31">
        <f t="shared" si="18"/>
        <v>3.8878849563936306</v>
      </c>
      <c r="Q58" s="31">
        <f t="shared" si="18"/>
        <v>3.8962508000299927</v>
      </c>
      <c r="R58" s="31">
        <f t="shared" si="18"/>
        <v>3.9061709402572662</v>
      </c>
      <c r="S58" s="31">
        <f t="shared" si="18"/>
        <v>3.9209286963936298</v>
      </c>
      <c r="T58" s="31">
        <f t="shared" si="18"/>
        <v>3.9357299091209024</v>
      </c>
      <c r="U58" s="31">
        <f t="shared" si="18"/>
        <v>3.9505746757118105</v>
      </c>
    </row>
    <row r="60" spans="2:26" x14ac:dyDescent="0.3">
      <c r="B60" s="72" t="s">
        <v>156</v>
      </c>
      <c r="C60" s="73"/>
      <c r="D60" s="73"/>
      <c r="E60" s="73"/>
      <c r="F60" s="31">
        <v>0</v>
      </c>
      <c r="G60" s="31">
        <f>F61</f>
        <v>-0.92647886852631567</v>
      </c>
      <c r="H60" s="31">
        <f t="shared" ref="H60:U60" si="19">G61</f>
        <v>-13.118541215014551</v>
      </c>
      <c r="I60" s="31">
        <f t="shared" si="19"/>
        <v>-24.061010116189756</v>
      </c>
      <c r="J60" s="31">
        <f t="shared" si="19"/>
        <v>-33.701644378415573</v>
      </c>
      <c r="K60" s="31">
        <f t="shared" si="19"/>
        <v>-29.891565007021942</v>
      </c>
      <c r="L60" s="31">
        <f>K61</f>
        <v>-26.073998894264676</v>
      </c>
      <c r="M60" s="31">
        <f t="shared" si="19"/>
        <v>-22.2510425349165</v>
      </c>
      <c r="N60" s="31">
        <f t="shared" si="19"/>
        <v>-18.422825836704689</v>
      </c>
      <c r="O60" s="31">
        <f t="shared" si="19"/>
        <v>-14.55382560212924</v>
      </c>
      <c r="P60" s="31">
        <f t="shared" si="19"/>
        <v>-10.674286329599248</v>
      </c>
      <c r="Q60" s="31">
        <f t="shared" si="19"/>
        <v>-6.7864013732056172</v>
      </c>
      <c r="R60" s="31">
        <f t="shared" si="19"/>
        <v>-2.8901505731756245</v>
      </c>
      <c r="S60" s="31">
        <f t="shared" si="19"/>
        <v>1.0160203670816417</v>
      </c>
      <c r="T60" s="31">
        <f t="shared" si="19"/>
        <v>4.9369490634752715</v>
      </c>
      <c r="U60" s="31">
        <f t="shared" si="19"/>
        <v>8.872678972596173</v>
      </c>
    </row>
    <row r="61" spans="2:26" x14ac:dyDescent="0.3">
      <c r="B61" s="72" t="s">
        <v>109</v>
      </c>
      <c r="C61" s="73"/>
      <c r="D61" s="73"/>
      <c r="E61" s="73"/>
      <c r="F61" s="31">
        <f>F58+F60</f>
        <v>-0.92647886852631567</v>
      </c>
      <c r="G61" s="31">
        <f>G58+G60</f>
        <v>-13.118541215014551</v>
      </c>
      <c r="H61" s="31">
        <f t="shared" ref="H61:U61" si="20">H58+H60</f>
        <v>-24.061010116189756</v>
      </c>
      <c r="I61" s="31">
        <f t="shared" si="20"/>
        <v>-33.701644378415573</v>
      </c>
      <c r="J61" s="31">
        <f t="shared" si="20"/>
        <v>-29.891565007021942</v>
      </c>
      <c r="K61" s="31">
        <f t="shared" si="20"/>
        <v>-26.073998894264676</v>
      </c>
      <c r="L61" s="31">
        <f t="shared" si="20"/>
        <v>-22.2510425349165</v>
      </c>
      <c r="M61" s="31">
        <f t="shared" si="20"/>
        <v>-18.422825836704689</v>
      </c>
      <c r="N61" s="31">
        <f t="shared" si="20"/>
        <v>-14.55382560212924</v>
      </c>
      <c r="O61" s="31">
        <f t="shared" si="20"/>
        <v>-10.674286329599248</v>
      </c>
      <c r="P61" s="31">
        <f t="shared" si="20"/>
        <v>-6.7864013732056172</v>
      </c>
      <c r="Q61" s="31">
        <f t="shared" si="20"/>
        <v>-2.8901505731756245</v>
      </c>
      <c r="R61" s="31">
        <f t="shared" si="20"/>
        <v>1.0160203670816417</v>
      </c>
      <c r="S61" s="31">
        <f t="shared" si="20"/>
        <v>4.9369490634752715</v>
      </c>
      <c r="T61" s="31">
        <f t="shared" si="20"/>
        <v>8.872678972596173</v>
      </c>
      <c r="U61" s="31">
        <f t="shared" si="20"/>
        <v>12.823253648307983</v>
      </c>
    </row>
    <row r="62" spans="2:26" x14ac:dyDescent="0.3"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</row>
    <row r="63" spans="2:26" x14ac:dyDescent="0.3">
      <c r="B63" s="78" t="s">
        <v>157</v>
      </c>
      <c r="C63" s="79"/>
      <c r="D63" s="79"/>
      <c r="E63" s="79"/>
      <c r="F63" s="33">
        <f>F58/(1+0.06)^F27</f>
        <v>-0.92647886852631567</v>
      </c>
      <c r="G63" s="33">
        <f>G58/(1+0.06)^G27</f>
        <v>-11.501945609894561</v>
      </c>
      <c r="H63" s="33">
        <f t="shared" ref="H63:T63" si="21">H58/(1+0.06)^H27</f>
        <v>-9.7387583670124656</v>
      </c>
      <c r="I63" s="33">
        <f t="shared" si="21"/>
        <v>-8.0944624272266825</v>
      </c>
      <c r="J63" s="33">
        <f t="shared" si="21"/>
        <v>3.0179397265147947</v>
      </c>
      <c r="K63" s="33">
        <f t="shared" si="21"/>
        <v>2.8527074782143704</v>
      </c>
      <c r="L63" s="33">
        <f t="shared" si="21"/>
        <v>2.6950333811633871</v>
      </c>
      <c r="M63" s="33">
        <f>M58/(1+0.06)^M27</f>
        <v>2.5459827476335777</v>
      </c>
      <c r="N63" s="33">
        <f t="shared" si="21"/>
        <v>2.4274586118970651</v>
      </c>
      <c r="O63" s="33">
        <f t="shared" si="21"/>
        <v>2.2962933346148939</v>
      </c>
      <c r="P63" s="33">
        <f t="shared" si="21"/>
        <v>2.1709746528970641</v>
      </c>
      <c r="Q63" s="33">
        <f t="shared" si="21"/>
        <v>2.0524963172529218</v>
      </c>
      <c r="R63" s="33">
        <f t="shared" si="21"/>
        <v>1.9412472862026271</v>
      </c>
      <c r="S63" s="33">
        <f t="shared" si="21"/>
        <v>1.8382843762995662</v>
      </c>
      <c r="T63" s="33">
        <f t="shared" si="21"/>
        <v>1.7407771343420975</v>
      </c>
      <c r="U63" s="33">
        <f>U58/(1+0.06)^U27</f>
        <v>1.6484367820011763</v>
      </c>
    </row>
    <row r="64" spans="2:26" x14ac:dyDescent="0.3">
      <c r="B64" s="78" t="s">
        <v>158</v>
      </c>
      <c r="C64" s="79"/>
      <c r="D64" s="79"/>
      <c r="E64" s="79"/>
      <c r="F64" s="33">
        <f>F63</f>
        <v>-0.92647886852631567</v>
      </c>
      <c r="G64" s="33">
        <f>F64+G63</f>
        <v>-12.428424478420876</v>
      </c>
      <c r="H64" s="33">
        <f t="shared" ref="H64:U64" si="22">G64+H63</f>
        <v>-22.167182845433341</v>
      </c>
      <c r="I64" s="33">
        <f t="shared" si="22"/>
        <v>-30.261645272660026</v>
      </c>
      <c r="J64" s="33">
        <f t="shared" si="22"/>
        <v>-27.243705546145232</v>
      </c>
      <c r="K64" s="33">
        <f t="shared" si="22"/>
        <v>-24.390998067930862</v>
      </c>
      <c r="L64" s="33">
        <f t="shared" si="22"/>
        <v>-21.695964686767475</v>
      </c>
      <c r="M64" s="33">
        <f t="shared" si="22"/>
        <v>-19.149981939133898</v>
      </c>
      <c r="N64" s="33">
        <f t="shared" si="22"/>
        <v>-16.722523327236832</v>
      </c>
      <c r="O64" s="33">
        <f t="shared" si="22"/>
        <v>-14.426229992621938</v>
      </c>
      <c r="P64" s="33">
        <f t="shared" si="22"/>
        <v>-12.255255339724874</v>
      </c>
      <c r="Q64" s="33">
        <f t="shared" si="22"/>
        <v>-10.202759022471952</v>
      </c>
      <c r="R64" s="33">
        <f t="shared" si="22"/>
        <v>-8.2615117362693251</v>
      </c>
      <c r="S64" s="33">
        <f t="shared" si="22"/>
        <v>-6.4232273599697587</v>
      </c>
      <c r="T64" s="33">
        <f t="shared" si="22"/>
        <v>-4.6824502256276617</v>
      </c>
      <c r="U64" s="33">
        <f t="shared" si="22"/>
        <v>-3.0340134436264856</v>
      </c>
    </row>
    <row r="67" spans="2:20" x14ac:dyDescent="0.3">
      <c r="B67" s="85" t="s">
        <v>159</v>
      </c>
      <c r="C67" s="85"/>
      <c r="D67" s="34">
        <f>J4</f>
        <v>0.06</v>
      </c>
      <c r="H67" s="93" t="s">
        <v>160</v>
      </c>
      <c r="I67" s="93"/>
      <c r="J67" s="93" t="s">
        <v>161</v>
      </c>
      <c r="K67" s="93"/>
      <c r="L67" s="93" t="s">
        <v>162</v>
      </c>
      <c r="M67" s="93"/>
    </row>
    <row r="68" spans="2:20" x14ac:dyDescent="0.3">
      <c r="B68" s="62"/>
      <c r="C68" s="62"/>
      <c r="F68" s="100" t="s">
        <v>163</v>
      </c>
      <c r="G68" s="100"/>
      <c r="H68" s="94">
        <f>NPV(D67,G45:U45)+F45</f>
        <v>-48.060864756530457</v>
      </c>
      <c r="I68" s="94"/>
      <c r="J68" s="94">
        <f>H68*1000000/$D$77</f>
        <v>-80.934663622881658</v>
      </c>
      <c r="K68" s="94"/>
      <c r="L68" s="95">
        <f>J68*$S$4</f>
        <v>-77645.478893247753</v>
      </c>
      <c r="M68" s="95"/>
      <c r="S68" s="6"/>
      <c r="T68" s="6"/>
    </row>
    <row r="69" spans="2:20" x14ac:dyDescent="0.3">
      <c r="B69" s="80" t="s">
        <v>110</v>
      </c>
      <c r="C69" s="80"/>
      <c r="D69" s="36">
        <f>NPV(D67,G58:U58)+F58</f>
        <v>-3.0340134436264847</v>
      </c>
      <c r="F69" s="101" t="s">
        <v>164</v>
      </c>
      <c r="G69" s="101"/>
      <c r="H69" s="89">
        <f>PMT(D67,15,-H68)</f>
        <v>-4.9484794734148529</v>
      </c>
      <c r="I69" s="89"/>
      <c r="J69" s="94">
        <f>H69*1000000/$D$77</f>
        <v>-8.3332566664053989</v>
      </c>
      <c r="K69" s="94"/>
      <c r="L69" s="90">
        <f t="shared" ref="L69" si="23">J69*$S$4</f>
        <v>-7994.593115482684</v>
      </c>
      <c r="M69" s="90"/>
    </row>
    <row r="70" spans="2:20" x14ac:dyDescent="0.3">
      <c r="B70" s="80" t="s">
        <v>111</v>
      </c>
      <c r="C70" s="80"/>
      <c r="D70" s="37">
        <f>IRR(F58:U58)</f>
        <v>4.4357624498026826E-2</v>
      </c>
      <c r="F70" s="102" t="s">
        <v>165</v>
      </c>
      <c r="G70" s="102"/>
      <c r="H70" s="91">
        <f>H69/12</f>
        <v>-0.41237328945123775</v>
      </c>
      <c r="I70" s="91"/>
      <c r="J70" s="91">
        <f t="shared" ref="J70" si="24">J69/12</f>
        <v>-0.69443805553378324</v>
      </c>
      <c r="K70" s="91"/>
      <c r="L70" s="92">
        <f>L69/12</f>
        <v>-666.21609295689029</v>
      </c>
      <c r="M70" s="92"/>
    </row>
    <row r="71" spans="2:20" x14ac:dyDescent="0.3">
      <c r="B71" s="80" t="s">
        <v>166</v>
      </c>
      <c r="C71" s="80"/>
      <c r="D71" s="38">
        <f>NPV(D67,G56:U56)/-(F36+NPV(D67,G36:U36)+NPV(D67,G43:U43))</f>
        <v>0.93687143460700606</v>
      </c>
      <c r="F71" s="103"/>
      <c r="G71" s="103"/>
      <c r="L71" s="39"/>
      <c r="M71" s="39"/>
    </row>
    <row r="72" spans="2:20" x14ac:dyDescent="0.3">
      <c r="B72" s="62"/>
      <c r="C72" s="62"/>
      <c r="F72" s="104" t="s">
        <v>167</v>
      </c>
      <c r="G72" s="104"/>
      <c r="H72" s="94">
        <f>NPV(D67,G56:U56)+F56</f>
        <v>45.026851312903993</v>
      </c>
      <c r="I72" s="94"/>
      <c r="J72" s="94">
        <f>H72*1000000/$D$77</f>
        <v>75.825374417804625</v>
      </c>
      <c r="K72" s="94"/>
      <c r="L72" s="95">
        <f>J72*$S$4</f>
        <v>72743.831201465044</v>
      </c>
      <c r="M72" s="95"/>
    </row>
    <row r="73" spans="2:20" x14ac:dyDescent="0.3">
      <c r="B73" s="80" t="s">
        <v>168</v>
      </c>
      <c r="C73" s="80"/>
      <c r="D73" s="4">
        <v>2527114</v>
      </c>
      <c r="F73" s="105" t="s">
        <v>169</v>
      </c>
      <c r="G73" s="105"/>
      <c r="H73" s="89">
        <f>PMT(D67,15,-H72)</f>
        <v>4.6360890633814957</v>
      </c>
      <c r="I73" s="89"/>
      <c r="J73" s="94">
        <f>H73*1000000/$D$77</f>
        <v>7.807190128003624</v>
      </c>
      <c r="K73" s="94"/>
      <c r="L73" s="90">
        <f>J73*$S$4</f>
        <v>7489.9059212015572</v>
      </c>
      <c r="M73" s="90"/>
    </row>
    <row r="74" spans="2:20" x14ac:dyDescent="0.3">
      <c r="B74" s="80" t="s">
        <v>170</v>
      </c>
      <c r="C74" s="80"/>
      <c r="D74" s="4">
        <v>2158536</v>
      </c>
      <c r="F74" s="106" t="s">
        <v>171</v>
      </c>
      <c r="G74" s="106"/>
      <c r="H74" s="96">
        <f>H73/12</f>
        <v>0.38634075528179129</v>
      </c>
      <c r="I74" s="96"/>
      <c r="J74" s="96">
        <f t="shared" ref="J74" si="25">J73/12</f>
        <v>0.65059917733363537</v>
      </c>
      <c r="K74" s="96"/>
      <c r="L74" s="97">
        <f>L73/12</f>
        <v>624.15882676679644</v>
      </c>
      <c r="M74" s="97"/>
    </row>
    <row r="75" spans="2:20" x14ac:dyDescent="0.3">
      <c r="B75" s="80" t="s">
        <v>172</v>
      </c>
      <c r="C75" s="80"/>
      <c r="D75" s="4">
        <v>1173397</v>
      </c>
      <c r="F75" s="103"/>
      <c r="G75" s="103"/>
      <c r="L75" s="39"/>
      <c r="M75" s="39"/>
    </row>
    <row r="76" spans="2:20" x14ac:dyDescent="0.3">
      <c r="B76" s="80" t="s">
        <v>173</v>
      </c>
      <c r="C76" s="80"/>
      <c r="D76" s="4">
        <v>1288141</v>
      </c>
      <c r="F76" s="107" t="s">
        <v>174</v>
      </c>
      <c r="G76" s="107"/>
      <c r="H76" s="94">
        <f>H72+H68</f>
        <v>-3.0340134436264634</v>
      </c>
      <c r="I76" s="94"/>
      <c r="J76" s="94">
        <f>H76*1000000/$D$77</f>
        <v>-5.1092892050770402</v>
      </c>
      <c r="K76" s="94"/>
      <c r="L76" s="95">
        <f>J76*$S$4</f>
        <v>-4901.6476917827094</v>
      </c>
      <c r="M76" s="95"/>
    </row>
    <row r="77" spans="2:20" x14ac:dyDescent="0.3">
      <c r="B77" s="80" t="s">
        <v>175</v>
      </c>
      <c r="C77" s="80"/>
      <c r="D77" s="4">
        <v>593823</v>
      </c>
      <c r="F77" s="108" t="s">
        <v>176</v>
      </c>
      <c r="G77" s="108"/>
      <c r="H77" s="89">
        <f>PMT(D67,15,-H76)</f>
        <v>-0.31239041003335705</v>
      </c>
      <c r="I77" s="89"/>
      <c r="J77" s="94">
        <f>H77*1000000/$D$77</f>
        <v>-0.52606653840177464</v>
      </c>
      <c r="K77" s="94"/>
      <c r="L77" s="90">
        <f>J77*$S$4</f>
        <v>-504.68719428112655</v>
      </c>
      <c r="M77" s="90"/>
    </row>
    <row r="78" spans="2:20" x14ac:dyDescent="0.3">
      <c r="B78" s="62"/>
      <c r="C78" s="62"/>
      <c r="D78" s="35"/>
      <c r="F78" s="109" t="s">
        <v>177</v>
      </c>
      <c r="G78" s="109"/>
      <c r="H78" s="98">
        <f>H77/12</f>
        <v>-2.6032534169446422E-2</v>
      </c>
      <c r="I78" s="98"/>
      <c r="J78" s="98">
        <f t="shared" ref="J78" si="26">J77/12</f>
        <v>-4.3838878200147889E-2</v>
      </c>
      <c r="K78" s="98"/>
      <c r="L78" s="99">
        <f t="shared" ref="L78" si="27">L77/12</f>
        <v>-42.057266190093877</v>
      </c>
      <c r="M78" s="99"/>
    </row>
    <row r="79" spans="2:20" x14ac:dyDescent="0.3">
      <c r="B79" s="86" t="s">
        <v>178</v>
      </c>
      <c r="C79" s="86"/>
      <c r="D79" s="4">
        <f>SUM(D73:D77)</f>
        <v>7741011</v>
      </c>
    </row>
  </sheetData>
  <mergeCells count="131">
    <mergeCell ref="B79:C79"/>
    <mergeCell ref="B78:C78"/>
    <mergeCell ref="F78:G78"/>
    <mergeCell ref="H78:I78"/>
    <mergeCell ref="J78:K78"/>
    <mergeCell ref="L78:M78"/>
    <mergeCell ref="J76:K76"/>
    <mergeCell ref="L76:M76"/>
    <mergeCell ref="B77:C77"/>
    <mergeCell ref="F77:G77"/>
    <mergeCell ref="H77:I77"/>
    <mergeCell ref="J77:K77"/>
    <mergeCell ref="L77:M77"/>
    <mergeCell ref="B75:C75"/>
    <mergeCell ref="F75:G75"/>
    <mergeCell ref="B76:C76"/>
    <mergeCell ref="F76:G76"/>
    <mergeCell ref="H76:I76"/>
    <mergeCell ref="B74:C74"/>
    <mergeCell ref="F74:G74"/>
    <mergeCell ref="H74:I74"/>
    <mergeCell ref="J74:K74"/>
    <mergeCell ref="L74:M74"/>
    <mergeCell ref="J72:K72"/>
    <mergeCell ref="L72:M72"/>
    <mergeCell ref="B73:C73"/>
    <mergeCell ref="F73:G73"/>
    <mergeCell ref="H73:I73"/>
    <mergeCell ref="J73:K73"/>
    <mergeCell ref="L73:M73"/>
    <mergeCell ref="B71:C71"/>
    <mergeCell ref="F71:G71"/>
    <mergeCell ref="B72:C72"/>
    <mergeCell ref="F72:G72"/>
    <mergeCell ref="H72:I72"/>
    <mergeCell ref="B70:C70"/>
    <mergeCell ref="F70:G70"/>
    <mergeCell ref="H70:I70"/>
    <mergeCell ref="J70:K70"/>
    <mergeCell ref="L70:M70"/>
    <mergeCell ref="B69:C69"/>
    <mergeCell ref="F69:G69"/>
    <mergeCell ref="H69:I69"/>
    <mergeCell ref="J69:K69"/>
    <mergeCell ref="L69:M69"/>
    <mergeCell ref="L67:M67"/>
    <mergeCell ref="B68:C68"/>
    <mergeCell ref="F68:G68"/>
    <mergeCell ref="H68:I68"/>
    <mergeCell ref="J68:K68"/>
    <mergeCell ref="L68:M68"/>
    <mergeCell ref="B63:E63"/>
    <mergeCell ref="B64:E64"/>
    <mergeCell ref="B67:C67"/>
    <mergeCell ref="H67:I67"/>
    <mergeCell ref="J67:K67"/>
    <mergeCell ref="L4:P4"/>
    <mergeCell ref="B2:E2"/>
    <mergeCell ref="G2:K2"/>
    <mergeCell ref="B4:C4"/>
    <mergeCell ref="D4:E4"/>
    <mergeCell ref="G4:I4"/>
    <mergeCell ref="B5:C5"/>
    <mergeCell ref="D5:E5"/>
    <mergeCell ref="G5:I5"/>
    <mergeCell ref="L5:P5"/>
    <mergeCell ref="B6:C6"/>
    <mergeCell ref="D6:E6"/>
    <mergeCell ref="G6:I6"/>
    <mergeCell ref="L6:P6"/>
    <mergeCell ref="B14:U14"/>
    <mergeCell ref="B7:C7"/>
    <mergeCell ref="D7:E7"/>
    <mergeCell ref="G7:I7"/>
    <mergeCell ref="L7:P7"/>
    <mergeCell ref="B8:C8"/>
    <mergeCell ref="D8:E8"/>
    <mergeCell ref="G8:I8"/>
    <mergeCell ref="L8:P8"/>
    <mergeCell ref="B9:C9"/>
    <mergeCell ref="D9:E9"/>
    <mergeCell ref="G9:I9"/>
    <mergeCell ref="L9:P9"/>
    <mergeCell ref="B12:D13"/>
    <mergeCell ref="B15:B19"/>
    <mergeCell ref="C15:E15"/>
    <mergeCell ref="C16:U16"/>
    <mergeCell ref="C17:E17"/>
    <mergeCell ref="C18:E18"/>
    <mergeCell ref="C19:E19"/>
    <mergeCell ref="C20:U20"/>
    <mergeCell ref="B21:B25"/>
    <mergeCell ref="C21:E21"/>
    <mergeCell ref="C22:E22"/>
    <mergeCell ref="C23:E23"/>
    <mergeCell ref="C24:E24"/>
    <mergeCell ref="C25:E25"/>
    <mergeCell ref="B26:U26"/>
    <mergeCell ref="B27:D28"/>
    <mergeCell ref="B30:B36"/>
    <mergeCell ref="C30:E30"/>
    <mergeCell ref="C31:E31"/>
    <mergeCell ref="C32:E32"/>
    <mergeCell ref="C33:E33"/>
    <mergeCell ref="C34:E34"/>
    <mergeCell ref="C35:E35"/>
    <mergeCell ref="C36:E36"/>
    <mergeCell ref="B37:U37"/>
    <mergeCell ref="B38:B43"/>
    <mergeCell ref="C38:E38"/>
    <mergeCell ref="C39:E39"/>
    <mergeCell ref="C40:E40"/>
    <mergeCell ref="C41:E41"/>
    <mergeCell ref="C42:E42"/>
    <mergeCell ref="C43:E43"/>
    <mergeCell ref="B58:E58"/>
    <mergeCell ref="B60:E60"/>
    <mergeCell ref="B61:E61"/>
    <mergeCell ref="B44:U44"/>
    <mergeCell ref="B47:B5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B45:E45"/>
  </mergeCells>
  <conditionalFormatting sqref="F30:U36">
    <cfRule type="cellIs" dxfId="7" priority="9" operator="lessThan">
      <formula>0</formula>
    </cfRule>
  </conditionalFormatting>
  <conditionalFormatting sqref="F38:U43">
    <cfRule type="cellIs" dxfId="6" priority="7" operator="lessThan">
      <formula>0</formula>
    </cfRule>
  </conditionalFormatting>
  <conditionalFormatting sqref="F45:U45">
    <cfRule type="cellIs" dxfId="5" priority="5" operator="lessThan">
      <formula>0</formula>
    </cfRule>
  </conditionalFormatting>
  <conditionalFormatting sqref="F47:U56">
    <cfRule type="cellIs" dxfId="4" priority="8" operator="lessThan">
      <formula>0</formula>
    </cfRule>
  </conditionalFormatting>
  <conditionalFormatting sqref="F58:U61">
    <cfRule type="cellIs" dxfId="3" priority="3" operator="lessThan">
      <formula>0</formula>
    </cfRule>
  </conditionalFormatting>
  <conditionalFormatting sqref="F63:U64">
    <cfRule type="cellIs" dxfId="2" priority="2" operator="lessThan">
      <formula>0</formula>
    </cfRule>
  </conditionalFormatting>
  <conditionalFormatting sqref="H68:M69 H70 J70 H72:M73 H74 J74 H76:M78">
    <cfRule type="cellIs" dxfId="1" priority="4" operator="lessThan">
      <formula>0</formula>
    </cfRule>
  </conditionalFormatting>
  <conditionalFormatting sqref="L70 L74">
    <cfRule type="cellIs" dxfId="0" priority="1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6F3480-D9CA-4F76-B8D6-B776F7BC43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Supuestos y Consideraciones</vt:lpstr>
      <vt:lpstr>CB_SMI_Mixto</vt:lpstr>
      <vt:lpstr>Flujo SMI_Mixto</vt:lpstr>
      <vt:lpstr>CB_SMI_Mixto_ALTA</vt:lpstr>
      <vt:lpstr>Flujo SMI_Mixto_ALTA</vt:lpstr>
      <vt:lpstr>CB_SMI_Mixto_MEDIA</vt:lpstr>
      <vt:lpstr>Flujo SMI_Mixto_MEDIA</vt:lpstr>
      <vt:lpstr>CB_SMI_Mixto_BAJA</vt:lpstr>
      <vt:lpstr>Flujo SMI_Mixto_BAJA</vt:lpstr>
      <vt:lpstr>CB_SMI_Mixto_MUY_BAJA</vt:lpstr>
      <vt:lpstr>Flujo SMI_Mixto_MUY_BAJA</vt:lpstr>
      <vt:lpstr>CB_SMI_Mixto_EXT_BAJA</vt:lpstr>
      <vt:lpstr>Flujo SMI_Mixto_EXT_BAJA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Sanhueza</dc:creator>
  <cp:lastModifiedBy>Nicolás Sanhueza</cp:lastModifiedBy>
  <dcterms:created xsi:type="dcterms:W3CDTF">2015-06-05T18:19:34Z</dcterms:created>
  <dcterms:modified xsi:type="dcterms:W3CDTF">2026-02-19T01:10:36Z</dcterms:modified>
</cp:coreProperties>
</file>