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e212a0ac5b1962/Trabajo de Título/Análisis Costo-Beneficio/"/>
    </mc:Choice>
  </mc:AlternateContent>
  <xr:revisionPtr revIDLastSave="5113" documentId="11_AD4D2F04E46CFB4ACB3E206EFD56D1F2693EDF1B" xr6:coauthVersionLast="47" xr6:coauthVersionMax="47" xr10:uidLastSave="{3D72AD20-1B68-4641-BA1E-9E3835AF9FC0}"/>
  <bookViews>
    <workbookView xWindow="-108" yWindow="-108" windowWidth="23256" windowHeight="12456" firstSheet="1" activeTab="2" xr2:uid="{00000000-000D-0000-FFFF-FFFF00000000}"/>
  </bookViews>
  <sheets>
    <sheet name="Supuestos y Consideraciones" sheetId="6" state="hidden" r:id="rId1"/>
    <sheet name="CB_SMMC_Mixto" sheetId="39" r:id="rId2"/>
    <sheet name="Flujo de Caja SMI Mixto 10 años" sheetId="24" r:id="rId3"/>
  </sheets>
  <definedNames>
    <definedName name="DatosExternos_2" localSheetId="1" hidden="1">'CB_SMMC_Mixto'!$A$1:$Q$26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4" l="1"/>
  <c r="F38" i="24"/>
  <c r="G32" i="24"/>
  <c r="F32" i="24"/>
  <c r="F30" i="24"/>
  <c r="H21" i="24"/>
  <c r="G24" i="24"/>
  <c r="F24" i="24"/>
  <c r="G23" i="24"/>
  <c r="G21" i="24"/>
  <c r="F21" i="24"/>
  <c r="I21" i="24"/>
  <c r="J21" i="24"/>
  <c r="N25" i="24" s="1"/>
  <c r="K21" i="24"/>
  <c r="L21" i="24"/>
  <c r="M21" i="24"/>
  <c r="S25" i="24" s="1"/>
  <c r="N21" i="24"/>
  <c r="O21" i="24"/>
  <c r="P21" i="24"/>
  <c r="Q21" i="24"/>
  <c r="R21" i="24"/>
  <c r="S21" i="24"/>
  <c r="T21" i="24"/>
  <c r="U21" i="24"/>
  <c r="F22" i="24"/>
  <c r="H25" i="24" s="1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F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H24" i="24"/>
  <c r="I24" i="24" s="1"/>
  <c r="J24" i="24" s="1"/>
  <c r="K24" i="24" s="1"/>
  <c r="L24" i="24" s="1"/>
  <c r="M24" i="24" s="1"/>
  <c r="N24" i="24" s="1"/>
  <c r="O24" i="24" s="1"/>
  <c r="P24" i="24" s="1"/>
  <c r="Q24" i="24" s="1"/>
  <c r="R24" i="24" s="1"/>
  <c r="S24" i="24" s="1"/>
  <c r="T24" i="24" s="1"/>
  <c r="U24" i="24" s="1"/>
  <c r="F25" i="24"/>
  <c r="G25" i="24"/>
  <c r="T25" i="24"/>
  <c r="U25" i="24"/>
  <c r="P25" i="24" l="1"/>
  <c r="R25" i="24"/>
  <c r="Q25" i="24"/>
  <c r="M25" i="24"/>
  <c r="L25" i="24"/>
  <c r="K25" i="24"/>
  <c r="J25" i="24"/>
  <c r="O25" i="24"/>
  <c r="I25" i="24"/>
  <c r="G30" i="24" l="1"/>
  <c r="U35" i="24" l="1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Y70" i="24"/>
  <c r="S9" i="24" l="1"/>
  <c r="J7" i="24"/>
  <c r="V17" i="24"/>
  <c r="J9" i="24"/>
  <c r="J8" i="24"/>
  <c r="D68" i="24"/>
  <c r="H30" i="24" l="1"/>
  <c r="F42" i="24"/>
  <c r="F50" i="24"/>
  <c r="F55" i="24"/>
  <c r="F39" i="24"/>
  <c r="F40" i="24"/>
  <c r="F41" i="24"/>
  <c r="V21" i="24"/>
  <c r="W35" i="24"/>
  <c r="W34" i="24"/>
  <c r="W33" i="24"/>
  <c r="F36" i="24"/>
  <c r="X34" i="24" l="1"/>
  <c r="Y34" i="24"/>
  <c r="X35" i="24"/>
  <c r="Y35" i="24"/>
  <c r="X33" i="24"/>
  <c r="Y33" i="24"/>
  <c r="F56" i="24"/>
  <c r="F43" i="24"/>
  <c r="F45" i="24" s="1"/>
  <c r="L8" i="24"/>
  <c r="L9" i="24"/>
  <c r="Q31" i="24"/>
  <c r="R31" i="24"/>
  <c r="S31" i="24"/>
  <c r="T31" i="24"/>
  <c r="U31" i="24"/>
  <c r="Q30" i="24"/>
  <c r="R30" i="24"/>
  <c r="S30" i="24"/>
  <c r="T30" i="24"/>
  <c r="U30" i="24"/>
  <c r="F58" i="24" l="1"/>
  <c r="F61" i="24" s="1"/>
  <c r="F63" i="24"/>
  <c r="F64" i="24" s="1"/>
  <c r="L7" i="24"/>
  <c r="G60" i="24" l="1"/>
  <c r="I32" i="24"/>
  <c r="N32" i="24"/>
  <c r="J32" i="24"/>
  <c r="L32" i="24"/>
  <c r="H32" i="24"/>
  <c r="K32" i="24"/>
  <c r="M32" i="24"/>
  <c r="O32" i="24"/>
  <c r="P32" i="24"/>
  <c r="K30" i="24"/>
  <c r="L30" i="24"/>
  <c r="M30" i="24"/>
  <c r="I30" i="24"/>
  <c r="O30" i="24"/>
  <c r="J30" i="24"/>
  <c r="N30" i="24"/>
  <c r="P30" i="24"/>
  <c r="N31" i="24"/>
  <c r="G31" i="24"/>
  <c r="H31" i="24"/>
  <c r="I31" i="24"/>
  <c r="J31" i="24"/>
  <c r="M31" i="24"/>
  <c r="O31" i="24"/>
  <c r="P31" i="24"/>
  <c r="K31" i="24"/>
  <c r="L31" i="24"/>
  <c r="T32" i="24" l="1"/>
  <c r="T36" i="24" s="1"/>
  <c r="U32" i="24"/>
  <c r="U36" i="24" s="1"/>
  <c r="R32" i="24"/>
  <c r="R36" i="24" s="1"/>
  <c r="S32" i="24"/>
  <c r="S36" i="24" s="1"/>
  <c r="Q32" i="24"/>
  <c r="Q36" i="24" s="1"/>
  <c r="W30" i="24"/>
  <c r="W31" i="24"/>
  <c r="O36" i="24"/>
  <c r="H36" i="24"/>
  <c r="M36" i="24"/>
  <c r="G36" i="24"/>
  <c r="P36" i="24"/>
  <c r="N36" i="24"/>
  <c r="J36" i="24"/>
  <c r="I36" i="24"/>
  <c r="L36" i="24"/>
  <c r="K36" i="24"/>
  <c r="W32" i="24" l="1"/>
  <c r="J40" i="24"/>
  <c r="J39" i="24"/>
  <c r="J41" i="24"/>
  <c r="J48" i="24"/>
  <c r="J54" i="24"/>
  <c r="J42" i="24"/>
  <c r="J47" i="24"/>
  <c r="J49" i="24"/>
  <c r="J50" i="24"/>
  <c r="J51" i="24"/>
  <c r="J38" i="24"/>
  <c r="J52" i="24"/>
  <c r="J53" i="24"/>
  <c r="J55" i="24"/>
  <c r="L42" i="24"/>
  <c r="L50" i="24"/>
  <c r="L47" i="24"/>
  <c r="L48" i="24"/>
  <c r="L41" i="24"/>
  <c r="L49" i="24"/>
  <c r="L40" i="24"/>
  <c r="L51" i="24"/>
  <c r="L52" i="24"/>
  <c r="L53" i="24"/>
  <c r="L39" i="24"/>
  <c r="L54" i="24"/>
  <c r="L55" i="24"/>
  <c r="L38" i="24"/>
  <c r="Y31" i="24"/>
  <c r="X31" i="24"/>
  <c r="K41" i="24"/>
  <c r="K42" i="24"/>
  <c r="K40" i="24"/>
  <c r="K47" i="24"/>
  <c r="K49" i="24"/>
  <c r="K48" i="24"/>
  <c r="K39" i="24"/>
  <c r="K50" i="24"/>
  <c r="K51" i="24"/>
  <c r="K38" i="24"/>
  <c r="K52" i="24"/>
  <c r="K53" i="24"/>
  <c r="K54" i="24"/>
  <c r="K55" i="24"/>
  <c r="H38" i="24"/>
  <c r="H39" i="24"/>
  <c r="H40" i="24"/>
  <c r="H42" i="24"/>
  <c r="H41" i="24"/>
  <c r="H47" i="24"/>
  <c r="H53" i="24"/>
  <c r="H48" i="24"/>
  <c r="H55" i="24"/>
  <c r="H49" i="24"/>
  <c r="H50" i="24"/>
  <c r="H52" i="24"/>
  <c r="H51" i="24"/>
  <c r="H54" i="24"/>
  <c r="Y30" i="24"/>
  <c r="X30" i="24"/>
  <c r="Q51" i="24"/>
  <c r="Q52" i="24"/>
  <c r="Q53" i="24"/>
  <c r="Q54" i="24"/>
  <c r="Q55" i="24"/>
  <c r="Q41" i="24"/>
  <c r="Q42" i="24"/>
  <c r="Q38" i="24"/>
  <c r="Q39" i="24"/>
  <c r="Q49" i="24"/>
  <c r="Q40" i="24"/>
  <c r="Q48" i="24"/>
  <c r="Q50" i="24"/>
  <c r="Q47" i="24"/>
  <c r="S53" i="24"/>
  <c r="S54" i="24"/>
  <c r="S55" i="24"/>
  <c r="S48" i="24"/>
  <c r="S50" i="24"/>
  <c r="S38" i="24"/>
  <c r="S39" i="24"/>
  <c r="S52" i="24"/>
  <c r="S40" i="24"/>
  <c r="S51" i="24"/>
  <c r="S41" i="24"/>
  <c r="S42" i="24"/>
  <c r="S47" i="24"/>
  <c r="S49" i="24"/>
  <c r="G41" i="24"/>
  <c r="G39" i="24"/>
  <c r="G40" i="24"/>
  <c r="G42" i="24"/>
  <c r="G50" i="24"/>
  <c r="G55" i="24"/>
  <c r="P50" i="24"/>
  <c r="P51" i="24"/>
  <c r="P54" i="24"/>
  <c r="P40" i="24"/>
  <c r="P47" i="24"/>
  <c r="P52" i="24"/>
  <c r="P53" i="24"/>
  <c r="P55" i="24"/>
  <c r="P38" i="24"/>
  <c r="P49" i="24"/>
  <c r="P39" i="24"/>
  <c r="P41" i="24"/>
  <c r="P48" i="24"/>
  <c r="P42" i="24"/>
  <c r="M47" i="24"/>
  <c r="M38" i="24"/>
  <c r="M48" i="24"/>
  <c r="M49" i="24"/>
  <c r="M51" i="24"/>
  <c r="M50" i="24"/>
  <c r="M42" i="24"/>
  <c r="M52" i="24"/>
  <c r="M40" i="24"/>
  <c r="M53" i="24"/>
  <c r="M54" i="24"/>
  <c r="M55" i="24"/>
  <c r="M39" i="24"/>
  <c r="M41" i="24"/>
  <c r="I39" i="24"/>
  <c r="I40" i="24"/>
  <c r="I41" i="24"/>
  <c r="I42" i="24"/>
  <c r="I47" i="24"/>
  <c r="I53" i="24"/>
  <c r="I54" i="24"/>
  <c r="I48" i="24"/>
  <c r="I38" i="24"/>
  <c r="I49" i="24"/>
  <c r="I50" i="24"/>
  <c r="I51" i="24"/>
  <c r="I52" i="24"/>
  <c r="I55" i="24"/>
  <c r="Y32" i="24"/>
  <c r="X32" i="24"/>
  <c r="O49" i="24"/>
  <c r="O53" i="24"/>
  <c r="O42" i="24"/>
  <c r="O50" i="24"/>
  <c r="O40" i="24"/>
  <c r="O47" i="24"/>
  <c r="O51" i="24"/>
  <c r="O52" i="24"/>
  <c r="O48" i="24"/>
  <c r="O54" i="24"/>
  <c r="O55" i="24"/>
  <c r="O39" i="24"/>
  <c r="O38" i="24"/>
  <c r="O41" i="24"/>
  <c r="R52" i="24"/>
  <c r="R47" i="24"/>
  <c r="R51" i="24"/>
  <c r="R53" i="24"/>
  <c r="R54" i="24"/>
  <c r="R55" i="24"/>
  <c r="R42" i="24"/>
  <c r="R38" i="24"/>
  <c r="R50" i="24"/>
  <c r="R39" i="24"/>
  <c r="R40" i="24"/>
  <c r="R49" i="24"/>
  <c r="R41" i="24"/>
  <c r="R48" i="24"/>
  <c r="T54" i="24"/>
  <c r="T52" i="24"/>
  <c r="T55" i="24"/>
  <c r="T38" i="24"/>
  <c r="T48" i="24"/>
  <c r="T51" i="24"/>
  <c r="T39" i="24"/>
  <c r="T53" i="24"/>
  <c r="T40" i="24"/>
  <c r="T41" i="24"/>
  <c r="T42" i="24"/>
  <c r="T49" i="24"/>
  <c r="T47" i="24"/>
  <c r="T50" i="24"/>
  <c r="N48" i="24"/>
  <c r="N38" i="24"/>
  <c r="N49" i="24"/>
  <c r="N50" i="24"/>
  <c r="N42" i="24"/>
  <c r="N51" i="24"/>
  <c r="N52" i="24"/>
  <c r="N53" i="24"/>
  <c r="N39" i="24"/>
  <c r="N54" i="24"/>
  <c r="N55" i="24"/>
  <c r="N40" i="24"/>
  <c r="N41" i="24"/>
  <c r="N47" i="24"/>
  <c r="U55" i="24"/>
  <c r="U49" i="24"/>
  <c r="U39" i="24"/>
  <c r="U38" i="24"/>
  <c r="U40" i="24"/>
  <c r="U53" i="24"/>
  <c r="U41" i="24"/>
  <c r="U42" i="24"/>
  <c r="U50" i="24"/>
  <c r="U52" i="24"/>
  <c r="U54" i="24"/>
  <c r="U47" i="24"/>
  <c r="U48" i="24"/>
  <c r="U51" i="24"/>
  <c r="W36" i="24"/>
  <c r="X36" i="24" l="1"/>
  <c r="Y36" i="24"/>
  <c r="W51" i="24"/>
  <c r="Y51" i="24" s="1"/>
  <c r="W41" i="24"/>
  <c r="W53" i="24"/>
  <c r="W52" i="24"/>
  <c r="Y52" i="24" s="1"/>
  <c r="Z36" i="24"/>
  <c r="Z33" i="24"/>
  <c r="Z34" i="24"/>
  <c r="Z35" i="24"/>
  <c r="Z30" i="24"/>
  <c r="W38" i="24"/>
  <c r="Z32" i="24"/>
  <c r="W49" i="24"/>
  <c r="Y49" i="24" s="1"/>
  <c r="W48" i="24"/>
  <c r="Y48" i="24" s="1"/>
  <c r="W47" i="24"/>
  <c r="W55" i="24"/>
  <c r="Y55" i="24" s="1"/>
  <c r="W42" i="24"/>
  <c r="W40" i="24"/>
  <c r="W54" i="24"/>
  <c r="Y54" i="24" s="1"/>
  <c r="Z31" i="24"/>
  <c r="W50" i="24"/>
  <c r="Y50" i="24" s="1"/>
  <c r="W39" i="24"/>
  <c r="T43" i="24"/>
  <c r="T45" i="24" s="1"/>
  <c r="U43" i="24"/>
  <c r="U45" i="24" s="1"/>
  <c r="U56" i="24"/>
  <c r="T56" i="24"/>
  <c r="S56" i="24"/>
  <c r="S43" i="24"/>
  <c r="S45" i="24" s="1"/>
  <c r="R56" i="24"/>
  <c r="R43" i="24"/>
  <c r="R45" i="24" s="1"/>
  <c r="Q56" i="24"/>
  <c r="Q43" i="24"/>
  <c r="Q45" i="24" s="1"/>
  <c r="N43" i="24"/>
  <c r="N45" i="24" s="1"/>
  <c r="L43" i="24"/>
  <c r="L45" i="24" s="1"/>
  <c r="O56" i="24"/>
  <c r="G56" i="24"/>
  <c r="P43" i="24"/>
  <c r="P45" i="24" s="1"/>
  <c r="J56" i="24"/>
  <c r="I43" i="24"/>
  <c r="I45" i="24" s="1"/>
  <c r="K43" i="24"/>
  <c r="K45" i="24" s="1"/>
  <c r="L56" i="24"/>
  <c r="H43" i="24"/>
  <c r="H45" i="24" s="1"/>
  <c r="K56" i="24"/>
  <c r="P56" i="24"/>
  <c r="M56" i="24"/>
  <c r="I56" i="24"/>
  <c r="O43" i="24"/>
  <c r="O45" i="24" s="1"/>
  <c r="G43" i="24"/>
  <c r="J43" i="24"/>
  <c r="J45" i="24" s="1"/>
  <c r="H56" i="24"/>
  <c r="M43" i="24"/>
  <c r="M45" i="24" s="1"/>
  <c r="N56" i="24"/>
  <c r="S58" i="24" l="1"/>
  <c r="X38" i="24"/>
  <c r="Y38" i="24"/>
  <c r="Y41" i="24"/>
  <c r="X41" i="24"/>
  <c r="V47" i="24"/>
  <c r="V48" i="24" s="1"/>
  <c r="V70" i="24" s="1"/>
  <c r="Y47" i="24"/>
  <c r="X47" i="24"/>
  <c r="Y40" i="24"/>
  <c r="X40" i="24"/>
  <c r="Y42" i="24"/>
  <c r="X42" i="24"/>
  <c r="X39" i="24"/>
  <c r="Y39" i="24"/>
  <c r="V50" i="24"/>
  <c r="V51" i="24" s="1"/>
  <c r="V67" i="24" s="1"/>
  <c r="W67" i="24" s="1"/>
  <c r="Y53" i="24"/>
  <c r="G45" i="24"/>
  <c r="W43" i="24"/>
  <c r="Z42" i="24" s="1"/>
  <c r="X49" i="24"/>
  <c r="X50" i="24"/>
  <c r="X52" i="24"/>
  <c r="Z38" i="24"/>
  <c r="W56" i="24"/>
  <c r="X53" i="24"/>
  <c r="Q58" i="24"/>
  <c r="X54" i="24"/>
  <c r="Z41" i="24"/>
  <c r="X55" i="24"/>
  <c r="X48" i="24"/>
  <c r="M58" i="24"/>
  <c r="X51" i="24"/>
  <c r="R58" i="24"/>
  <c r="I58" i="24"/>
  <c r="I63" i="24" s="1"/>
  <c r="H58" i="24"/>
  <c r="H63" i="24" s="1"/>
  <c r="U58" i="24"/>
  <c r="L58" i="24"/>
  <c r="G71" i="24"/>
  <c r="D72" i="24"/>
  <c r="P58" i="24"/>
  <c r="N58" i="24"/>
  <c r="K58" i="24"/>
  <c r="J58" i="24"/>
  <c r="O58" i="24"/>
  <c r="T58" i="24"/>
  <c r="W45" i="24" l="1"/>
  <c r="G58" i="24"/>
  <c r="G68" i="24"/>
  <c r="H68" i="24" s="1"/>
  <c r="Z53" i="24"/>
  <c r="Y56" i="24"/>
  <c r="W70" i="24"/>
  <c r="V73" i="24" s="1"/>
  <c r="Z47" i="24"/>
  <c r="Z43" i="24"/>
  <c r="Y43" i="24"/>
  <c r="X43" i="24"/>
  <c r="Y45" i="24"/>
  <c r="X45" i="24"/>
  <c r="Z40" i="24"/>
  <c r="X56" i="24"/>
  <c r="Z56" i="24"/>
  <c r="Z51" i="24"/>
  <c r="Z50" i="24"/>
  <c r="Z48" i="24"/>
  <c r="Z55" i="24"/>
  <c r="Z52" i="24"/>
  <c r="Z49" i="24"/>
  <c r="Z54" i="24"/>
  <c r="Z39" i="24"/>
  <c r="G72" i="24"/>
  <c r="H71" i="24"/>
  <c r="D71" i="24"/>
  <c r="G61" i="24"/>
  <c r="J63" i="24"/>
  <c r="G63" i="24" l="1"/>
  <c r="G64" i="24" s="1"/>
  <c r="H64" i="24" s="1"/>
  <c r="I64" i="24" s="1"/>
  <c r="J64" i="24" s="1"/>
  <c r="D70" i="24"/>
  <c r="W58" i="24"/>
  <c r="G74" i="24"/>
  <c r="G75" i="24" s="1"/>
  <c r="G69" i="24"/>
  <c r="H60" i="24"/>
  <c r="K63" i="24"/>
  <c r="K64" i="24" l="1"/>
  <c r="L63" i="24"/>
  <c r="L64" i="24" l="1"/>
  <c r="M63" i="24"/>
  <c r="H61" i="24"/>
  <c r="M64" i="24" l="1"/>
  <c r="I60" i="24"/>
  <c r="I61" i="24" s="1"/>
  <c r="N63" i="24"/>
  <c r="N64" i="24" l="1"/>
  <c r="J60" i="24"/>
  <c r="J61" i="24" s="1"/>
  <c r="O63" i="24"/>
  <c r="K60" i="24" l="1"/>
  <c r="K61" i="24" s="1"/>
  <c r="L60" i="24" s="1"/>
  <c r="L61" i="24" s="1"/>
  <c r="O64" i="24"/>
  <c r="P63" i="24"/>
  <c r="P64" i="24" l="1"/>
  <c r="M60" i="24"/>
  <c r="M61" i="24" s="1"/>
  <c r="N60" i="24" s="1"/>
  <c r="N61" i="24" s="1"/>
  <c r="O60" i="24" s="1"/>
  <c r="O61" i="24" s="1"/>
  <c r="P60" i="24" s="1"/>
  <c r="P61" i="24" s="1"/>
  <c r="Q60" i="24" s="1"/>
  <c r="Q63" i="24"/>
  <c r="Q64" i="24" l="1"/>
  <c r="R63" i="24"/>
  <c r="Q61" i="24"/>
  <c r="R60" i="24" s="1"/>
  <c r="R64" i="24" l="1"/>
  <c r="R61" i="24"/>
  <c r="S60" i="24" s="1"/>
  <c r="S63" i="24"/>
  <c r="S64" i="24" l="1"/>
  <c r="T63" i="24"/>
  <c r="S61" i="24"/>
  <c r="T60" i="24" s="1"/>
  <c r="T64" i="24" l="1"/>
  <c r="T61" i="24"/>
  <c r="U60" i="24" s="1"/>
  <c r="U63" i="24" l="1"/>
  <c r="U64" i="24" l="1"/>
  <c r="U61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28066-2FD9-4926-8F73-20F48C2934B5}" keepAlive="1" name="Consulta - CB_SMI_Celular" description="Conexión a la consulta 'CB_SMI_Celular' en el libro." type="5" refreshedVersion="8" background="1" saveData="1">
    <dbPr connection="Provider=Microsoft.Mashup.OleDb.1;Data Source=$Workbook$;Location=CB_SMI_Celular;Extended Properties=&quot;&quot;" command="SELECT * FROM [CB_SMI_Celular]"/>
  </connection>
  <connection id="2" xr16:uid="{CD4671CB-4487-4346-A134-68A5EE0FC5F3}" keepAlive="1" name="Consulta - CB_SMI_G3-PLC" description="Conexión a la consulta 'CB_SMI_G3-PLC' en el libro." type="5" refreshedVersion="8" background="1" saveData="1">
    <dbPr connection="Provider=Microsoft.Mashup.OleDb.1;Data Source=$Workbook$;Location=CB_SMI_G3-PLC;Extended Properties=&quot;&quot;" command="SELECT * FROM [CB_SMI_G3-PLC]"/>
  </connection>
  <connection id="3" xr16:uid="{0D19D73B-90E0-4AC6-8B7E-2A39200B19D2}" keepAlive="1" name="Consulta - CB_SMI_LoRa" description="Conexión a la consulta 'CB_SMI_LoRa' en el libro." type="5" refreshedVersion="8" background="1" saveData="1">
    <dbPr connection="Provider=Microsoft.Mashup.OleDb.1;Data Source=$Workbook$;Location=CB_SMI_LoRa;Extended Properties=&quot;&quot;" command="SELECT * FROM [CB_SMI_LoRa]"/>
  </connection>
  <connection id="4" xr16:uid="{B5E9FB8A-AB59-464B-8906-FA431F60AACB}" keepAlive="1" name="Consulta - CB_SMI_Mixto" description="Conexión a la consulta 'CB_SMI_Mixto' en el libro." type="5" refreshedVersion="8" background="1" saveData="1">
    <dbPr connection="Provider=Microsoft.Mashup.OleDb.1;Data Source=$Workbook$;Location=CB_SMI_Mixto;Extended Properties=&quot;&quot;" command="SELECT * FROM [CB_SMI_Mixto]"/>
  </connection>
  <connection id="5" xr16:uid="{557A6E04-034C-4043-856D-D9ABD5526AE2}" keepAlive="1" name="Consulta - CB_SMI_Mixto (2)" description="Conexión a la consulta 'CB_SMI_Mixto (2)' en el libro." type="5" refreshedVersion="8" background="1" saveData="1">
    <dbPr connection="Provider=Microsoft.Mashup.OleDb.1;Data Source=$Workbook$;Location=&quot;CB_SMI_Mixto (2)&quot;;Extended Properties=&quot;&quot;" command="SELECT * FROM [CB_SMI_Mixto (2)]"/>
  </connection>
  <connection id="6" xr16:uid="{678FF229-8571-42AB-AA47-77DC09FE6B15}" keepAlive="1" name="Consulta - CB_SMI_PLC" description="Conexión a la consulta 'CB_SMI_PLC' en el libro." type="5" refreshedVersion="8" background="1" saveData="1">
    <dbPr connection="Provider=Microsoft.Mashup.OleDb.1;Data Source=$Workbook$;Location=CB_SMI_PLC;Extended Properties=&quot;&quot;" command="SELECT * FROM [CB_SMI_PLC]"/>
  </connection>
  <connection id="7" xr16:uid="{2870F0F9-E98F-42C2-BAA3-23EC5F9F8353}" keepAlive="1" name="Consulta - CB_SMI_RF" description="Conexión a la consulta 'CB_SMI_RF' en el libro." type="5" refreshedVersion="8" background="1" saveData="1">
    <dbPr connection="Provider=Microsoft.Mashup.OleDb.1;Data Source=$Workbook$;Location=CB_SMI_RF;Extended Properties=&quot;&quot;" command="SELECT * FROM [CB_SMI_RF]"/>
  </connection>
  <connection id="8" xr16:uid="{F455515C-748B-4A31-B72F-9ECE6C941B7B}" keepAlive="1" name="Consulta - CB_SMMC_Mixto" description="Conexión a la consulta 'CB_SMMC_Mixto' en el libro." type="5" refreshedVersion="8" background="1" saveData="1">
    <dbPr connection="Provider=Microsoft.Mashup.OleDb.1;Data Source=$Workbook$;Location=CB_SMMC_Mixto;Extended Properties=&quot;&quot;" command="SELECT * FROM [CB_SMMC_Mixto]"/>
  </connection>
</connections>
</file>

<file path=xl/sharedStrings.xml><?xml version="1.0" encoding="utf-8"?>
<sst xmlns="http://schemas.openxmlformats.org/spreadsheetml/2006/main" count="195" uniqueCount="166">
  <si>
    <t>Supuestos y consideraciones</t>
  </si>
  <si>
    <t>Posibles variables que definen a un escenario</t>
  </si>
  <si>
    <t>2) Tiempo de plazo para el despliegue.</t>
  </si>
  <si>
    <t>1) Extensión del despliegue (% de consumidores).</t>
  </si>
  <si>
    <t>3) Número de funcionalidades del Sistema de Medición Inteligente.</t>
  </si>
  <si>
    <t>4) Densidad de clientes en el despliegue (Urbano vs Rural).</t>
  </si>
  <si>
    <t>Variables</t>
  </si>
  <si>
    <t>Valor</t>
  </si>
  <si>
    <t>Escenario 0 (Caso Base, sin despliegue):</t>
  </si>
  <si>
    <t>Escenario 1:</t>
  </si>
  <si>
    <t>Parámetros relevantes del Sistema Eléctrico en Chile</t>
  </si>
  <si>
    <t>Parámetro</t>
  </si>
  <si>
    <t>Variación proyectada del consumo de energía</t>
  </si>
  <si>
    <t>Variación proyectada de los precios de la energía</t>
  </si>
  <si>
    <t>Transferencia de carga de punta</t>
  </si>
  <si>
    <t>Pérdidas eléctricas en niveles de transmisión y distribución</t>
  </si>
  <si>
    <t>Minutos no suministrados estimados</t>
  </si>
  <si>
    <t>Tasa de descuento</t>
  </si>
  <si>
    <t>Número de medidores inteligentes a instalar</t>
  </si>
  <si>
    <t>Costos de instalación del sistema de medición inteligente</t>
  </si>
  <si>
    <t>Vida útil del sistema de medición inteligente</t>
  </si>
  <si>
    <t>Costos de lectura de medidores</t>
  </si>
  <si>
    <t>Tasa de éxito de telecomunicación</t>
  </si>
  <si>
    <t>Tasa de inflación</t>
  </si>
  <si>
    <t>Reducción de costos asociada a la madurez tecnológica</t>
  </si>
  <si>
    <t>Calendario de implementación</t>
  </si>
  <si>
    <t>Costos de carbono</t>
  </si>
  <si>
    <t>Porcentaje de medidores ubicados en zonas rurales vs urbanas</t>
  </si>
  <si>
    <t>Unidad</t>
  </si>
  <si>
    <t>%</t>
  </si>
  <si>
    <t>Cantidad</t>
  </si>
  <si>
    <t>Valor de Energía No Suministrada; valor del suministro</t>
  </si>
  <si>
    <t>$/kWh</t>
  </si>
  <si>
    <t>$</t>
  </si>
  <si>
    <t>Costos de hardware (p. ej, medidor inteligente, módem GPRS/PLC, etc.)</t>
  </si>
  <si>
    <t>Años</t>
  </si>
  <si>
    <t>$/año</t>
  </si>
  <si>
    <t>Cantidad/año</t>
  </si>
  <si>
    <t>$/ton</t>
  </si>
  <si>
    <t>Comentario</t>
  </si>
  <si>
    <t>Tecnología</t>
  </si>
  <si>
    <t>Supuestos y Consideraciones</t>
  </si>
  <si>
    <t>Dólar</t>
  </si>
  <si>
    <t>UF</t>
  </si>
  <si>
    <t>Vida útil del proyecto</t>
  </si>
  <si>
    <t>años</t>
  </si>
  <si>
    <t>Periodo</t>
  </si>
  <si>
    <t>Año</t>
  </si>
  <si>
    <t>Escenario de implementación</t>
  </si>
  <si>
    <t>Densidad de clientes</t>
  </si>
  <si>
    <t>Alta</t>
  </si>
  <si>
    <t>Media</t>
  </si>
  <si>
    <t>Baja</t>
  </si>
  <si>
    <t>Muy Baja</t>
  </si>
  <si>
    <t>Extremadamente Baja</t>
  </si>
  <si>
    <t>UM 1F</t>
  </si>
  <si>
    <t>UM 3F Directa</t>
  </si>
  <si>
    <t>UM 3F Indirecta</t>
  </si>
  <si>
    <t>DCU</t>
  </si>
  <si>
    <t>SyM Equipos</t>
  </si>
  <si>
    <t>Flujo</t>
  </si>
  <si>
    <t>Concepto</t>
  </si>
  <si>
    <t>Periodo 0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</si>
  <si>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</si>
  <si>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</si>
  <si>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</si>
  <si>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</si>
  <si>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</si>
  <si>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</si>
  <si>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</si>
  <si>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</si>
  <si>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</si>
  <si>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</si>
  <si>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</si>
  <si>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</si>
  <si>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</si>
  <si>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</si>
  <si>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</si>
  <si>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Inversión SGO [USD]</t>
  </si>
  <si>
    <t>Operación Comunicaciones [USD/año]</t>
  </si>
  <si>
    <t>Operación Comunicaciones DCU-SGO [USD/año]</t>
  </si>
  <si>
    <t>Operación SGO [USD/año]</t>
  </si>
  <si>
    <t>Soporte y Mantenimiento Equipos [USD/año]</t>
  </si>
  <si>
    <t>Ahorro en lectura pedestre [USD/año]</t>
  </si>
  <si>
    <t>Ahorro corte y reposición remoto [USD/año]</t>
  </si>
  <si>
    <t>Ahorro reducción de PNT [USD/año]</t>
  </si>
  <si>
    <t>Ahorro por compensación evitada [USD/año]</t>
  </si>
  <si>
    <t>Ahorro reducción del consumo [USD/año]</t>
  </si>
  <si>
    <t>Ahorro reducción emisiones CO2 [USD/año]</t>
  </si>
  <si>
    <t>Ahorro atención al cliente [USD/año]</t>
  </si>
  <si>
    <t>Ahorro por inversión evitada [USD/año]</t>
  </si>
  <si>
    <t>Cantidad UM 1F</t>
  </si>
  <si>
    <t>Cantidad UM 3F Directa</t>
  </si>
  <si>
    <t>Cantidad UM 3F Indirecta</t>
  </si>
  <si>
    <t>Despliegue</t>
  </si>
  <si>
    <t>Meta de despligue</t>
  </si>
  <si>
    <t>UM/año</t>
  </si>
  <si>
    <t>% de avance</t>
  </si>
  <si>
    <t>Flujo Acumulado</t>
  </si>
  <si>
    <t>VAN</t>
  </si>
  <si>
    <t>TIR</t>
  </si>
  <si>
    <t>Energía facturada anual [MWh/año]</t>
  </si>
  <si>
    <t>UM faltantes por instalar</t>
  </si>
  <si>
    <t>UM 1F [N° Equipos]</t>
  </si>
  <si>
    <t>UM 3F Directa [N° Equipos]</t>
  </si>
  <si>
    <t>UM 3F Indirecta [N° Equipos]</t>
  </si>
  <si>
    <t>VI [MUSD]</t>
  </si>
  <si>
    <t>COMA [MUSD]</t>
  </si>
  <si>
    <t>Beneficios [MUSD]</t>
  </si>
  <si>
    <t>Despligue SMI Chile</t>
  </si>
  <si>
    <t>Datos de despliegue</t>
  </si>
  <si>
    <t>VI Total:</t>
  </si>
  <si>
    <t>Flujo de caja [MUSD]</t>
  </si>
  <si>
    <t>UM 1F instalados</t>
  </si>
  <si>
    <t>UM 3F Directa instalados</t>
  </si>
  <si>
    <t>UM 3F Indirecta instalados</t>
  </si>
  <si>
    <t>Objetivo de despligue UM 1F</t>
  </si>
  <si>
    <t>Objetivo de despligue UM 3F Directa</t>
  </si>
  <si>
    <t>Objetivo de despligue UM 3F Indirecta</t>
  </si>
  <si>
    <t>COMA Total:</t>
  </si>
  <si>
    <t>Beneficios Total:</t>
  </si>
  <si>
    <t>Cantidad DCU</t>
  </si>
  <si>
    <t>Inversión UM 1F [USD/equipo]</t>
  </si>
  <si>
    <t>Inversión UM 3F Directa [USD/equipo]</t>
  </si>
  <si>
    <t>Inversión UM 3F Indirecta [USD/equipo]</t>
  </si>
  <si>
    <t>Inversión DCU [USD/equipo]</t>
  </si>
  <si>
    <t>Energía Facturada anual [GWh]</t>
  </si>
  <si>
    <t>Ahorro por gestión del consumo [USD/año]</t>
  </si>
  <si>
    <t>Inversión MDMS [USD]</t>
  </si>
  <si>
    <t>Operación MDMS [USD/año]</t>
  </si>
  <si>
    <t>MDMS</t>
  </si>
  <si>
    <t>Operación MDMS</t>
  </si>
  <si>
    <t>$/USD</t>
  </si>
  <si>
    <t>$/UF</t>
  </si>
  <si>
    <t>G3-PLC</t>
  </si>
  <si>
    <t>RF-Mesh</t>
  </si>
  <si>
    <t>LoRa</t>
  </si>
  <si>
    <t>Operación HES</t>
  </si>
  <si>
    <t>HES</t>
  </si>
  <si>
    <t>B/C</t>
  </si>
  <si>
    <t>Operación Comunicaciones UM - HES</t>
  </si>
  <si>
    <t>Operación Comunicaciones DCU - HES</t>
  </si>
  <si>
    <t>Flujo del periodo anterior</t>
  </si>
  <si>
    <t>Flujo descontado (6%)</t>
  </si>
  <si>
    <t>Flujo Acumulado descontado (6%)</t>
  </si>
  <si>
    <t>2) Corte y Reposición remoto</t>
  </si>
  <si>
    <t>3) Reducción de Pérdidas No Técnicas</t>
  </si>
  <si>
    <t>Costos Totales (VI + COMA)</t>
  </si>
  <si>
    <t>Tasa</t>
  </si>
  <si>
    <t>Anualidad</t>
  </si>
  <si>
    <t>VAN (Costos)</t>
  </si>
  <si>
    <t>VAN (Beneficios)</t>
  </si>
  <si>
    <t>Anualidad (Costos)</t>
  </si>
  <si>
    <t>Anualidad (Beneficios)</t>
  </si>
  <si>
    <t>1) Lectura remota</t>
  </si>
  <si>
    <t>4) Reducción del Tiempo de Respuesta ante Fallas</t>
  </si>
  <si>
    <t>5) Reducción del Precio de la Energía</t>
  </si>
  <si>
    <t>6) Reducción del Consumo de Clientes Finales</t>
  </si>
  <si>
    <t>7) Reducción de Emisiones de CO2</t>
  </si>
  <si>
    <t>8) Reducción del Servicio Atención al Cliente</t>
  </si>
  <si>
    <t>9) Reducción en Inversión de Infraestructura de Red</t>
  </si>
  <si>
    <t>Participación %</t>
  </si>
  <si>
    <t>VAN [MUSD]</t>
  </si>
  <si>
    <t>AVAN [MUSD]</t>
  </si>
  <si>
    <t>VAN [USD/# Clientes]</t>
  </si>
  <si>
    <t>Total a 2027: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</si>
</sst>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&quot;$&quot;\-#,##0.00"/>
    <numFmt numFmtId="42" formatCode="_ &quot;$&quot;* #,##0_ ;_ &quot;$&quot;* \-#,##0_ ;_ &quot;$&quot;* &quot;-&quot;_ ;_ @_ "/>
    <numFmt numFmtId="164" formatCode="_ &quot;$&quot;* #,##0.00_ ;_ &quot;$&quot;* \-#,##0.00_ ;_ &quot;$&quot;* &quot;-&quot;_ ;_ @_ "/>
    <numFmt numFmtId="165" formatCode="_ &quot;$&quot;* #,##0.0000_ ;_ &quot;$&quot;* \-#,##0.0000_ ;_ &quot;$&quot;* &quot;-&quot;_ ;_ @_ "/>
    <numFmt numFmtId="166" formatCode="_ &quot;$&quot;* #,##0.0000_ ;_ &quot;$&quot;* \-#,##0.0000_ ;_ &quot;$&quot;* &quot;-&quot;????_ ;_ @_ "/>
    <numFmt numFmtId="167" formatCode="&quot;$&quot;#,##0.0000;[Red]&quot;$&quot;\-#,##0.00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AFA0"/>
        <bgColor indexed="64"/>
      </patternFill>
    </fill>
    <fill>
      <patternFill patternType="solid">
        <fgColor rgb="FFF5E4DF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EBF6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/>
    </xf>
    <xf numFmtId="166" fontId="0" fillId="0" borderId="0" xfId="0" applyNumberFormat="1"/>
    <xf numFmtId="1" fontId="0" fillId="0" borderId="1" xfId="0" applyNumberFormat="1" applyBorder="1" applyAlignment="1">
      <alignment horizontal="center" vertical="center"/>
    </xf>
    <xf numFmtId="10" fontId="0" fillId="0" borderId="0" xfId="0" applyNumberFormat="1"/>
    <xf numFmtId="165" fontId="0" fillId="0" borderId="1" xfId="1" applyNumberFormat="1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2" xfId="2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3" borderId="1" xfId="1" applyNumberFormat="1" applyFont="1" applyFill="1" applyBorder="1"/>
    <xf numFmtId="165" fontId="0" fillId="6" borderId="1" xfId="1" applyNumberFormat="1" applyFont="1" applyFill="1" applyBorder="1"/>
    <xf numFmtId="0" fontId="0" fillId="7" borderId="1" xfId="0" applyFill="1" applyBorder="1" applyAlignment="1">
      <alignment horizontal="center"/>
    </xf>
    <xf numFmtId="9" fontId="0" fillId="7" borderId="3" xfId="2" applyFont="1" applyFill="1" applyBorder="1" applyAlignment="1">
      <alignment horizontal="center" vertical="center"/>
    </xf>
    <xf numFmtId="9" fontId="0" fillId="7" borderId="1" xfId="2" applyFont="1" applyFill="1" applyBorder="1" applyAlignment="1">
      <alignment horizontal="center"/>
    </xf>
    <xf numFmtId="1" fontId="0" fillId="7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2" borderId="1" xfId="0" applyFill="1" applyBorder="1"/>
    <xf numFmtId="164" fontId="0" fillId="7" borderId="1" xfId="1" applyNumberFormat="1" applyFont="1" applyFill="1" applyBorder="1" applyAlignment="1"/>
    <xf numFmtId="165" fontId="0" fillId="7" borderId="1" xfId="1" applyNumberFormat="1" applyFont="1" applyFill="1" applyBorder="1"/>
    <xf numFmtId="0" fontId="4" fillId="0" borderId="0" xfId="0" applyFont="1"/>
    <xf numFmtId="14" fontId="0" fillId="2" borderId="1" xfId="0" applyNumberFormat="1" applyFill="1" applyBorder="1" applyAlignment="1">
      <alignment horizontal="center" vertical="center"/>
    </xf>
    <xf numFmtId="9" fontId="0" fillId="0" borderId="0" xfId="2" applyFont="1"/>
    <xf numFmtId="42" fontId="0" fillId="7" borderId="1" xfId="1" applyFont="1" applyFill="1" applyBorder="1"/>
    <xf numFmtId="165" fontId="0" fillId="9" borderId="1" xfId="1" applyNumberFormat="1" applyFont="1" applyFill="1" applyBorder="1"/>
    <xf numFmtId="8" fontId="0" fillId="0" borderId="0" xfId="0" applyNumberFormat="1"/>
    <xf numFmtId="9" fontId="0" fillId="0" borderId="0" xfId="0" applyNumberFormat="1"/>
    <xf numFmtId="167" fontId="0" fillId="0" borderId="0" xfId="0" applyNumberFormat="1"/>
    <xf numFmtId="0" fontId="0" fillId="0" borderId="13" xfId="0" applyBorder="1" applyAlignment="1">
      <alignment horizontal="center" vertical="center"/>
    </xf>
    <xf numFmtId="0" fontId="0" fillId="0" borderId="13" xfId="0" applyBorder="1"/>
    <xf numFmtId="1" fontId="0" fillId="0" borderId="2" xfId="0" applyNumberFormat="1" applyBorder="1" applyAlignment="1">
      <alignment horizontal="center" vertical="center"/>
    </xf>
    <xf numFmtId="1" fontId="0" fillId="0" borderId="0" xfId="0" applyNumberFormat="1"/>
    <xf numFmtId="0" fontId="0" fillId="0" borderId="14" xfId="0" applyBorder="1"/>
    <xf numFmtId="164" fontId="0" fillId="7" borderId="1" xfId="1" applyNumberFormat="1" applyFont="1" applyFill="1" applyBorder="1"/>
    <xf numFmtId="0" fontId="8" fillId="8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7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4">
    <cellStyle name="Moneda [0]" xfId="1" builtinId="7"/>
    <cellStyle name="Normal" xfId="0" builtinId="0"/>
    <cellStyle name="Normal 2" xfId="3" xr:uid="{3DAECE70-E36A-454A-A902-4D6EC52CC3B0}"/>
    <cellStyle name="Porcentaje" xfId="2" builtinId="5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numFmt numFmtId="0" formatCode="General"/>
    </dxf>
  </dxfs>
  <tableStyles count="0" defaultTableStyle="TableStyleMedium2" defaultPivotStyle="PivotStyleLight16"/>
  <colors>
    <mruColors>
      <color rgb="FFE0AFA0"/>
      <color rgb="FFE6EBF6"/>
      <color rgb="FFE8EBF0"/>
      <color rgb="FFD8BEEC"/>
      <color rgb="FFC7A1E3"/>
      <color rgb="FFD5B8EA"/>
      <color rgb="FFF5E4DF"/>
      <color rgb="FFF2DDD6"/>
      <color rgb="FFEDD2C9"/>
      <color rgb="FFCF8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2000"/>
              <a:t>Participación</a:t>
            </a:r>
            <a:r>
              <a:rPr lang="es-CL" sz="2000" baseline="0"/>
              <a:t> % de los Beneficios</a:t>
            </a:r>
            <a:endParaRPr lang="es-CL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8F-4C28-8B49-FC9242A83C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8F-4C28-8B49-FC9242A83C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8F-4C28-8B49-FC9242A83C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71-4956-AAF3-7DE4A5B49C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8F-4C28-8B49-FC9242A83C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48F-4C28-8B49-FC9242A83C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48F-4C28-8B49-FC9242A83C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48F-4C28-8B49-FC9242A83C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48F-4C28-8B49-FC9242A83C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'Flujo de Caja SMI Mixto 10 años'!$C$47:$E$55</c:f>
              <c:strCache>
                <c:ptCount val="9"/>
                <c:pt idx="0">
                  <c:v>1) Lectura remota</c:v>
                </c:pt>
                <c:pt idx="1">
                  <c:v>2) Corte y Reposición remoto</c:v>
                </c:pt>
                <c:pt idx="2">
                  <c:v>3) Reducción de Pérdidas No Técnicas</c:v>
                </c:pt>
                <c:pt idx="3">
                  <c:v>4) Reducción del Tiempo de Respuesta ante Fallas</c:v>
                </c:pt>
                <c:pt idx="4">
                  <c:v>5) Reducción del Precio de la Energía</c:v>
                </c:pt>
                <c:pt idx="5">
                  <c:v>6) Reducción del Consumo de Clientes Finales</c:v>
                </c:pt>
                <c:pt idx="6">
                  <c:v>7) Reducción de Emisiones de CO2</c:v>
                </c:pt>
                <c:pt idx="7">
                  <c:v>8) Reducción del Servicio Atención al Cliente</c:v>
                </c:pt>
                <c:pt idx="8">
                  <c:v>9) Reducción en Inversión de Infraestructura de Red</c:v>
                </c:pt>
              </c:strCache>
            </c:strRef>
          </c:cat>
          <c:val>
            <c:numRef>
              <c:f>'Flujo de Caja SMI Mixto 10 años'!$Z$47:$Z$55</c:f>
              <c:numCache>
                <c:formatCode>0%</c:formatCode>
                <c:ptCount val="9"/>
                <c:pt idx="0">
                  <c:v>0.11587867824794791</c:v>
                </c:pt>
                <c:pt idx="1">
                  <c:v>1.1230561906554823E-2</c:v>
                </c:pt>
                <c:pt idx="2">
                  <c:v>0.50303961359240734</c:v>
                </c:pt>
                <c:pt idx="3">
                  <c:v>7.3384960539562656E-3</c:v>
                </c:pt>
                <c:pt idx="4">
                  <c:v>0.12747451795777479</c:v>
                </c:pt>
                <c:pt idx="5">
                  <c:v>5.1989011517121472E-2</c:v>
                </c:pt>
                <c:pt idx="6">
                  <c:v>8.5840175650442954E-2</c:v>
                </c:pt>
                <c:pt idx="7">
                  <c:v>4.4378137334518841E-2</c:v>
                </c:pt>
                <c:pt idx="8">
                  <c:v>5.2830807739275766E-2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1-4956-AAF3-7DE4A5B49C8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59575540644331"/>
          <c:y val="0.14804174990610766"/>
          <c:w val="0.35405299276797153"/>
          <c:h val="0.7906196717206892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1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Flujos</a:t>
            </a:r>
            <a:r>
              <a:rPr lang="es-CL" baseline="0"/>
              <a:t> Anuales Proyecto SMMC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'Flujo de Caja SMI Mixto 10 años'!$F$28:$U$28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'Flujo de Caja SMI Mixto 10 años'!$F$58:$U$58</c:f>
              <c:numCache>
                <c:formatCode>_ "$"* #,##0.00_ ;_ "$"* \-#,##0.00_ ;_ "$"* "-"_ ;_ @_ </c:formatCode>
                <c:ptCount val="16"/>
                <c:pt idx="0">
                  <c:v>-22.873404849509292</c:v>
                </c:pt>
                <c:pt idx="1">
                  <c:v>-13.669909620328935</c:v>
                </c:pt>
                <c:pt idx="2">
                  <c:v>-318.23466696081567</c:v>
                </c:pt>
                <c:pt idx="3">
                  <c:v>-104.06395733181503</c:v>
                </c:pt>
                <c:pt idx="4">
                  <c:v>-89.268981504027323</c:v>
                </c:pt>
                <c:pt idx="5">
                  <c:v>-73.88304830836546</c:v>
                </c:pt>
                <c:pt idx="6">
                  <c:v>-57.922610357790617</c:v>
                </c:pt>
                <c:pt idx="7">
                  <c:v>-41.376422186491311</c:v>
                </c:pt>
                <c:pt idx="8">
                  <c:v>-24.18515834514065</c:v>
                </c:pt>
                <c:pt idx="9">
                  <c:v>-6.4861113967653523</c:v>
                </c:pt>
                <c:pt idx="10">
                  <c:v>25.522732018624936</c:v>
                </c:pt>
                <c:pt idx="11">
                  <c:v>43.962353911791269</c:v>
                </c:pt>
                <c:pt idx="12">
                  <c:v>49.249770994207438</c:v>
                </c:pt>
                <c:pt idx="13">
                  <c:v>69.217239342379713</c:v>
                </c:pt>
                <c:pt idx="14">
                  <c:v>190.93934991102165</c:v>
                </c:pt>
                <c:pt idx="15">
                  <c:v>197.35671535722707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9-48CE-90CD-5C322872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198959"/>
        <c:axId val="1297207119"/>
      </c:barChart>
      <c:catAx>
        <c:axId val="129719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7207119"/>
        <c:crosses val="autoZero"/>
        <c:auto val="1"/>
        <c:lblAlgn val="ctr"/>
        <c:lblOffset val="100"/>
        <c:noMultiLvlLbl val="0"/>
      </c:catAx>
      <c:valAx>
        <c:axId val="12972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[MUSD]</a:t>
                </a:r>
              </a:p>
            </c:rich>
          </c:tx>
          <c:layout>
            <c:manualLayout>
              <c:xMode val="edge"/>
              <c:yMode val="edge"/>
              <c:x val="1.9734588651479396E-2"/>
              <c:y val="0.42691229765731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 &quot;$&quot;* #,##0.00_ ;_ &quot;$&quot;* \-#,##0.00_ ;_ &quot;$&quot;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719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27</xdr:col>
      <xdr:colOff>263618</xdr:colOff>
      <xdr:row>40</xdr:row>
      <xdr:rowOff>39766</xdr:rowOff>
    </xdr:from>
    <xdr:to>
      <xdr:col>35</xdr:col>
      <xdr:colOff>613199</xdr:colOff>
      <xdr:row>65</xdr:row>
      <xdr:rowOff>94202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29A63C-D874-F88F-F059-27CF935B332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1903</xdr:colOff>
      <xdr:row>66</xdr:row>
      <xdr:rowOff>169754</xdr:rowOff>
    </xdr:from>
    <xdr:to>
      <xdr:col>14</xdr:col>
      <xdr:colOff>552450</xdr:colOff>
      <xdr:row>82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D02DB4-9107-5B9E-37DF-9B92690F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3A1F289F-52CF-4553-8224-2806B915BF6B}" autoFormatId="16" applyNumberFormats="0" applyBorderFormats="0" applyFontFormats="0" applyPatternFormats="0" applyAlignmentFormats="0" applyWidthHeightFormats="0">
  <queryTableRefresh nextId="26">
    <queryTableFields count="17">
      <queryTableField id="1" name="Concepto" tableColumnId="1"/>
      <queryTableField id="2" name="Periodo 0" tableColumnId="2"/>
      <queryTableField id="3" name="Periodo 1" tableColumnId="3"/>
      <queryTableField id="4" name="Periodo 2" tableColumnId="4"/>
      <queryTableField id="5" name="Periodo 3" tableColumnId="5"/>
      <queryTableField id="6" name="Periodo 4" tableColumnId="6"/>
      <queryTableField id="7" name="Periodo 5" tableColumnId="7"/>
      <queryTableField id="8" name="Periodo 6" tableColumnId="8"/>
      <queryTableField id="9" name="Periodo 7" tableColumnId="9"/>
      <queryTableField id="10" name="Periodo 8" tableColumnId="10"/>
      <queryTableField id="11" name="Periodo 9" tableColumnId="11"/>
      <queryTableField id="12" name="Periodo 10" tableColumnId="12"/>
      <queryTableField id="13" name="Periodo 11" tableColumnId="13"/>
      <queryTableField id="14" name="Periodo 12" tableColumnId="14"/>
      <queryTableField id="15" name="Periodo 13" tableColumnId="15"/>
      <queryTableField id="16" name="Periodo 14" tableColumnId="16"/>
      <queryTableField id="17" name="Periodo 15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CA30C-036D-44E5-A188-CE0C52F4034E}" name="CB_SMMC_Mixto" displayName="CB_SMMC_Mixto" ref="A1:Q26" tableType="queryTable" totalsRowShown="0">
  <autoFilter ref="A1:Q26" xr:uid="{6C5CA30C-036D-44E5-A188-CE0C52F4034E}"/>
  <tableColumns count="17">
    <tableColumn id="1" xr3:uid="{E4689A6C-95DD-4FFA-829F-51E27F3B77E2}" uniqueName="1" name="Concepto" queryTableFieldId="1" dataDxfId="6"/>
    <tableColumn id="2" xr3:uid="{A2D1F13D-22AA-4E34-9286-C0EC640BE781}" uniqueName="2" name="Periodo 0" queryTableFieldId="2"/>
    <tableColumn id="3" xr3:uid="{68E023A2-94B2-46F9-9169-0F3A7B7CB178}" uniqueName="3" name="Periodo 1" queryTableFieldId="3"/>
    <tableColumn id="4" xr3:uid="{44646CBC-5E90-4057-8A4A-B28A6EF9EA3B}" uniqueName="4" name="Periodo 2" queryTableFieldId="4"/>
    <tableColumn id="5" xr3:uid="{7235F4C7-C2ED-4C24-AD9A-B93AF4CEF6AC}" uniqueName="5" name="Periodo 3" queryTableFieldId="5"/>
    <tableColumn id="6" xr3:uid="{D42BFC0E-5B13-4BE9-9CA5-6A5EB105104B}" uniqueName="6" name="Periodo 4" queryTableFieldId="6"/>
    <tableColumn id="7" xr3:uid="{9EE8FD15-E61B-4BB2-984F-122566AD7082}" uniqueName="7" name="Periodo 5" queryTableFieldId="7"/>
    <tableColumn id="8" xr3:uid="{D6E35810-E976-4174-8868-9D7E48601FED}" uniqueName="8" name="Periodo 6" queryTableFieldId="8"/>
    <tableColumn id="9" xr3:uid="{1520509F-0DBE-4636-A8E9-891DA67152D3}" uniqueName="9" name="Periodo 7" queryTableFieldId="9"/>
    <tableColumn id="10" xr3:uid="{9EAD2F43-43E7-4CE8-BF5E-4B53CD60688A}" uniqueName="10" name="Periodo 8" queryTableFieldId="10"/>
    <tableColumn id="11" xr3:uid="{F52D3C0B-E0B0-4D16-A91F-AAF24CA4768A}" uniqueName="11" name="Periodo 9" queryTableFieldId="11"/>
    <tableColumn id="12" xr3:uid="{8EC5EB98-D380-4DB9-8A9F-6E2A47B5B8CE}" uniqueName="12" name="Periodo 10" queryTableFieldId="12"/>
    <tableColumn id="13" xr3:uid="{7054E186-C8DB-4CDA-89E6-E140A4620EC2}" uniqueName="13" name="Periodo 11" queryTableFieldId="13"/>
    <tableColumn id="14" xr3:uid="{500AB44F-18E9-4D0E-976E-D6F3522EA3BA}" uniqueName="14" name="Periodo 12" queryTableFieldId="14"/>
    <tableColumn id="15" xr3:uid="{2DA5FC8F-DC51-457D-B0D4-2988497119CB}" uniqueName="15" name="Periodo 13" queryTableFieldId="15"/>
    <tableColumn id="16" xr3:uid="{5FD49004-775D-4C9B-AEAE-4359A44816C2}" uniqueName="16" name="Periodo 14" queryTableFieldId="16"/>
    <tableColumn id="17" xr3:uid="{AEAE2807-81B8-4F78-B6E1-04ADCE8C6CD6}" uniqueName="17" name="Periodo 15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9367-59C2-4303-9B74-3CC9CEDA46C6}">
  <dimension ref="B2:S23"/>
  <sheetViews>
    <sheetView workbookViewId="0">
      <selection activeCell="E27" sqref="E27"/>
    </sheetView>
  </sheetViews>
  <sheetFormatPr baseColWidth="10" defaultRowHeight="14.4" x14ac:dyDescent="0.3"/>
  <cols>
    <col min="17" max="17" width="12.6640625" bestFit="1" customWidth="1"/>
  </cols>
  <sheetData>
    <row r="2" spans="2:19" ht="23.4" x14ac:dyDescent="0.45">
      <c r="B2" s="93" t="s">
        <v>0</v>
      </c>
      <c r="C2" s="93"/>
      <c r="D2" s="93"/>
      <c r="E2" s="93"/>
    </row>
    <row r="4" spans="2:19" ht="15.6" x14ac:dyDescent="0.3">
      <c r="B4" s="92" t="s">
        <v>1</v>
      </c>
      <c r="C4" s="92"/>
      <c r="D4" s="92"/>
      <c r="E4" s="92"/>
      <c r="F4" s="2"/>
      <c r="G4" s="2"/>
      <c r="K4" s="92" t="s">
        <v>10</v>
      </c>
      <c r="L4" s="92"/>
      <c r="M4" s="92"/>
      <c r="N4" s="92"/>
      <c r="O4" s="92"/>
    </row>
    <row r="5" spans="2:19" x14ac:dyDescent="0.3">
      <c r="B5" s="91" t="s">
        <v>3</v>
      </c>
      <c r="C5" s="91"/>
      <c r="D5" s="91"/>
      <c r="E5" s="91"/>
      <c r="F5" s="91"/>
      <c r="G5" s="91"/>
      <c r="K5" s="90" t="s">
        <v>11</v>
      </c>
      <c r="L5" s="90"/>
      <c r="Q5" s="1" t="s">
        <v>28</v>
      </c>
      <c r="R5" s="1" t="s">
        <v>7</v>
      </c>
      <c r="S5" s="1" t="s">
        <v>39</v>
      </c>
    </row>
    <row r="6" spans="2:19" x14ac:dyDescent="0.3">
      <c r="B6" s="91" t="s">
        <v>2</v>
      </c>
      <c r="C6" s="91"/>
      <c r="D6" s="91"/>
      <c r="E6" s="91"/>
      <c r="F6" s="91"/>
      <c r="G6" s="91"/>
      <c r="K6" s="89" t="s">
        <v>12</v>
      </c>
      <c r="L6" s="89"/>
      <c r="M6" s="89"/>
      <c r="N6" s="89"/>
      <c r="O6" s="89"/>
      <c r="P6" s="89"/>
      <c r="Q6" s="1" t="s">
        <v>29</v>
      </c>
    </row>
    <row r="7" spans="2:19" x14ac:dyDescent="0.3">
      <c r="B7" s="91" t="s">
        <v>4</v>
      </c>
      <c r="C7" s="91"/>
      <c r="D7" s="91"/>
      <c r="E7" s="91"/>
      <c r="F7" s="91"/>
      <c r="G7" s="91"/>
      <c r="K7" s="89" t="s">
        <v>13</v>
      </c>
      <c r="L7" s="89"/>
      <c r="M7" s="89"/>
      <c r="N7" s="89"/>
      <c r="O7" s="89"/>
      <c r="P7" s="89"/>
      <c r="Q7" s="1" t="s">
        <v>29</v>
      </c>
    </row>
    <row r="8" spans="2:19" x14ac:dyDescent="0.3">
      <c r="B8" s="91" t="s">
        <v>5</v>
      </c>
      <c r="C8" s="91"/>
      <c r="D8" s="91"/>
      <c r="E8" s="91"/>
      <c r="F8" s="91"/>
      <c r="G8" s="91"/>
      <c r="K8" s="89" t="s">
        <v>14</v>
      </c>
      <c r="L8" s="89"/>
      <c r="M8" s="89"/>
      <c r="N8" s="89"/>
      <c r="O8" s="89"/>
      <c r="P8" s="89"/>
      <c r="Q8" s="1" t="s">
        <v>29</v>
      </c>
    </row>
    <row r="9" spans="2:19" x14ac:dyDescent="0.3">
      <c r="K9" s="89" t="s">
        <v>15</v>
      </c>
      <c r="L9" s="89"/>
      <c r="M9" s="89"/>
      <c r="N9" s="89"/>
      <c r="O9" s="89"/>
      <c r="P9" s="89"/>
      <c r="Q9" s="1" t="s">
        <v>29</v>
      </c>
    </row>
    <row r="10" spans="2:19" x14ac:dyDescent="0.3">
      <c r="K10" s="89" t="s">
        <v>16</v>
      </c>
      <c r="L10" s="89"/>
      <c r="M10" s="89"/>
      <c r="N10" s="89"/>
      <c r="O10" s="89"/>
      <c r="P10" s="89"/>
      <c r="Q10" s="1" t="s">
        <v>30</v>
      </c>
    </row>
    <row r="11" spans="2:19" x14ac:dyDescent="0.3">
      <c r="B11" s="91" t="s">
        <v>8</v>
      </c>
      <c r="C11" s="91"/>
      <c r="D11" s="91"/>
      <c r="E11" s="91"/>
      <c r="K11" s="89" t="s">
        <v>31</v>
      </c>
      <c r="L11" s="89"/>
      <c r="M11" s="89"/>
      <c r="N11" s="89"/>
      <c r="O11" s="89"/>
      <c r="P11" s="89"/>
      <c r="Q11" s="1" t="s">
        <v>32</v>
      </c>
    </row>
    <row r="12" spans="2:19" x14ac:dyDescent="0.3">
      <c r="B12" s="90" t="s">
        <v>6</v>
      </c>
      <c r="C12" s="90"/>
      <c r="H12" s="1" t="s">
        <v>7</v>
      </c>
      <c r="K12" s="89" t="s">
        <v>17</v>
      </c>
      <c r="L12" s="89"/>
      <c r="M12" s="89"/>
      <c r="N12" s="89"/>
      <c r="O12" s="89"/>
      <c r="P12" s="89"/>
      <c r="Q12" s="1" t="s">
        <v>29</v>
      </c>
    </row>
    <row r="13" spans="2:19" x14ac:dyDescent="0.3">
      <c r="B13" s="91" t="s">
        <v>3</v>
      </c>
      <c r="C13" s="91"/>
      <c r="D13" s="91"/>
      <c r="E13" s="91"/>
      <c r="F13" s="91"/>
      <c r="G13" s="91"/>
      <c r="H13" s="3">
        <v>0</v>
      </c>
      <c r="K13" s="89" t="s">
        <v>34</v>
      </c>
      <c r="L13" s="89"/>
      <c r="M13" s="89"/>
      <c r="N13" s="89"/>
      <c r="O13" s="89"/>
      <c r="P13" s="89"/>
      <c r="Q13" s="1" t="s">
        <v>33</v>
      </c>
    </row>
    <row r="14" spans="2:19" x14ac:dyDescent="0.3">
      <c r="B14" s="91" t="s">
        <v>2</v>
      </c>
      <c r="C14" s="91"/>
      <c r="D14" s="91"/>
      <c r="E14" s="91"/>
      <c r="F14" s="91"/>
      <c r="G14" s="91"/>
      <c r="H14" s="1">
        <v>2030</v>
      </c>
      <c r="K14" s="89" t="s">
        <v>18</v>
      </c>
      <c r="L14" s="89"/>
      <c r="M14" s="89"/>
      <c r="N14" s="89"/>
      <c r="O14" s="89"/>
      <c r="P14" s="89"/>
      <c r="Q14" s="1" t="s">
        <v>30</v>
      </c>
    </row>
    <row r="15" spans="2:19" x14ac:dyDescent="0.3">
      <c r="B15" s="91" t="s">
        <v>4</v>
      </c>
      <c r="C15" s="91"/>
      <c r="D15" s="91"/>
      <c r="E15" s="91"/>
      <c r="F15" s="91"/>
      <c r="G15" s="91"/>
      <c r="H15" s="1">
        <v>0</v>
      </c>
      <c r="K15" s="89" t="s">
        <v>19</v>
      </c>
      <c r="L15" s="89"/>
      <c r="M15" s="89"/>
      <c r="N15" s="89"/>
      <c r="O15" s="89"/>
      <c r="P15" s="89"/>
      <c r="Q15" s="1" t="s">
        <v>33</v>
      </c>
    </row>
    <row r="16" spans="2:19" x14ac:dyDescent="0.3">
      <c r="K16" s="89" t="s">
        <v>20</v>
      </c>
      <c r="L16" s="89"/>
      <c r="M16" s="89"/>
      <c r="N16" s="89"/>
      <c r="O16" s="89"/>
      <c r="P16" s="89"/>
      <c r="Q16" s="1" t="s">
        <v>35</v>
      </c>
    </row>
    <row r="17" spans="2:17" x14ac:dyDescent="0.3">
      <c r="K17" s="89" t="s">
        <v>21</v>
      </c>
      <c r="L17" s="89"/>
      <c r="M17" s="89"/>
      <c r="N17" s="89"/>
      <c r="O17" s="89"/>
      <c r="P17" s="89"/>
      <c r="Q17" s="1" t="s">
        <v>36</v>
      </c>
    </row>
    <row r="18" spans="2:17" x14ac:dyDescent="0.3">
      <c r="B18" t="s">
        <v>9</v>
      </c>
      <c r="K18" s="89" t="s">
        <v>22</v>
      </c>
      <c r="L18" s="89"/>
      <c r="M18" s="89"/>
      <c r="N18" s="89"/>
      <c r="O18" s="89"/>
      <c r="P18" s="89"/>
      <c r="Q18" s="1" t="s">
        <v>29</v>
      </c>
    </row>
    <row r="19" spans="2:17" x14ac:dyDescent="0.3">
      <c r="B19" s="90" t="s">
        <v>6</v>
      </c>
      <c r="C19" s="90"/>
      <c r="H19" s="1" t="s">
        <v>7</v>
      </c>
      <c r="K19" s="89" t="s">
        <v>23</v>
      </c>
      <c r="L19" s="89"/>
      <c r="M19" s="89"/>
      <c r="N19" s="89"/>
      <c r="O19" s="89"/>
      <c r="P19" s="89"/>
      <c r="Q19" s="1" t="s">
        <v>29</v>
      </c>
    </row>
    <row r="20" spans="2:17" x14ac:dyDescent="0.3">
      <c r="B20" s="91" t="s">
        <v>3</v>
      </c>
      <c r="C20" s="91"/>
      <c r="D20" s="91"/>
      <c r="E20" s="91"/>
      <c r="F20" s="91"/>
      <c r="G20" s="91"/>
      <c r="H20" s="3">
        <v>0.8</v>
      </c>
      <c r="K20" s="89" t="s">
        <v>24</v>
      </c>
      <c r="L20" s="89"/>
      <c r="M20" s="89"/>
      <c r="N20" s="89"/>
      <c r="O20" s="89"/>
      <c r="P20" s="89"/>
      <c r="Q20" s="1" t="s">
        <v>29</v>
      </c>
    </row>
    <row r="21" spans="2:17" x14ac:dyDescent="0.3">
      <c r="B21" s="91" t="s">
        <v>2</v>
      </c>
      <c r="C21" s="91"/>
      <c r="D21" s="91"/>
      <c r="E21" s="91"/>
      <c r="F21" s="91"/>
      <c r="G21" s="91"/>
      <c r="H21" s="1">
        <v>2030</v>
      </c>
      <c r="K21" s="89" t="s">
        <v>25</v>
      </c>
      <c r="L21" s="89"/>
      <c r="M21" s="89"/>
      <c r="N21" s="89"/>
      <c r="O21" s="89"/>
      <c r="P21" s="89"/>
      <c r="Q21" s="1" t="s">
        <v>37</v>
      </c>
    </row>
    <row r="22" spans="2:17" x14ac:dyDescent="0.3">
      <c r="B22" s="91" t="s">
        <v>4</v>
      </c>
      <c r="C22" s="91"/>
      <c r="D22" s="91"/>
      <c r="E22" s="91"/>
      <c r="F22" s="91"/>
      <c r="G22" s="91"/>
      <c r="H22" s="1">
        <v>10</v>
      </c>
      <c r="K22" s="89" t="s">
        <v>27</v>
      </c>
      <c r="L22" s="89"/>
      <c r="M22" s="89"/>
      <c r="N22" s="89"/>
      <c r="O22" s="89"/>
      <c r="P22" s="89"/>
      <c r="Q22" s="1" t="s">
        <v>29</v>
      </c>
    </row>
    <row r="23" spans="2:17" x14ac:dyDescent="0.3">
      <c r="K23" s="89" t="s">
        <v>26</v>
      </c>
      <c r="L23" s="89"/>
      <c r="M23" s="89"/>
      <c r="N23" s="89"/>
      <c r="O23" s="89"/>
      <c r="P23" s="89"/>
      <c r="Q23" s="1" t="s">
        <v>38</v>
      </c>
    </row>
  </sheetData>
  <mergeCells count="35">
    <mergeCell ref="B2:E2"/>
    <mergeCell ref="B4:E4"/>
    <mergeCell ref="B5:G5"/>
    <mergeCell ref="B6:G6"/>
    <mergeCell ref="B7:G7"/>
    <mergeCell ref="B22:G22"/>
    <mergeCell ref="B11:E11"/>
    <mergeCell ref="B12:C12"/>
    <mergeCell ref="B19:C19"/>
    <mergeCell ref="K4:O4"/>
    <mergeCell ref="K6:P6"/>
    <mergeCell ref="K7:P7"/>
    <mergeCell ref="K8:P8"/>
    <mergeCell ref="B13:G13"/>
    <mergeCell ref="B14:G14"/>
    <mergeCell ref="B15:G15"/>
    <mergeCell ref="B20:G20"/>
    <mergeCell ref="B21:G21"/>
    <mergeCell ref="B8:G8"/>
    <mergeCell ref="K21:P21"/>
    <mergeCell ref="K22:P22"/>
    <mergeCell ref="K23:P23"/>
    <mergeCell ref="K5:L5"/>
    <mergeCell ref="K15:P15"/>
    <mergeCell ref="K16:P16"/>
    <mergeCell ref="K17:P17"/>
    <mergeCell ref="K18:P18"/>
    <mergeCell ref="K19:P19"/>
    <mergeCell ref="K20:P20"/>
    <mergeCell ref="K9:P9"/>
    <mergeCell ref="K10:P10"/>
    <mergeCell ref="K11:P11"/>
    <mergeCell ref="K12:P12"/>
    <mergeCell ref="K13:P13"/>
    <mergeCell ref="K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4509-BC31-4798-921E-5B756584C9DD}">
  <sheetPr>
    <tabColor theme="4" tint="-0.249977111117893"/>
  </sheetPr>
  <dimension ref="A1:Q26"/>
  <sheetViews>
    <sheetView zoomScale="80" zoomScaleNormal="80" workbookViewId="0">
      <selection activeCell="C13" sqref="C13"/>
    </sheetView>
  </sheetViews>
  <sheetFormatPr baseColWidth="10" defaultRowHeight="14.4" x14ac:dyDescent="0.3"/>
  <cols>
    <col min="1" max="1" width="42.77734375" bestFit="1" customWidth="1"/>
    <col min="2" max="11" width="12" bestFit="1" customWidth="1"/>
    <col min="12" max="17" width="12.88671875" bestFit="1" customWidth="1"/>
    <col min="18" max="21" width="20" bestFit="1" customWidth="1"/>
    <col min="22" max="22" width="4.6640625" bestFit="1" customWidth="1"/>
    <col min="23" max="25" width="20" bestFit="1" customWidth="1"/>
  </cols>
  <sheetData>
    <row r="1" spans="1:17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 spans="1:17" x14ac:dyDescent="0.3">
      <c r="A2" t="s">
        <v>101</v>
      </c>
      <c r="B2">
        <v>34765766.042480066</v>
      </c>
      <c r="C2">
        <v>35815692.176962957</v>
      </c>
      <c r="D2">
        <v>36897326.080707237</v>
      </c>
      <c r="E2">
        <v>38011625.328344598</v>
      </c>
      <c r="F2">
        <v>39159576.413260609</v>
      </c>
      <c r="G2">
        <v>40342195.620941088</v>
      </c>
      <c r="H2">
        <v>41560529.928693503</v>
      </c>
      <c r="I2">
        <v>42815657.932540037</v>
      </c>
      <c r="J2">
        <v>44108690.802102759</v>
      </c>
      <c r="K2">
        <v>45440773.264326259</v>
      </c>
      <c r="L2">
        <v>46813084.616908908</v>
      </c>
      <c r="M2">
        <v>48226839.77233956</v>
      </c>
      <c r="N2">
        <v>49683290.333464213</v>
      </c>
      <c r="O2">
        <v>51183725.701534837</v>
      </c>
      <c r="P2">
        <v>52729474.217721187</v>
      </c>
      <c r="Q2">
        <v>54321904.339096367</v>
      </c>
    </row>
    <row r="3" spans="1:17" x14ac:dyDescent="0.3">
      <c r="A3" t="s">
        <v>91</v>
      </c>
      <c r="B3">
        <v>22317</v>
      </c>
      <c r="C3">
        <v>58</v>
      </c>
      <c r="D3">
        <v>7913832</v>
      </c>
      <c r="E3">
        <v>117376</v>
      </c>
      <c r="F3">
        <v>119200</v>
      </c>
      <c r="G3">
        <v>121056</v>
      </c>
      <c r="H3">
        <v>122935</v>
      </c>
      <c r="I3">
        <v>124861</v>
      </c>
      <c r="J3">
        <v>126789</v>
      </c>
      <c r="K3">
        <v>128764</v>
      </c>
      <c r="L3">
        <v>130761</v>
      </c>
      <c r="M3">
        <v>132814</v>
      </c>
      <c r="N3">
        <v>134885</v>
      </c>
      <c r="O3">
        <v>136990</v>
      </c>
      <c r="P3">
        <v>139136</v>
      </c>
      <c r="Q3">
        <v>141300</v>
      </c>
    </row>
    <row r="4" spans="1:17" x14ac:dyDescent="0.3">
      <c r="A4" t="s">
        <v>92</v>
      </c>
      <c r="B4">
        <v>0</v>
      </c>
      <c r="C4">
        <v>0</v>
      </c>
      <c r="D4">
        <v>57595</v>
      </c>
      <c r="E4">
        <v>528</v>
      </c>
      <c r="F4">
        <v>539</v>
      </c>
      <c r="G4">
        <v>549</v>
      </c>
      <c r="H4">
        <v>558</v>
      </c>
      <c r="I4">
        <v>564</v>
      </c>
      <c r="J4">
        <v>570</v>
      </c>
      <c r="K4">
        <v>576</v>
      </c>
      <c r="L4">
        <v>589</v>
      </c>
      <c r="M4">
        <v>594</v>
      </c>
      <c r="N4">
        <v>602</v>
      </c>
      <c r="O4">
        <v>612</v>
      </c>
      <c r="P4">
        <v>621</v>
      </c>
      <c r="Q4">
        <v>632</v>
      </c>
    </row>
    <row r="5" spans="1:17" x14ac:dyDescent="0.3">
      <c r="A5" t="s">
        <v>93</v>
      </c>
      <c r="B5">
        <v>216250</v>
      </c>
      <c r="C5">
        <v>426</v>
      </c>
      <c r="D5">
        <v>426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</row>
    <row r="6" spans="1:17" x14ac:dyDescent="0.3">
      <c r="A6" t="s">
        <v>121</v>
      </c>
      <c r="B6">
        <v>0</v>
      </c>
      <c r="C6">
        <v>0</v>
      </c>
      <c r="D6">
        <v>56029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122</v>
      </c>
      <c r="B7">
        <v>178.2666425296112</v>
      </c>
      <c r="C7">
        <v>171.94680459770109</v>
      </c>
      <c r="D7">
        <v>151.6654577898729</v>
      </c>
      <c r="E7">
        <v>152.21104706672551</v>
      </c>
      <c r="F7">
        <v>152.21367751227029</v>
      </c>
      <c r="G7">
        <v>152.22117841128551</v>
      </c>
      <c r="H7">
        <v>152.23289867654799</v>
      </c>
      <c r="I7">
        <v>152.24040959691251</v>
      </c>
      <c r="J7">
        <v>152.2437709874275</v>
      </c>
      <c r="K7">
        <v>152.25390659155639</v>
      </c>
      <c r="L7">
        <v>152.2581760634682</v>
      </c>
      <c r="M7">
        <v>152.26724176066051</v>
      </c>
      <c r="N7">
        <v>152.2768336515029</v>
      </c>
      <c r="O7">
        <v>152.28357046535859</v>
      </c>
      <c r="P7">
        <v>152.29025701543731</v>
      </c>
      <c r="Q7">
        <v>152.29635756476199</v>
      </c>
    </row>
    <row r="8" spans="1:17" x14ac:dyDescent="0.3">
      <c r="A8" t="s">
        <v>123</v>
      </c>
      <c r="B8">
        <v>0</v>
      </c>
      <c r="C8">
        <v>0</v>
      </c>
      <c r="D8">
        <v>354.21360944336033</v>
      </c>
      <c r="E8">
        <v>344.69062315132231</v>
      </c>
      <c r="F8">
        <v>344.75088161605908</v>
      </c>
      <c r="G8">
        <v>344.8292920914638</v>
      </c>
      <c r="H8">
        <v>344.9253002246798</v>
      </c>
      <c r="I8">
        <v>344.91390755147518</v>
      </c>
      <c r="J8">
        <v>344.90290399288472</v>
      </c>
      <c r="K8">
        <v>344.86492177593448</v>
      </c>
      <c r="L8">
        <v>344.71965397851869</v>
      </c>
      <c r="M8">
        <v>344.78239216093101</v>
      </c>
      <c r="N8">
        <v>344.73572637417573</v>
      </c>
      <c r="O8">
        <v>344.75551502341438</v>
      </c>
      <c r="P8">
        <v>344.89291402829178</v>
      </c>
      <c r="Q8">
        <v>344.84226929637941</v>
      </c>
    </row>
    <row r="9" spans="1:17" x14ac:dyDescent="0.3">
      <c r="A9" t="s">
        <v>124</v>
      </c>
      <c r="B9">
        <v>785.89288101734098</v>
      </c>
      <c r="C9">
        <v>756.97636619718321</v>
      </c>
      <c r="D9">
        <v>760.16098729961334</v>
      </c>
      <c r="E9">
        <v>779.91498334970197</v>
      </c>
      <c r="F9">
        <v>779.91498334970197</v>
      </c>
      <c r="G9">
        <v>779.91498334970197</v>
      </c>
      <c r="H9">
        <v>779.91498334970197</v>
      </c>
      <c r="I9">
        <v>779.91498334970197</v>
      </c>
      <c r="J9">
        <v>779.91498334970197</v>
      </c>
      <c r="K9">
        <v>779.91498334970197</v>
      </c>
      <c r="L9">
        <v>779.91498334970197</v>
      </c>
      <c r="M9">
        <v>779.91498334970197</v>
      </c>
      <c r="N9">
        <v>779.91498334970197</v>
      </c>
      <c r="O9">
        <v>779.91498334970197</v>
      </c>
      <c r="P9">
        <v>779.91498334970197</v>
      </c>
      <c r="Q9">
        <v>779.91498334970197</v>
      </c>
    </row>
    <row r="10" spans="1:17" x14ac:dyDescent="0.3">
      <c r="A10" t="s">
        <v>125</v>
      </c>
      <c r="B10">
        <v>0</v>
      </c>
      <c r="C10">
        <v>0</v>
      </c>
      <c r="D10">
        <v>815.57703771558965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78</v>
      </c>
      <c r="B11">
        <v>4377943.0169999991</v>
      </c>
      <c r="C11">
        <v>8881.884</v>
      </c>
      <c r="D11">
        <v>146291474.403</v>
      </c>
      <c r="E11">
        <v>2163748.0589999999</v>
      </c>
      <c r="F11">
        <v>2197422.1439999999</v>
      </c>
      <c r="G11">
        <v>2231665.11</v>
      </c>
      <c r="H11">
        <v>2266311.798</v>
      </c>
      <c r="I11">
        <v>2301765.9300000002</v>
      </c>
      <c r="J11">
        <v>2337256.764</v>
      </c>
      <c r="K11">
        <v>2373610.0950000002</v>
      </c>
      <c r="L11">
        <v>2410495.605</v>
      </c>
      <c r="M11">
        <v>2448261.963</v>
      </c>
      <c r="N11">
        <v>2486413.6919999998</v>
      </c>
      <c r="O11">
        <v>2525226.057</v>
      </c>
      <c r="P11">
        <v>2564772.4619999998</v>
      </c>
      <c r="Q11">
        <v>2604685.8870000001</v>
      </c>
    </row>
    <row r="12" spans="1:17" x14ac:dyDescent="0.3">
      <c r="A12" t="s">
        <v>128</v>
      </c>
      <c r="B12">
        <v>328971.33684210532</v>
      </c>
      <c r="C12">
        <v>667.41052631578941</v>
      </c>
      <c r="D12">
        <v>10992765.715789471</v>
      </c>
      <c r="E12">
        <v>162590.3052631579</v>
      </c>
      <c r="F12">
        <v>165120.67368421049</v>
      </c>
      <c r="G12">
        <v>167693.78947368421</v>
      </c>
      <c r="H12">
        <v>170297.2421052632</v>
      </c>
      <c r="I12">
        <v>172961.36842105261</v>
      </c>
      <c r="J12">
        <v>175628.25263157889</v>
      </c>
      <c r="K12">
        <v>178359.9473684211</v>
      </c>
      <c r="L12">
        <v>181131.63157894739</v>
      </c>
      <c r="M12">
        <v>183969.50526315789</v>
      </c>
      <c r="N12">
        <v>186836.33684210529</v>
      </c>
      <c r="O12">
        <v>189752.81052631579</v>
      </c>
      <c r="P12">
        <v>192724.44210526321</v>
      </c>
      <c r="Q12">
        <v>195723.652631579</v>
      </c>
    </row>
    <row r="13" spans="1:17" x14ac:dyDescent="0.3">
      <c r="A13" t="s">
        <v>79</v>
      </c>
      <c r="B13">
        <v>8355415.2768512331</v>
      </c>
      <c r="C13">
        <v>8372366.5777184777</v>
      </c>
      <c r="D13">
        <v>8372366.5777184777</v>
      </c>
      <c r="E13">
        <v>8372366.5777184777</v>
      </c>
      <c r="F13">
        <v>8372366.5777184777</v>
      </c>
      <c r="G13">
        <v>8372366.5777184777</v>
      </c>
      <c r="H13">
        <v>8372366.5777184777</v>
      </c>
      <c r="I13">
        <v>8372366.5777184777</v>
      </c>
      <c r="J13">
        <v>8372366.5777184777</v>
      </c>
      <c r="K13">
        <v>8372366.5777184777</v>
      </c>
      <c r="L13">
        <v>8372366.5777184777</v>
      </c>
      <c r="M13">
        <v>8372366.5777184777</v>
      </c>
      <c r="N13">
        <v>8372366.5777184777</v>
      </c>
      <c r="O13">
        <v>8372366.5777184777</v>
      </c>
      <c r="P13">
        <v>8372366.5777184777</v>
      </c>
      <c r="Q13">
        <v>8372366.5777184777</v>
      </c>
    </row>
    <row r="14" spans="1:17" x14ac:dyDescent="0.3">
      <c r="A14" t="s">
        <v>80</v>
      </c>
      <c r="B14">
        <v>0</v>
      </c>
      <c r="C14">
        <v>0</v>
      </c>
      <c r="D14">
        <v>988896.16410940641</v>
      </c>
      <c r="E14">
        <v>989410.30687124771</v>
      </c>
      <c r="F14">
        <v>989940.56037358264</v>
      </c>
      <c r="G14">
        <v>990484.12274849927</v>
      </c>
      <c r="H14">
        <v>991047.99866577727</v>
      </c>
      <c r="I14">
        <v>991630.08672448318</v>
      </c>
      <c r="J14">
        <v>992234.5897264845</v>
      </c>
      <c r="K14">
        <v>992843.29553035367</v>
      </c>
      <c r="L14">
        <v>993451.30086724507</v>
      </c>
      <c r="M14">
        <v>994089.42628418957</v>
      </c>
      <c r="N14">
        <v>994742.96197464992</v>
      </c>
      <c r="O14">
        <v>995413.30887258193</v>
      </c>
      <c r="P14">
        <v>996096.26417611772</v>
      </c>
      <c r="Q14">
        <v>996789.02601734502</v>
      </c>
    </row>
    <row r="15" spans="1:17" x14ac:dyDescent="0.3">
      <c r="A15" t="s">
        <v>81</v>
      </c>
      <c r="B15">
        <v>1905034.6831220819</v>
      </c>
      <c r="C15">
        <v>1908899.579719814</v>
      </c>
      <c r="D15">
        <v>65566725.070046708</v>
      </c>
      <c r="E15">
        <v>66508266.584389612</v>
      </c>
      <c r="F15">
        <v>67464461.167444974</v>
      </c>
      <c r="G15">
        <v>68435556.364242837</v>
      </c>
      <c r="H15">
        <v>69421727.851901278</v>
      </c>
      <c r="I15">
        <v>70423326.984656453</v>
      </c>
      <c r="J15">
        <v>71440369.733155459</v>
      </c>
      <c r="K15">
        <v>72473231.407605082</v>
      </c>
      <c r="L15">
        <v>73522143.582388267</v>
      </c>
      <c r="M15">
        <v>74587489.553035364</v>
      </c>
      <c r="N15">
        <v>75669437.011340901</v>
      </c>
      <c r="O15">
        <v>76768273.428952649</v>
      </c>
      <c r="P15">
        <v>77884318.218812555</v>
      </c>
      <c r="Q15">
        <v>79017731.087391615</v>
      </c>
    </row>
    <row r="16" spans="1:17" x14ac:dyDescent="0.3">
      <c r="A16" t="s">
        <v>129</v>
      </c>
      <c r="B16">
        <v>270378.02602631581</v>
      </c>
      <c r="C16">
        <v>270926.56360526307</v>
      </c>
      <c r="D16">
        <v>9305763.2254736833</v>
      </c>
      <c r="E16">
        <v>9439394.4597631581</v>
      </c>
      <c r="F16">
        <v>9575105.3768157884</v>
      </c>
      <c r="G16">
        <v>9712931.1102368422</v>
      </c>
      <c r="H16">
        <v>9852896.5935526304</v>
      </c>
      <c r="I16">
        <v>9995051.6938157901</v>
      </c>
      <c r="J16">
        <v>10139398.677710529</v>
      </c>
      <c r="K16">
        <v>10285990.81231579</v>
      </c>
      <c r="L16">
        <v>10434860.96455263</v>
      </c>
      <c r="M16">
        <v>10586063.5348421</v>
      </c>
      <c r="N16">
        <v>10739622.323368421</v>
      </c>
      <c r="O16">
        <v>10895578.130447371</v>
      </c>
      <c r="P16">
        <v>11053976.28976316</v>
      </c>
      <c r="Q16">
        <v>11214839.468157889</v>
      </c>
    </row>
    <row r="17" spans="1:17" x14ac:dyDescent="0.3">
      <c r="A17" t="s">
        <v>82</v>
      </c>
      <c r="B17">
        <v>0</v>
      </c>
      <c r="C17">
        <v>0</v>
      </c>
      <c r="D17">
        <v>9901041.4260000028</v>
      </c>
      <c r="E17">
        <v>10047484.403999999</v>
      </c>
      <c r="F17">
        <v>10196206.452</v>
      </c>
      <c r="G17">
        <v>10347246.072000001</v>
      </c>
      <c r="H17">
        <v>10500630.588</v>
      </c>
      <c r="I17">
        <v>10656414.648</v>
      </c>
      <c r="J17">
        <v>10814600.736</v>
      </c>
      <c r="K17">
        <v>10975247.226</v>
      </c>
      <c r="L17">
        <v>11138390.136</v>
      </c>
      <c r="M17">
        <v>11304089.082</v>
      </c>
      <c r="N17">
        <v>11472370.146</v>
      </c>
      <c r="O17">
        <v>11643278.039999999</v>
      </c>
      <c r="P17">
        <v>11816862.444</v>
      </c>
      <c r="Q17">
        <v>11993148.198000001</v>
      </c>
    </row>
    <row r="18" spans="1:17" x14ac:dyDescent="0.3">
      <c r="A18" t="s">
        <v>83</v>
      </c>
      <c r="B18">
        <v>29327312.033599999</v>
      </c>
      <c r="C18">
        <v>29761884.818999998</v>
      </c>
      <c r="D18">
        <v>30203472.423900001</v>
      </c>
      <c r="E18">
        <v>30651921.3772</v>
      </c>
      <c r="F18">
        <v>31107302.594099998</v>
      </c>
      <c r="G18">
        <v>31569909.672499999</v>
      </c>
      <c r="H18">
        <v>32039762.058899999</v>
      </c>
      <c r="I18">
        <v>32516736.739799999</v>
      </c>
      <c r="J18">
        <v>33001446.305500001</v>
      </c>
      <c r="K18">
        <v>33493767.429499999</v>
      </c>
      <c r="L18">
        <v>33993576.926600002</v>
      </c>
      <c r="M18">
        <v>34501237.627100013</v>
      </c>
      <c r="N18">
        <v>35016963.7469</v>
      </c>
      <c r="O18">
        <v>35540938.905599996</v>
      </c>
      <c r="P18">
        <v>36072930.027000003</v>
      </c>
      <c r="Q18">
        <v>36613279.292499997</v>
      </c>
    </row>
    <row r="19" spans="1:17" x14ac:dyDescent="0.3">
      <c r="A19" t="s">
        <v>84</v>
      </c>
      <c r="B19">
        <v>2842917.253794</v>
      </c>
      <c r="C19">
        <v>2884885.939152</v>
      </c>
      <c r="D19">
        <v>2927517.1507259998</v>
      </c>
      <c r="E19">
        <v>2970810.1540080011</v>
      </c>
      <c r="F19">
        <v>3014771.1923159999</v>
      </c>
      <c r="G19">
        <v>3059420.097366001</v>
      </c>
      <c r="H19">
        <v>3104760.9089520001</v>
      </c>
      <c r="I19">
        <v>3150799.5031380001</v>
      </c>
      <c r="J19">
        <v>3197564.892990001</v>
      </c>
      <c r="K19">
        <v>3245057.8130160002</v>
      </c>
      <c r="L19">
        <v>3293279.364978001</v>
      </c>
      <c r="M19">
        <v>3342254.5221480001</v>
      </c>
      <c r="N19">
        <v>3391998.7091939999</v>
      </c>
      <c r="O19">
        <v>3444800.7489479999</v>
      </c>
      <c r="P19">
        <v>3498452.1998999999</v>
      </c>
      <c r="Q19">
        <v>3552967.86075</v>
      </c>
    </row>
    <row r="20" spans="1:17" x14ac:dyDescent="0.3">
      <c r="A20" t="s">
        <v>85</v>
      </c>
      <c r="B20">
        <v>109660055.7959816</v>
      </c>
      <c r="C20">
        <v>112971789.4810202</v>
      </c>
      <c r="D20">
        <v>116383537.52334701</v>
      </c>
      <c r="E20">
        <v>119898320.35655209</v>
      </c>
      <c r="F20">
        <v>123519249.63132</v>
      </c>
      <c r="G20">
        <v>127249530.9701858</v>
      </c>
      <c r="H20">
        <v>131092466.8054855</v>
      </c>
      <c r="I20">
        <v>135051459.30301109</v>
      </c>
      <c r="J20">
        <v>139130013.3739621</v>
      </c>
      <c r="K20">
        <v>143331739.77785569</v>
      </c>
      <c r="L20">
        <v>147660358.31914699</v>
      </c>
      <c r="M20">
        <v>152119701.14038521</v>
      </c>
      <c r="N20">
        <v>156713716.1148248</v>
      </c>
      <c r="O20">
        <v>161446470.3414925</v>
      </c>
      <c r="P20">
        <v>166322153.74580559</v>
      </c>
      <c r="Q20">
        <v>171345082.78892899</v>
      </c>
    </row>
    <row r="21" spans="1:17" x14ac:dyDescent="0.3">
      <c r="A21" t="s">
        <v>86</v>
      </c>
      <c r="B21">
        <v>2140632.757288021</v>
      </c>
      <c r="C21">
        <v>2140632.757288021</v>
      </c>
      <c r="D21">
        <v>2140632.757288021</v>
      </c>
      <c r="E21">
        <v>2140632.757288021</v>
      </c>
      <c r="F21">
        <v>2140632.757288021</v>
      </c>
      <c r="G21">
        <v>2140632.757288021</v>
      </c>
      <c r="H21">
        <v>2140632.757288021</v>
      </c>
      <c r="I21">
        <v>2140632.757288021</v>
      </c>
      <c r="J21">
        <v>2140632.757288021</v>
      </c>
      <c r="K21">
        <v>2140632.757288021</v>
      </c>
      <c r="L21">
        <v>2140632.757288021</v>
      </c>
      <c r="M21">
        <v>2140632.757288021</v>
      </c>
      <c r="N21">
        <v>2140632.757288021</v>
      </c>
      <c r="O21">
        <v>2140632.757288021</v>
      </c>
      <c r="P21">
        <v>2140632.757288021</v>
      </c>
      <c r="Q21">
        <v>2140632.757288021</v>
      </c>
    </row>
    <row r="22" spans="1:17" x14ac:dyDescent="0.3">
      <c r="A22" t="s">
        <v>127</v>
      </c>
      <c r="B22">
        <v>27788791.12916531</v>
      </c>
      <c r="C22">
        <v>28628012.621266112</v>
      </c>
      <c r="D22">
        <v>29492578.602428339</v>
      </c>
      <c r="E22">
        <v>30383254.476221681</v>
      </c>
      <c r="F22">
        <v>31300828.761403579</v>
      </c>
      <c r="G22">
        <v>32246113.789997961</v>
      </c>
      <c r="H22">
        <v>33219946.4264559</v>
      </c>
      <c r="I22">
        <v>34223188.808534868</v>
      </c>
      <c r="J22">
        <v>35256729.110552616</v>
      </c>
      <c r="K22">
        <v>36321482.329691313</v>
      </c>
      <c r="L22">
        <v>37418391.09604799</v>
      </c>
      <c r="M22">
        <v>38548426.507148638</v>
      </c>
      <c r="N22">
        <v>39712588.987664543</v>
      </c>
      <c r="O22">
        <v>40911909.175091997</v>
      </c>
      <c r="P22">
        <v>42147448.83217977</v>
      </c>
      <c r="Q22">
        <v>43420301.786911607</v>
      </c>
    </row>
    <row r="23" spans="1:17" x14ac:dyDescent="0.3">
      <c r="A23" t="s">
        <v>87</v>
      </c>
      <c r="B23">
        <v>11333337.87180597</v>
      </c>
      <c r="C23">
        <v>11675604.675534509</v>
      </c>
      <c r="D23">
        <v>12028207.936735651</v>
      </c>
      <c r="E23">
        <v>12391459.816425061</v>
      </c>
      <c r="F23">
        <v>12765681.902881101</v>
      </c>
      <c r="G23">
        <v>13151205.496348109</v>
      </c>
      <c r="H23">
        <v>13548371.902337819</v>
      </c>
      <c r="I23">
        <v>13957532.733788431</v>
      </c>
      <c r="J23">
        <v>14379050.222348841</v>
      </c>
      <c r="K23">
        <v>14813297.53906377</v>
      </c>
      <c r="L23">
        <v>15260659.124743501</v>
      </c>
      <c r="M23">
        <v>15721531.03031075</v>
      </c>
      <c r="N23">
        <v>16196321.267426141</v>
      </c>
      <c r="O23">
        <v>16685450.169702411</v>
      </c>
      <c r="P23">
        <v>17189350.764827419</v>
      </c>
      <c r="Q23">
        <v>17708469.157925211</v>
      </c>
    </row>
    <row r="24" spans="1:17" x14ac:dyDescent="0.3">
      <c r="A24" t="s">
        <v>88</v>
      </c>
      <c r="B24">
        <v>15059297.098782919</v>
      </c>
      <c r="C24">
        <v>16365930.202074969</v>
      </c>
      <c r="D24">
        <v>17605311.81183121</v>
      </c>
      <c r="E24">
        <v>18787950.45164559</v>
      </c>
      <c r="F24">
        <v>19920331.043655042</v>
      </c>
      <c r="G24">
        <v>21004021.850075651</v>
      </c>
      <c r="H24">
        <v>22020444.111150589</v>
      </c>
      <c r="I24">
        <v>22999172.32468145</v>
      </c>
      <c r="J24">
        <v>23932493.371293422</v>
      </c>
      <c r="K24">
        <v>24808160.14691899</v>
      </c>
      <c r="L24">
        <v>25649117.9741886</v>
      </c>
      <c r="M24">
        <v>26438330.813938659</v>
      </c>
      <c r="N24">
        <v>27203655.796077229</v>
      </c>
      <c r="O24">
        <v>27905835.559449151</v>
      </c>
      <c r="P24">
        <v>28570861.076024611</v>
      </c>
      <c r="Q24">
        <v>29204692.36285311</v>
      </c>
    </row>
    <row r="25" spans="1:17" x14ac:dyDescent="0.3">
      <c r="A25" t="s">
        <v>89</v>
      </c>
      <c r="B25">
        <v>11454528.79692</v>
      </c>
      <c r="C25">
        <v>11605245.385439999</v>
      </c>
      <c r="D25">
        <v>11754261.872640001</v>
      </c>
      <c r="E25">
        <v>11910614.6448</v>
      </c>
      <c r="F25">
        <v>12064207.15656</v>
      </c>
      <c r="G25">
        <v>12215887.7256</v>
      </c>
      <c r="H25">
        <v>12370044.321359999</v>
      </c>
      <c r="I25">
        <v>12526704.5547</v>
      </c>
      <c r="J25">
        <v>12685465.9113</v>
      </c>
      <c r="K25">
        <v>12846842.93568</v>
      </c>
      <c r="L25">
        <v>13010845.07244</v>
      </c>
      <c r="M25">
        <v>13177576.562759999</v>
      </c>
      <c r="N25">
        <v>13346549.839439999</v>
      </c>
      <c r="O25">
        <v>13525663.59096</v>
      </c>
      <c r="P25">
        <v>13700416.006200001</v>
      </c>
      <c r="Q25">
        <v>13876911.51</v>
      </c>
    </row>
    <row r="26" spans="1:17" x14ac:dyDescent="0.3">
      <c r="A26" t="s">
        <v>90</v>
      </c>
      <c r="B26">
        <v>14977605.9</v>
      </c>
      <c r="C26">
        <v>14988567.9</v>
      </c>
      <c r="D26">
        <v>14999799.824999999</v>
      </c>
      <c r="E26">
        <v>15164611.050000001</v>
      </c>
      <c r="F26">
        <v>15200011.800000001</v>
      </c>
      <c r="G26">
        <v>15223019.925000001</v>
      </c>
      <c r="H26">
        <v>15239525.625</v>
      </c>
      <c r="I26">
        <v>15255589.949999999</v>
      </c>
      <c r="J26">
        <v>15381185.4</v>
      </c>
      <c r="K26">
        <v>15413470.800000001</v>
      </c>
      <c r="L26">
        <v>15438891.675000001</v>
      </c>
      <c r="M26">
        <v>15464348.475</v>
      </c>
      <c r="N26">
        <v>15494514.525</v>
      </c>
      <c r="O26">
        <v>15539869.125</v>
      </c>
      <c r="P26">
        <v>15585356.475</v>
      </c>
      <c r="Q26">
        <v>15630976.949999999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5955-6A86-4C2F-B370-4F14B1D3A643}">
  <sheetPr>
    <tabColor theme="4" tint="-0.249977111117893"/>
  </sheetPr>
  <dimension ref="B2:Z75"/>
  <sheetViews>
    <sheetView tabSelected="1" topLeftCell="A47" zoomScale="80" zoomScaleNormal="80" workbookViewId="0">
      <selection activeCell="R76" sqref="R76"/>
    </sheetView>
  </sheetViews>
  <sheetFormatPr baseColWidth="10" defaultRowHeight="14.4" x14ac:dyDescent="0.3"/>
  <cols>
    <col min="1" max="1" width="5.33203125" customWidth="1"/>
    <col min="2" max="2" width="17.33203125" customWidth="1"/>
    <col min="3" max="3" width="14" bestFit="1" customWidth="1"/>
    <col min="4" max="4" width="12.5546875" bestFit="1" customWidth="1"/>
    <col min="5" max="5" width="18.109375" customWidth="1"/>
    <col min="6" max="6" width="19.6640625" customWidth="1"/>
    <col min="7" max="11" width="12" bestFit="1" customWidth="1"/>
    <col min="12" max="21" width="12.5546875" bestFit="1" customWidth="1"/>
    <col min="24" max="24" width="12.5546875" bestFit="1" customWidth="1"/>
    <col min="25" max="25" width="18.5546875" bestFit="1" customWidth="1"/>
    <col min="26" max="26" width="14.44140625" bestFit="1" customWidth="1"/>
  </cols>
  <sheetData>
    <row r="2" spans="2:21" ht="18.600000000000001" thickBot="1" x14ac:dyDescent="0.4">
      <c r="B2" s="59" t="s">
        <v>48</v>
      </c>
      <c r="C2" s="59"/>
      <c r="D2" s="59"/>
      <c r="E2" s="59"/>
      <c r="G2" s="59" t="s">
        <v>41</v>
      </c>
      <c r="H2" s="59"/>
      <c r="I2" s="59"/>
      <c r="J2" s="59"/>
      <c r="K2" s="59"/>
      <c r="M2" s="30"/>
      <c r="N2" s="30"/>
      <c r="O2" s="30"/>
      <c r="P2" s="30"/>
      <c r="Q2" s="30"/>
    </row>
    <row r="3" spans="2:21" ht="15" customHeight="1" x14ac:dyDescent="0.35">
      <c r="G3" s="5"/>
      <c r="H3" s="5"/>
      <c r="I3" s="5"/>
      <c r="J3" s="5"/>
    </row>
    <row r="4" spans="2:21" x14ac:dyDescent="0.3">
      <c r="B4" s="58" t="s">
        <v>49</v>
      </c>
      <c r="C4" s="58"/>
      <c r="D4" s="58" t="s">
        <v>40</v>
      </c>
      <c r="E4" s="58"/>
      <c r="G4" s="58" t="s">
        <v>17</v>
      </c>
      <c r="H4" s="58"/>
      <c r="I4" s="58"/>
      <c r="J4" s="19">
        <v>0.06</v>
      </c>
      <c r="K4" s="17" t="s">
        <v>29</v>
      </c>
      <c r="L4" s="60"/>
      <c r="M4" s="60"/>
      <c r="N4" s="60"/>
      <c r="O4" s="60"/>
      <c r="P4" s="60"/>
      <c r="R4" s="27" t="s">
        <v>42</v>
      </c>
      <c r="S4" s="28">
        <v>959.36</v>
      </c>
      <c r="T4" s="21" t="s">
        <v>132</v>
      </c>
      <c r="U4" s="31">
        <v>45946</v>
      </c>
    </row>
    <row r="5" spans="2:21" x14ac:dyDescent="0.3">
      <c r="B5" s="60" t="s">
        <v>50</v>
      </c>
      <c r="C5" s="60"/>
      <c r="D5" s="60" t="s">
        <v>134</v>
      </c>
      <c r="E5" s="60"/>
      <c r="G5" s="58" t="s">
        <v>44</v>
      </c>
      <c r="H5" s="58"/>
      <c r="I5" s="58"/>
      <c r="J5" s="20">
        <v>15</v>
      </c>
      <c r="K5" s="21" t="s">
        <v>45</v>
      </c>
      <c r="L5" s="55"/>
      <c r="M5" s="55"/>
      <c r="N5" s="55"/>
      <c r="O5" s="55"/>
      <c r="P5" s="55"/>
      <c r="R5" s="27" t="s">
        <v>43</v>
      </c>
      <c r="S5" s="28">
        <v>39521.26</v>
      </c>
      <c r="T5" s="21" t="s">
        <v>133</v>
      </c>
      <c r="U5" s="31">
        <v>45946</v>
      </c>
    </row>
    <row r="6" spans="2:21" x14ac:dyDescent="0.3">
      <c r="B6" s="60" t="s">
        <v>51</v>
      </c>
      <c r="C6" s="60"/>
      <c r="D6" s="60" t="s">
        <v>134</v>
      </c>
      <c r="E6" s="60"/>
      <c r="G6" s="46" t="s">
        <v>95</v>
      </c>
      <c r="H6" s="46"/>
      <c r="I6" s="46"/>
      <c r="J6" s="21">
        <v>12</v>
      </c>
      <c r="K6" s="21" t="s">
        <v>45</v>
      </c>
      <c r="L6" s="55"/>
      <c r="M6" s="55"/>
      <c r="N6" s="55"/>
      <c r="O6" s="55"/>
      <c r="P6" s="55"/>
    </row>
    <row r="7" spans="2:21" x14ac:dyDescent="0.3">
      <c r="B7" s="60" t="s">
        <v>52</v>
      </c>
      <c r="C7" s="60"/>
      <c r="D7" s="60" t="s">
        <v>135</v>
      </c>
      <c r="E7" s="60"/>
      <c r="G7" s="46" t="s">
        <v>116</v>
      </c>
      <c r="H7" s="46"/>
      <c r="I7" s="46"/>
      <c r="J7" s="22">
        <f>SUM(H17:Q17)/J6</f>
        <v>753199</v>
      </c>
      <c r="K7" s="21" t="s">
        <v>96</v>
      </c>
      <c r="L7" s="55" t="str">
        <f>"Razonable para chile en torno a 1M y 1,5M por año."</f>
        <v>Razonable para chile en torno a 1M y 1,5M por año.</v>
      </c>
      <c r="M7" s="55"/>
      <c r="N7" s="55"/>
      <c r="O7" s="55"/>
      <c r="P7" s="55"/>
    </row>
    <row r="8" spans="2:21" x14ac:dyDescent="0.3">
      <c r="B8" s="60" t="s">
        <v>53</v>
      </c>
      <c r="C8" s="60"/>
      <c r="D8" s="60" t="s">
        <v>136</v>
      </c>
      <c r="E8" s="60"/>
      <c r="G8" s="46" t="s">
        <v>117</v>
      </c>
      <c r="H8" s="46"/>
      <c r="I8" s="46"/>
      <c r="J8" s="22">
        <f>SUM(H18:Q18)/J6</f>
        <v>5221.833333333333</v>
      </c>
      <c r="K8" s="21" t="s">
        <v>96</v>
      </c>
      <c r="L8" s="55" t="str">
        <f t="shared" ref="L8:L9" si="0">"Razonable para chile en torno a 1M y 1,5M por año."</f>
        <v>Razonable para chile en torno a 1M y 1,5M por año.</v>
      </c>
      <c r="M8" s="55"/>
      <c r="N8" s="55"/>
      <c r="O8" s="55"/>
      <c r="P8" s="55"/>
    </row>
    <row r="9" spans="2:21" x14ac:dyDescent="0.3">
      <c r="B9" s="60" t="s">
        <v>54</v>
      </c>
      <c r="C9" s="60"/>
      <c r="D9" s="60" t="s">
        <v>136</v>
      </c>
      <c r="E9" s="60"/>
      <c r="G9" s="46" t="s">
        <v>118</v>
      </c>
      <c r="H9" s="46"/>
      <c r="I9" s="46"/>
      <c r="J9" s="22">
        <f>SUM(F19:O19)/J6</f>
        <v>18094.75</v>
      </c>
      <c r="K9" s="21" t="s">
        <v>96</v>
      </c>
      <c r="L9" s="55" t="str">
        <f t="shared" si="0"/>
        <v>Razonable para chile en torno a 1M y 1,5M por año.</v>
      </c>
      <c r="M9" s="55"/>
      <c r="N9" s="55"/>
      <c r="O9" s="55"/>
      <c r="P9" s="55"/>
      <c r="R9" s="42" t="s">
        <v>165</v>
      </c>
      <c r="S9" s="42">
        <f>SUM(F17:H19)</f>
        <v>8210904</v>
      </c>
    </row>
    <row r="12" spans="2:21" x14ac:dyDescent="0.3">
      <c r="B12" s="64" t="s">
        <v>109</v>
      </c>
      <c r="C12" s="64"/>
      <c r="D12" s="64"/>
      <c r="E12" s="23" t="s">
        <v>46</v>
      </c>
      <c r="F12" s="25">
        <v>-2</v>
      </c>
      <c r="G12" s="25">
        <v>0</v>
      </c>
      <c r="H12" s="25">
        <v>1</v>
      </c>
      <c r="I12" s="25">
        <v>2</v>
      </c>
      <c r="J12" s="25">
        <v>3</v>
      </c>
      <c r="K12" s="25">
        <v>4</v>
      </c>
      <c r="L12" s="25">
        <v>5</v>
      </c>
      <c r="M12" s="25">
        <v>6</v>
      </c>
      <c r="N12" s="25">
        <v>7</v>
      </c>
      <c r="O12" s="25">
        <v>8</v>
      </c>
      <c r="P12" s="25">
        <v>9</v>
      </c>
      <c r="Q12" s="25">
        <v>10</v>
      </c>
      <c r="R12" s="25">
        <v>11</v>
      </c>
      <c r="S12" s="25">
        <v>12</v>
      </c>
      <c r="T12" s="25">
        <v>13</v>
      </c>
      <c r="U12" s="25">
        <v>14</v>
      </c>
    </row>
    <row r="13" spans="2:21" x14ac:dyDescent="0.3">
      <c r="B13" s="65"/>
      <c r="C13" s="65"/>
      <c r="D13" s="65"/>
      <c r="E13" s="24" t="s">
        <v>47</v>
      </c>
      <c r="F13" s="26">
        <v>2025</v>
      </c>
      <c r="G13" s="26">
        <v>2026</v>
      </c>
      <c r="H13" s="26">
        <v>2027</v>
      </c>
      <c r="I13" s="26">
        <v>2028</v>
      </c>
      <c r="J13" s="26">
        <v>2029</v>
      </c>
      <c r="K13" s="26">
        <v>2030</v>
      </c>
      <c r="L13" s="26">
        <v>2031</v>
      </c>
      <c r="M13" s="26">
        <v>2032</v>
      </c>
      <c r="N13" s="26">
        <v>2033</v>
      </c>
      <c r="O13" s="26">
        <v>2034</v>
      </c>
      <c r="P13" s="26">
        <v>2035</v>
      </c>
      <c r="Q13" s="26">
        <v>2036</v>
      </c>
      <c r="R13" s="26">
        <v>2037</v>
      </c>
      <c r="S13" s="26">
        <v>2038</v>
      </c>
      <c r="T13" s="26">
        <v>2039</v>
      </c>
      <c r="U13" s="26">
        <v>2040</v>
      </c>
    </row>
    <row r="14" spans="2:21" x14ac:dyDescent="0.3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</row>
    <row r="15" spans="2:21" x14ac:dyDescent="0.3">
      <c r="B15" s="79" t="s">
        <v>110</v>
      </c>
      <c r="C15" s="82" t="s">
        <v>126</v>
      </c>
      <c r="D15" s="83"/>
      <c r="E15" s="83"/>
      <c r="F15" s="4">
        <f>'CB_SMMC_Mixto'!B2/1000</f>
        <v>34765.766042480063</v>
      </c>
      <c r="G15" s="4">
        <f>'CB_SMMC_Mixto'!C2/1000</f>
        <v>35815.692176962955</v>
      </c>
      <c r="H15" s="4">
        <f>'CB_SMMC_Mixto'!D2/1000</f>
        <v>36897.326080707237</v>
      </c>
      <c r="I15" s="4">
        <f>'CB_SMMC_Mixto'!E2/1000</f>
        <v>38011.625328344599</v>
      </c>
      <c r="J15" s="4">
        <f>'CB_SMMC_Mixto'!F2/1000</f>
        <v>39159.576413260605</v>
      </c>
      <c r="K15" s="4">
        <f>'CB_SMMC_Mixto'!G2/1000</f>
        <v>40342.195620941086</v>
      </c>
      <c r="L15" s="4">
        <f>'CB_SMMC_Mixto'!H2/1000</f>
        <v>41560.529928693504</v>
      </c>
      <c r="M15" s="4">
        <f>'CB_SMMC_Mixto'!I2/1000</f>
        <v>42815.657932540038</v>
      </c>
      <c r="N15" s="4">
        <f>'CB_SMMC_Mixto'!J2/1000</f>
        <v>44108.690802102763</v>
      </c>
      <c r="O15" s="4">
        <f>'CB_SMMC_Mixto'!K2/1000</f>
        <v>45440.773264326257</v>
      </c>
      <c r="P15" s="4">
        <f>'CB_SMMC_Mixto'!L2/1000</f>
        <v>46813.084616908905</v>
      </c>
      <c r="Q15" s="4">
        <f>'CB_SMMC_Mixto'!M2/1000</f>
        <v>48226.839772339561</v>
      </c>
      <c r="R15" s="4">
        <f>'CB_SMMC_Mixto'!N2/1000</f>
        <v>49683.290333464211</v>
      </c>
      <c r="S15" s="4">
        <f>'CB_SMMC_Mixto'!O2/1000</f>
        <v>51183.725701534837</v>
      </c>
      <c r="T15" s="4">
        <f>'CB_SMMC_Mixto'!P2/1000</f>
        <v>52729.474217721188</v>
      </c>
      <c r="U15" s="4">
        <f>'CB_SMMC_Mixto'!Q2/1000</f>
        <v>54321.904339096371</v>
      </c>
    </row>
    <row r="16" spans="2:21" x14ac:dyDescent="0.3">
      <c r="B16" s="80"/>
      <c r="C16" s="84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</row>
    <row r="17" spans="2:26" x14ac:dyDescent="0.3">
      <c r="B17" s="80"/>
      <c r="C17" s="66" t="s">
        <v>103</v>
      </c>
      <c r="D17" s="67"/>
      <c r="E17" s="67"/>
      <c r="F17" s="13">
        <f>'CB_SMMC_Mixto'!B3</f>
        <v>22317</v>
      </c>
      <c r="G17" s="13">
        <f>'CB_SMMC_Mixto'!C3</f>
        <v>58</v>
      </c>
      <c r="H17" s="13">
        <f>'CB_SMMC_Mixto'!D3</f>
        <v>7913832</v>
      </c>
      <c r="I17" s="13">
        <f>'CB_SMMC_Mixto'!E3</f>
        <v>117376</v>
      </c>
      <c r="J17" s="13">
        <f>'CB_SMMC_Mixto'!F3</f>
        <v>119200</v>
      </c>
      <c r="K17" s="13">
        <f>'CB_SMMC_Mixto'!G3</f>
        <v>121056</v>
      </c>
      <c r="L17" s="13">
        <f>'CB_SMMC_Mixto'!H3</f>
        <v>122935</v>
      </c>
      <c r="M17" s="13">
        <f>'CB_SMMC_Mixto'!I3</f>
        <v>124861</v>
      </c>
      <c r="N17" s="13">
        <f>'CB_SMMC_Mixto'!J3</f>
        <v>126789</v>
      </c>
      <c r="O17" s="13">
        <f>'CB_SMMC_Mixto'!K3</f>
        <v>128764</v>
      </c>
      <c r="P17" s="13">
        <f>'CB_SMMC_Mixto'!L3</f>
        <v>130761</v>
      </c>
      <c r="Q17" s="13">
        <f>'CB_SMMC_Mixto'!M3</f>
        <v>132814</v>
      </c>
      <c r="R17" s="13">
        <f>'CB_SMMC_Mixto'!N3</f>
        <v>134885</v>
      </c>
      <c r="S17" s="13">
        <f>'CB_SMMC_Mixto'!O3</f>
        <v>136990</v>
      </c>
      <c r="T17" s="13">
        <f>'CB_SMMC_Mixto'!P3</f>
        <v>139136</v>
      </c>
      <c r="U17" s="13">
        <f>'CB_SMMC_Mixto'!Q3</f>
        <v>141300</v>
      </c>
      <c r="V17">
        <f>SUM(H17:U17)+F17</f>
        <v>9613016</v>
      </c>
    </row>
    <row r="18" spans="2:26" x14ac:dyDescent="0.3">
      <c r="B18" s="80"/>
      <c r="C18" s="66" t="s">
        <v>104</v>
      </c>
      <c r="D18" s="67"/>
      <c r="E18" s="67"/>
      <c r="F18" s="13">
        <f>'CB_SMMC_Mixto'!B4</f>
        <v>0</v>
      </c>
      <c r="G18" s="13">
        <f>'CB_SMMC_Mixto'!C4</f>
        <v>0</v>
      </c>
      <c r="H18" s="13">
        <f>'CB_SMMC_Mixto'!D4</f>
        <v>57595</v>
      </c>
      <c r="I18" s="13">
        <f>'CB_SMMC_Mixto'!E4</f>
        <v>528</v>
      </c>
      <c r="J18" s="13">
        <f>'CB_SMMC_Mixto'!F4</f>
        <v>539</v>
      </c>
      <c r="K18" s="13">
        <f>'CB_SMMC_Mixto'!G4</f>
        <v>549</v>
      </c>
      <c r="L18" s="13">
        <f>'CB_SMMC_Mixto'!H4</f>
        <v>558</v>
      </c>
      <c r="M18" s="13">
        <f>'CB_SMMC_Mixto'!I4</f>
        <v>564</v>
      </c>
      <c r="N18" s="13">
        <f>'CB_SMMC_Mixto'!J4</f>
        <v>570</v>
      </c>
      <c r="O18" s="13">
        <f>'CB_SMMC_Mixto'!K4</f>
        <v>576</v>
      </c>
      <c r="P18" s="13">
        <f>'CB_SMMC_Mixto'!L4</f>
        <v>589</v>
      </c>
      <c r="Q18" s="13">
        <f>'CB_SMMC_Mixto'!M4</f>
        <v>594</v>
      </c>
      <c r="R18" s="13">
        <f>'CB_SMMC_Mixto'!N4</f>
        <v>602</v>
      </c>
      <c r="S18" s="13">
        <f>'CB_SMMC_Mixto'!O4</f>
        <v>612</v>
      </c>
      <c r="T18" s="13">
        <f>'CB_SMMC_Mixto'!P4</f>
        <v>621</v>
      </c>
      <c r="U18" s="13">
        <f>'CB_SMMC_Mixto'!Q4</f>
        <v>632</v>
      </c>
    </row>
    <row r="19" spans="2:26" x14ac:dyDescent="0.3">
      <c r="B19" s="81"/>
      <c r="C19" s="66" t="s">
        <v>105</v>
      </c>
      <c r="D19" s="67"/>
      <c r="E19" s="67"/>
      <c r="F19" s="14">
        <f>'CB_SMMC_Mixto'!B5</f>
        <v>216250</v>
      </c>
      <c r="G19" s="14">
        <f>'CB_SMMC_Mixto'!C5</f>
        <v>426</v>
      </c>
      <c r="H19" s="14">
        <f>'CB_SMMC_Mixto'!D5</f>
        <v>426</v>
      </c>
      <c r="I19" s="14">
        <f>'CB_SMMC_Mixto'!E5</f>
        <v>5</v>
      </c>
      <c r="J19" s="14">
        <f>'CB_SMMC_Mixto'!F5</f>
        <v>5</v>
      </c>
      <c r="K19" s="14">
        <f>'CB_SMMC_Mixto'!G5</f>
        <v>5</v>
      </c>
      <c r="L19" s="14">
        <f>'CB_SMMC_Mixto'!H5</f>
        <v>5</v>
      </c>
      <c r="M19" s="14">
        <f>'CB_SMMC_Mixto'!I5</f>
        <v>5</v>
      </c>
      <c r="N19" s="14">
        <f>'CB_SMMC_Mixto'!J5</f>
        <v>5</v>
      </c>
      <c r="O19" s="14">
        <f>'CB_SMMC_Mixto'!K5</f>
        <v>5</v>
      </c>
      <c r="P19" s="14">
        <f>'CB_SMMC_Mixto'!L5</f>
        <v>5</v>
      </c>
      <c r="Q19" s="14">
        <f>'CB_SMMC_Mixto'!M5</f>
        <v>5</v>
      </c>
      <c r="R19" s="14">
        <f>'CB_SMMC_Mixto'!N5</f>
        <v>5</v>
      </c>
      <c r="S19" s="14">
        <f>'CB_SMMC_Mixto'!O5</f>
        <v>5</v>
      </c>
      <c r="T19" s="14">
        <f>'CB_SMMC_Mixto'!P5</f>
        <v>5</v>
      </c>
      <c r="U19" s="14">
        <f>'CB_SMMC_Mixto'!Q5</f>
        <v>5</v>
      </c>
    </row>
    <row r="20" spans="2:26" x14ac:dyDescent="0.3">
      <c r="B20" s="11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</row>
    <row r="21" spans="2:26" x14ac:dyDescent="0.3">
      <c r="B21" s="50" t="s">
        <v>94</v>
      </c>
      <c r="C21" s="48" t="s">
        <v>113</v>
      </c>
      <c r="D21" s="49"/>
      <c r="E21" s="49"/>
      <c r="F21" s="10">
        <f>F17</f>
        <v>22317</v>
      </c>
      <c r="G21" s="12">
        <f>G17</f>
        <v>58</v>
      </c>
      <c r="H21" s="12">
        <f>IF(H$12&lt;=$J$6,$J7,H17)</f>
        <v>753199</v>
      </c>
      <c r="I21" s="12">
        <f t="shared" ref="I21:U21" si="1">IF(I$12&lt;=$J$6,$J7,I17)</f>
        <v>753199</v>
      </c>
      <c r="J21" s="12">
        <f t="shared" si="1"/>
        <v>753199</v>
      </c>
      <c r="K21" s="12">
        <f t="shared" si="1"/>
        <v>753199</v>
      </c>
      <c r="L21" s="12">
        <f t="shared" si="1"/>
        <v>753199</v>
      </c>
      <c r="M21" s="12">
        <f t="shared" si="1"/>
        <v>753199</v>
      </c>
      <c r="N21" s="12">
        <f t="shared" si="1"/>
        <v>753199</v>
      </c>
      <c r="O21" s="12">
        <f t="shared" si="1"/>
        <v>753199</v>
      </c>
      <c r="P21" s="12">
        <f t="shared" si="1"/>
        <v>753199</v>
      </c>
      <c r="Q21" s="12">
        <f t="shared" si="1"/>
        <v>753199</v>
      </c>
      <c r="R21" s="12">
        <f t="shared" si="1"/>
        <v>753199</v>
      </c>
      <c r="S21" s="12">
        <f t="shared" si="1"/>
        <v>753199</v>
      </c>
      <c r="T21" s="12">
        <f t="shared" si="1"/>
        <v>139136</v>
      </c>
      <c r="U21" s="12">
        <f t="shared" si="1"/>
        <v>141300</v>
      </c>
      <c r="V21" s="41">
        <f>SUM(H21:P21)</f>
        <v>6778791</v>
      </c>
    </row>
    <row r="22" spans="2:26" x14ac:dyDescent="0.3">
      <c r="B22" s="51"/>
      <c r="C22" s="48" t="s">
        <v>114</v>
      </c>
      <c r="D22" s="49"/>
      <c r="E22" s="49"/>
      <c r="F22" s="10">
        <f>F18</f>
        <v>0</v>
      </c>
      <c r="G22" s="12">
        <v>0</v>
      </c>
      <c r="H22" s="12">
        <f>IF(H$12&lt;=$J$6,$J8,H18)</f>
        <v>5221.833333333333</v>
      </c>
      <c r="I22" s="12">
        <f t="shared" ref="I22:U22" si="2">IF(I$12&lt;=$J$6,$J8,I18)</f>
        <v>5221.833333333333</v>
      </c>
      <c r="J22" s="12">
        <f t="shared" si="2"/>
        <v>5221.833333333333</v>
      </c>
      <c r="K22" s="12">
        <f t="shared" si="2"/>
        <v>5221.833333333333</v>
      </c>
      <c r="L22" s="12">
        <f t="shared" si="2"/>
        <v>5221.833333333333</v>
      </c>
      <c r="M22" s="12">
        <f t="shared" si="2"/>
        <v>5221.833333333333</v>
      </c>
      <c r="N22" s="12">
        <f t="shared" si="2"/>
        <v>5221.833333333333</v>
      </c>
      <c r="O22" s="12">
        <f t="shared" si="2"/>
        <v>5221.833333333333</v>
      </c>
      <c r="P22" s="12">
        <f t="shared" si="2"/>
        <v>5221.833333333333</v>
      </c>
      <c r="Q22" s="12">
        <f t="shared" si="2"/>
        <v>5221.833333333333</v>
      </c>
      <c r="R22" s="12">
        <f t="shared" si="2"/>
        <v>5221.833333333333</v>
      </c>
      <c r="S22" s="12">
        <f t="shared" si="2"/>
        <v>5221.833333333333</v>
      </c>
      <c r="T22" s="12">
        <f t="shared" si="2"/>
        <v>621</v>
      </c>
      <c r="U22" s="12">
        <f t="shared" si="2"/>
        <v>632</v>
      </c>
    </row>
    <row r="23" spans="2:26" x14ac:dyDescent="0.3">
      <c r="B23" s="51"/>
      <c r="C23" s="48" t="s">
        <v>115</v>
      </c>
      <c r="D23" s="49"/>
      <c r="E23" s="49"/>
      <c r="F23" s="40">
        <f>$J$9</f>
        <v>18094.75</v>
      </c>
      <c r="G23" s="40">
        <f>$J$9</f>
        <v>18094.75</v>
      </c>
      <c r="H23" s="40">
        <f t="shared" ref="G23:O23" si="3">$J$9</f>
        <v>18094.75</v>
      </c>
      <c r="I23" s="40">
        <f t="shared" si="3"/>
        <v>18094.75</v>
      </c>
      <c r="J23" s="40">
        <f t="shared" si="3"/>
        <v>18094.75</v>
      </c>
      <c r="K23" s="40">
        <f t="shared" si="3"/>
        <v>18094.75</v>
      </c>
      <c r="L23" s="40">
        <f t="shared" si="3"/>
        <v>18094.75</v>
      </c>
      <c r="M23" s="40">
        <f t="shared" si="3"/>
        <v>18094.75</v>
      </c>
      <c r="N23" s="40">
        <f t="shared" si="3"/>
        <v>18094.75</v>
      </c>
      <c r="O23" s="40">
        <f t="shared" si="3"/>
        <v>18094.75</v>
      </c>
      <c r="P23" s="12">
        <f>P19</f>
        <v>5</v>
      </c>
      <c r="Q23" s="12">
        <f>Q19</f>
        <v>5</v>
      </c>
      <c r="R23" s="12">
        <f t="shared" ref="R23:U23" si="4">IF(R$12&lt;=$J$6,$J9,R19)</f>
        <v>18094.75</v>
      </c>
      <c r="S23" s="12">
        <f t="shared" si="4"/>
        <v>18094.75</v>
      </c>
      <c r="T23" s="12">
        <f t="shared" si="4"/>
        <v>5</v>
      </c>
      <c r="U23" s="12">
        <f t="shared" si="4"/>
        <v>5</v>
      </c>
    </row>
    <row r="24" spans="2:26" x14ac:dyDescent="0.3">
      <c r="B24" s="51"/>
      <c r="C24" s="84" t="s">
        <v>102</v>
      </c>
      <c r="D24" s="69"/>
      <c r="E24" s="69"/>
      <c r="F24" s="7">
        <f>SUM(F17:F19)-SUM(F21:F23)</f>
        <v>198155.25</v>
      </c>
      <c r="G24" s="7">
        <f>SUM(F24,G17:G19)-SUM(G21:G23)</f>
        <v>180486.5</v>
      </c>
      <c r="H24" s="7">
        <f>SUM(G24,H17:H19)-SUM(H21:H23)</f>
        <v>7375823.916666667</v>
      </c>
      <c r="I24" s="7">
        <f>SUM(H24,I17:I19)-SUM(I21:I23)</f>
        <v>6717217.333333334</v>
      </c>
      <c r="J24" s="7">
        <f t="shared" ref="J24:U24" si="5">SUM(I24,J17:J19)-SUM(J21:J23)</f>
        <v>6060445.7500000009</v>
      </c>
      <c r="K24" s="7">
        <f t="shared" si="5"/>
        <v>5405540.1666666679</v>
      </c>
      <c r="L24" s="7">
        <f t="shared" si="5"/>
        <v>4752522.5833333349</v>
      </c>
      <c r="M24" s="7">
        <f t="shared" si="5"/>
        <v>4101437.0000000014</v>
      </c>
      <c r="N24" s="7">
        <f t="shared" si="5"/>
        <v>3452285.4166666684</v>
      </c>
      <c r="O24" s="7">
        <f t="shared" si="5"/>
        <v>2805114.8333333349</v>
      </c>
      <c r="P24" s="7">
        <f>SUM(O24,P17:P19)-SUM(P21:P23)</f>
        <v>2178044.0000000014</v>
      </c>
      <c r="Q24" s="7">
        <f t="shared" si="5"/>
        <v>1553031.1666666679</v>
      </c>
      <c r="R24" s="7">
        <f t="shared" si="5"/>
        <v>912007.58333333454</v>
      </c>
      <c r="S24" s="7">
        <f t="shared" si="5"/>
        <v>273099.00000000105</v>
      </c>
      <c r="T24" s="7">
        <f t="shared" si="5"/>
        <v>273099.00000000105</v>
      </c>
      <c r="U24" s="7">
        <f t="shared" si="5"/>
        <v>273099.00000000105</v>
      </c>
    </row>
    <row r="25" spans="2:26" x14ac:dyDescent="0.3">
      <c r="B25" s="52"/>
      <c r="C25" s="68" t="s">
        <v>97</v>
      </c>
      <c r="D25" s="68"/>
      <c r="E25" s="68"/>
      <c r="F25" s="18">
        <f>IF(F$12&lt;=$J$6,SUM($F$21:F23)/$S$9,1)</f>
        <v>4.9217175112508931E-3</v>
      </c>
      <c r="G25" s="18">
        <f>IF(G$12&lt;=$J$6,SUM($F$21:G23)/$S$9,1)</f>
        <v>7.1325276729578132E-3</v>
      </c>
      <c r="H25" s="18">
        <f>IF(H$12&lt;=$J$6,SUM($F$21:H23)/SUM($F$17:H19),1)</f>
        <v>0.10170379331354178</v>
      </c>
      <c r="I25" s="18">
        <f>IF(I$12&lt;=$J$6,SUM($F$21:I23)/SUM($F$17:I19),1)</f>
        <v>0.19349644020902695</v>
      </c>
      <c r="J25" s="18">
        <f>IF(J$12&lt;=$J$6,SUM($F$21:J23)/SUM($F$17:J19),1)</f>
        <v>0.28266498645863436</v>
      </c>
      <c r="K25" s="18">
        <f>IF(K$12&lt;=$J$6,SUM($F$21:K23)/SUM($F$17:K19),1)</f>
        <v>0.36926081292620483</v>
      </c>
      <c r="L25" s="18">
        <f>IF(L$12&lt;=$J$6,SUM($F$21:L23)/SUM($F$17:L19),1)</f>
        <v>0.45333497629212394</v>
      </c>
      <c r="M25" s="18">
        <f>IF(M$12&lt;=$J$6,SUM($F$21:M23)/SUM($F$17:M19),1)</f>
        <v>0.5349367480450089</v>
      </c>
      <c r="N25" s="18">
        <f>IF(N$12&lt;=$J$6,SUM($F$21:N23)/SUM($F$17:N19),1)</f>
        <v>0.61411711419382031</v>
      </c>
      <c r="O25" s="18">
        <f>IF(O$12&lt;=$J$6,SUM($F$21:O23)/SUM($F$17:O19),1)</f>
        <v>0.6909238197152191</v>
      </c>
      <c r="P25" s="18">
        <f>IF(P$12&lt;=$J$6,SUM($F$21:P23)/SUM($F$17:P19),1)</f>
        <v>0.76344016650521596</v>
      </c>
      <c r="Q25" s="18">
        <f>IF(Q$12&lt;=$J$6,SUM($F$21:Q23)/SUM($F$17:Q19),1)</f>
        <v>0.833732755695618</v>
      </c>
      <c r="R25" s="18">
        <f>IF(R$12&lt;=$J$6,SUM($F$21:R23)/SUM($F$17:R19),1)</f>
        <v>0.90375670918502282</v>
      </c>
      <c r="S25" s="18">
        <f>IF(S$12&lt;=$J$6,SUM($F$21:S23)/SUM($F$17:S19),1)</f>
        <v>0.97159264135417234</v>
      </c>
      <c r="T25" s="18">
        <f>IF(T$12&lt;=$J$6,SUM($F$21:T23)/SUM($F$17:T19),1)</f>
        <v>1</v>
      </c>
      <c r="U25" s="18">
        <f>IF(U$12&lt;=$J$6,SUM($F$21:U23)/SUM($F$17:U19),1)</f>
        <v>1</v>
      </c>
    </row>
    <row r="26" spans="2:26" ht="28.2" customHeight="1" x14ac:dyDescent="0.3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2:26" x14ac:dyDescent="0.3">
      <c r="B27" s="70" t="s">
        <v>112</v>
      </c>
      <c r="C27" s="71"/>
      <c r="D27" s="72"/>
      <c r="E27" s="23" t="s">
        <v>46</v>
      </c>
      <c r="F27" s="25">
        <v>-2</v>
      </c>
      <c r="G27" s="25">
        <v>-1</v>
      </c>
      <c r="H27" s="25">
        <v>0</v>
      </c>
      <c r="I27" s="25">
        <v>1</v>
      </c>
      <c r="J27" s="25">
        <v>2</v>
      </c>
      <c r="K27" s="25">
        <v>3</v>
      </c>
      <c r="L27" s="25">
        <v>4</v>
      </c>
      <c r="M27" s="25">
        <v>5</v>
      </c>
      <c r="N27" s="25">
        <v>6</v>
      </c>
      <c r="O27" s="25">
        <v>7</v>
      </c>
      <c r="P27" s="25">
        <v>8</v>
      </c>
      <c r="Q27" s="25">
        <v>9</v>
      </c>
      <c r="R27" s="25">
        <v>10</v>
      </c>
      <c r="S27" s="25">
        <v>11</v>
      </c>
      <c r="T27" s="25">
        <v>12</v>
      </c>
      <c r="U27" s="25">
        <v>13</v>
      </c>
    </row>
    <row r="28" spans="2:26" x14ac:dyDescent="0.3">
      <c r="B28" s="73"/>
      <c r="C28" s="74"/>
      <c r="D28" s="75"/>
      <c r="E28" s="24" t="s">
        <v>47</v>
      </c>
      <c r="F28" s="26">
        <v>2025</v>
      </c>
      <c r="G28" s="26">
        <v>2026</v>
      </c>
      <c r="H28" s="26">
        <v>2027</v>
      </c>
      <c r="I28" s="26">
        <v>2028</v>
      </c>
      <c r="J28" s="26">
        <v>2029</v>
      </c>
      <c r="K28" s="26">
        <v>2030</v>
      </c>
      <c r="L28" s="26">
        <v>2031</v>
      </c>
      <c r="M28" s="26">
        <v>2032</v>
      </c>
      <c r="N28" s="26">
        <v>2033</v>
      </c>
      <c r="O28" s="26">
        <v>2034</v>
      </c>
      <c r="P28" s="26">
        <v>2035</v>
      </c>
      <c r="Q28" s="26">
        <v>2036</v>
      </c>
      <c r="R28" s="26">
        <v>2037</v>
      </c>
      <c r="S28" s="26">
        <v>2038</v>
      </c>
      <c r="T28" s="26">
        <v>2039</v>
      </c>
      <c r="U28" s="26">
        <v>2040</v>
      </c>
      <c r="W28" s="38" t="s">
        <v>162</v>
      </c>
      <c r="X28" s="38" t="s">
        <v>163</v>
      </c>
      <c r="Y28" s="1" t="s">
        <v>164</v>
      </c>
      <c r="Z28" s="39" t="s">
        <v>161</v>
      </c>
    </row>
    <row r="29" spans="2:2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6" x14ac:dyDescent="0.3">
      <c r="B30" s="76" t="s">
        <v>106</v>
      </c>
      <c r="C30" s="53" t="s">
        <v>55</v>
      </c>
      <c r="D30" s="54"/>
      <c r="E30" s="54"/>
      <c r="F30" s="9">
        <f>((-'CB_SMMC_Mixto'!B7)*F21)/1000000</f>
        <v>-3.9783766613333333</v>
      </c>
      <c r="G30" s="9">
        <f>((-'CB_SMMC_Mixto'!C7)*G21)/1000000</f>
        <v>-9.972914666666664E-3</v>
      </c>
      <c r="H30" s="9">
        <f>((-'CB_SMMC_Mixto'!D7)*H21)/1000000</f>
        <v>-114.23427114187447</v>
      </c>
      <c r="I30" s="9">
        <f>((-'CB_SMMC_Mixto'!E7)*I21)/1000000</f>
        <v>-114.64520843961058</v>
      </c>
      <c r="J30" s="9">
        <f>((-'CB_SMMC_Mixto'!F7)*J21)/1000000</f>
        <v>-114.64718968856448</v>
      </c>
      <c r="K30" s="9">
        <f>((-'CB_SMMC_Mixto'!G7)*K21)/1000000</f>
        <v>-114.65283935820183</v>
      </c>
      <c r="L30" s="9">
        <f>((-'CB_SMMC_Mixto'!H7)*L21)/1000000</f>
        <v>-114.66166705027726</v>
      </c>
      <c r="M30" s="9">
        <f>((-'CB_SMMC_Mixto'!I7)*M21)/1000000</f>
        <v>-114.66732426798491</v>
      </c>
      <c r="N30" s="9">
        <f>((-'CB_SMMC_Mixto'!J7)*N21)/1000000</f>
        <v>-114.6698560639594</v>
      </c>
      <c r="O30" s="9">
        <f>((-'CB_SMMC_Mixto'!K7)*O21)/1000000</f>
        <v>-114.67749019085369</v>
      </c>
      <c r="P30" s="9">
        <f>((-'CB_SMMC_Mixto'!L7)*P21)/1000000</f>
        <v>-114.68070595282818</v>
      </c>
      <c r="Q30" s="9">
        <f>((-'CB_SMMC_Mixto'!M7)*Q21)/1000000</f>
        <v>-114.68753422688773</v>
      </c>
      <c r="R30" s="9">
        <f>((-'CB_SMMC_Mixto'!N7)*R21)/1000000</f>
        <v>-114.69475882947833</v>
      </c>
      <c r="S30" s="9">
        <f>((-'CB_SMMC_Mixto'!O7)*S21)/1000000</f>
        <v>-114.69983299093762</v>
      </c>
      <c r="T30" s="9">
        <f>((-'CB_SMMC_Mixto'!P7)*T21)/1000000</f>
        <v>-21.189057200099885</v>
      </c>
      <c r="U30" s="9">
        <f>((-'CB_SMMC_Mixto'!Q7)*U21)/1000000</f>
        <v>-21.51947532390087</v>
      </c>
      <c r="W30" s="35">
        <f>NPV($D$68,G30:U30)+F30</f>
        <v>-928.89565220693453</v>
      </c>
      <c r="X30" s="35">
        <f t="shared" ref="X30:X45" si="6">PMT($D$68,15,-W30)</f>
        <v>-95.641663777298845</v>
      </c>
      <c r="Y30" s="35">
        <f>W30*1000000/7744865</f>
        <v>-119.93697142647865</v>
      </c>
      <c r="Z30" s="32">
        <f t="shared" ref="Z30:Z36" si="7">W30/$W$36</f>
        <v>0.73040094884474016</v>
      </c>
    </row>
    <row r="31" spans="2:26" x14ac:dyDescent="0.3">
      <c r="B31" s="77"/>
      <c r="C31" s="53" t="s">
        <v>56</v>
      </c>
      <c r="D31" s="54"/>
      <c r="E31" s="54"/>
      <c r="F31" s="9">
        <v>0</v>
      </c>
      <c r="G31" s="9">
        <f>((-'CB_SMMC_Mixto'!C8)*G22)/1000000</f>
        <v>0</v>
      </c>
      <c r="H31" s="9">
        <f>((-'CB_SMMC_Mixto'!D8)*H22)/1000000</f>
        <v>-1.8496444329116535</v>
      </c>
      <c r="I31" s="9">
        <f>((-'CB_SMMC_Mixto'!E8)*I22)/1000000</f>
        <v>-1.7999169856590131</v>
      </c>
      <c r="J31" s="9">
        <f>((-'CB_SMMC_Mixto'!F8)*J22)/1000000</f>
        <v>-1.800231645318791</v>
      </c>
      <c r="K31" s="9">
        <f>((-'CB_SMMC_Mixto'!G8)*K22)/1000000</f>
        <v>-1.8006410917529418</v>
      </c>
      <c r="L31" s="9">
        <f>((-'CB_SMMC_Mixto'!H8)*L22)/1000000</f>
        <v>-1.8011424302232404</v>
      </c>
      <c r="M31" s="9">
        <f>((-'CB_SMMC_Mixto'!I8)*M22)/1000000</f>
        <v>-1.8010829395825445</v>
      </c>
      <c r="N31" s="9">
        <f>((-'CB_SMMC_Mixto'!J8)*N22)/1000000</f>
        <v>-1.8010254808335118</v>
      </c>
      <c r="O31" s="9">
        <f>((-'CB_SMMC_Mixto'!K8)*O22)/1000000</f>
        <v>-1.800827144026967</v>
      </c>
      <c r="P31" s="9">
        <f>((-'CB_SMMC_Mixto'!L8)*P22)/1000000</f>
        <v>-1.8000685798001614</v>
      </c>
      <c r="Q31" s="9">
        <f>((-'CB_SMMC_Mixto'!M8)*Q22)/1000000</f>
        <v>-1.8003961881323547</v>
      </c>
      <c r="R31" s="9">
        <f>((-'CB_SMMC_Mixto'!N8)*R22)/1000000</f>
        <v>-1.8001525071715498</v>
      </c>
      <c r="S31" s="9">
        <f>((-'CB_SMMC_Mixto'!O8)*S22)/1000000</f>
        <v>-1.8002558401997657</v>
      </c>
      <c r="T31" s="9">
        <f>((-'CB_SMMC_Mixto'!P8)*T22)/1000000</f>
        <v>-0.21417849961156918</v>
      </c>
      <c r="U31" s="9">
        <f>((-'CB_SMMC_Mixto'!Q8)*U22)/1000000</f>
        <v>-0.21794031419531179</v>
      </c>
      <c r="W31" s="35">
        <f t="shared" ref="W31:W58" si="8">NPV($D$68,G31:U31)+F31</f>
        <v>-14.470263884873667</v>
      </c>
      <c r="X31" s="35">
        <f t="shared" si="6"/>
        <v>-1.4898983647493336</v>
      </c>
      <c r="Y31" s="35">
        <f t="shared" ref="Y31:Y56" si="9">W31*1000000/7744865</f>
        <v>-1.8683687688389232</v>
      </c>
      <c r="Z31" s="32">
        <f t="shared" si="7"/>
        <v>1.1378128906551255E-2</v>
      </c>
    </row>
    <row r="32" spans="2:26" x14ac:dyDescent="0.3">
      <c r="B32" s="77"/>
      <c r="C32" s="53" t="s">
        <v>57</v>
      </c>
      <c r="D32" s="54"/>
      <c r="E32" s="54"/>
      <c r="F32" s="9">
        <f>((-'CB_SMMC_Mixto'!B9)*F23)/1000000</f>
        <v>-14.220535208788531</v>
      </c>
      <c r="G32" s="9">
        <f>((-'CB_SMMC_Mixto'!C9)*G23)/1000000</f>
        <v>-13.69729810224648</v>
      </c>
      <c r="H32" s="9">
        <f>((-'CB_SMMC_Mixto'!D9)*H23)/1000000</f>
        <v>-13.754923024939679</v>
      </c>
      <c r="I32" s="9">
        <f>((-'CB_SMMC_Mixto'!E9)*I23)/1000000</f>
        <v>-14.11236664496702</v>
      </c>
      <c r="J32" s="9">
        <f>((-'CB_SMMC_Mixto'!F9)*J23)/1000000</f>
        <v>-14.11236664496702</v>
      </c>
      <c r="K32" s="9">
        <f>((-'CB_SMMC_Mixto'!G9)*K23)/1000000</f>
        <v>-14.11236664496702</v>
      </c>
      <c r="L32" s="9">
        <f>((-'CB_SMMC_Mixto'!H9)*L23)/1000000</f>
        <v>-14.11236664496702</v>
      </c>
      <c r="M32" s="9">
        <f>((-'CB_SMMC_Mixto'!I9)*M23)/1000000</f>
        <v>-14.11236664496702</v>
      </c>
      <c r="N32" s="9">
        <f>((-'CB_SMMC_Mixto'!J9)*N23)/1000000</f>
        <v>-14.11236664496702</v>
      </c>
      <c r="O32" s="9">
        <f>((-'CB_SMMC_Mixto'!K9)*O23)/1000000</f>
        <v>-14.11236664496702</v>
      </c>
      <c r="P32" s="9">
        <f>((-'CB_SMMC_Mixto'!L9)*P23)/1000000</f>
        <v>-3.8995749167485103E-3</v>
      </c>
      <c r="Q32" s="9">
        <f>((-'CB_SMMC_Mixto'!M9)*Q23)/1000000</f>
        <v>-3.8995749167485103E-3</v>
      </c>
      <c r="R32" s="9">
        <f>((-'CB_SMMC_Mixto'!N9)*R23)/1000000</f>
        <v>-14.11236664496702</v>
      </c>
      <c r="S32" s="9">
        <f>((-'CB_SMMC_Mixto'!O9)*S23)/1000000</f>
        <v>-14.11236664496702</v>
      </c>
      <c r="T32" s="9">
        <f>((-'CB_SMMC_Mixto'!P9)*T23)/1000000</f>
        <v>-3.8995749167485103E-3</v>
      </c>
      <c r="U32" s="9">
        <f>((-'CB_SMMC_Mixto'!Q9)*U23)/1000000</f>
        <v>-3.8995749167485103E-3</v>
      </c>
      <c r="W32" s="35">
        <f t="shared" si="8"/>
        <v>-123.1362384877948</v>
      </c>
      <c r="X32" s="35">
        <f t="shared" si="6"/>
        <v>-12.678447457763907</v>
      </c>
      <c r="Y32" s="35">
        <f t="shared" si="9"/>
        <v>-15.899081325212874</v>
      </c>
      <c r="Z32" s="32">
        <f t="shared" si="7"/>
        <v>9.6823389381761729E-2</v>
      </c>
    </row>
    <row r="33" spans="2:26" x14ac:dyDescent="0.3">
      <c r="B33" s="77"/>
      <c r="C33" s="53" t="s">
        <v>58</v>
      </c>
      <c r="D33" s="54"/>
      <c r="E33" s="54"/>
      <c r="F33" s="9">
        <f>((-'CB_SMMC_Mixto'!B10)*'CB_SMMC_Mixto'!B6)/1000000</f>
        <v>0</v>
      </c>
      <c r="G33" s="9">
        <f>((-'CB_SMMC_Mixto'!C10)*'CB_SMMC_Mixto'!C6)/1000000</f>
        <v>0</v>
      </c>
      <c r="H33" s="9">
        <f>((-'CB_SMMC_Mixto'!D10)*'CB_SMMC_Mixto'!D6)/1000000</f>
        <v>-45.695965846166771</v>
      </c>
      <c r="I33" s="9">
        <f>((-'CB_SMMC_Mixto'!E10)*'CB_SMMC_Mixto'!E6)/1000000</f>
        <v>0</v>
      </c>
      <c r="J33" s="9">
        <f>((-'CB_SMMC_Mixto'!F10)*'CB_SMMC_Mixto'!F6)/1000000</f>
        <v>0</v>
      </c>
      <c r="K33" s="9">
        <f>((-'CB_SMMC_Mixto'!G10)*'CB_SMMC_Mixto'!G6)/1000000</f>
        <v>0</v>
      </c>
      <c r="L33" s="9">
        <f>((-'CB_SMMC_Mixto'!H10)*'CB_SMMC_Mixto'!H6)/1000000</f>
        <v>0</v>
      </c>
      <c r="M33" s="9">
        <f>((-'CB_SMMC_Mixto'!I10)*'CB_SMMC_Mixto'!I6)/1000000</f>
        <v>0</v>
      </c>
      <c r="N33" s="9">
        <f>((-'CB_SMMC_Mixto'!J10)*'CB_SMMC_Mixto'!J6)/1000000</f>
        <v>0</v>
      </c>
      <c r="O33" s="9">
        <f>((-'CB_SMMC_Mixto'!K10)*'CB_SMMC_Mixto'!K6)/1000000</f>
        <v>0</v>
      </c>
      <c r="P33" s="9">
        <f>((-'CB_SMMC_Mixto'!L10)*'CB_SMMC_Mixto'!L6)/1000000</f>
        <v>0</v>
      </c>
      <c r="Q33" s="9">
        <f>((-'CB_SMMC_Mixto'!M10)*'CB_SMMC_Mixto'!M6)/1000000</f>
        <v>0</v>
      </c>
      <c r="R33" s="9">
        <f>((-'CB_SMMC_Mixto'!N10)*'CB_SMMC_Mixto'!N6)/1000000</f>
        <v>0</v>
      </c>
      <c r="S33" s="9">
        <f>((-'CB_SMMC_Mixto'!O10)*'CB_SMMC_Mixto'!O6)/1000000</f>
        <v>0</v>
      </c>
      <c r="T33" s="9">
        <f>((-'CB_SMMC_Mixto'!P10)*'CB_SMMC_Mixto'!P6)/1000000</f>
        <v>0</v>
      </c>
      <c r="U33" s="9">
        <f>((-'CB_SMMC_Mixto'!Q10)*'CB_SMMC_Mixto'!Q6)/1000000</f>
        <v>0</v>
      </c>
      <c r="W33" s="35">
        <f t="shared" si="8"/>
        <v>-40.669246926100719</v>
      </c>
      <c r="X33" s="35">
        <f t="shared" si="6"/>
        <v>-4.1874180714924352</v>
      </c>
      <c r="Y33" s="35">
        <f t="shared" si="9"/>
        <v>-5.251124057824212</v>
      </c>
      <c r="Z33" s="32">
        <f t="shared" si="7"/>
        <v>3.19786797075109E-2</v>
      </c>
    </row>
    <row r="34" spans="2:26" x14ac:dyDescent="0.3">
      <c r="B34" s="77"/>
      <c r="C34" s="53" t="s">
        <v>138</v>
      </c>
      <c r="D34" s="54"/>
      <c r="E34" s="54"/>
      <c r="F34" s="9">
        <f>(-'CB_SMMC_Mixto'!B11)/1000000</f>
        <v>-4.3779430169999989</v>
      </c>
      <c r="G34" s="9">
        <f>(-'CB_SMMC_Mixto'!C11)/1000000</f>
        <v>-8.8818839999999996E-3</v>
      </c>
      <c r="H34" s="9">
        <f>(-'CB_SMMC_Mixto'!D11)/1000000</f>
        <v>-146.291474403</v>
      </c>
      <c r="I34" s="9">
        <f>(-'CB_SMMC_Mixto'!E11)/1000000</f>
        <v>-2.163748059</v>
      </c>
      <c r="J34" s="9">
        <f>(-'CB_SMMC_Mixto'!F11)/1000000</f>
        <v>-2.1974221439999999</v>
      </c>
      <c r="K34" s="9">
        <f>(-'CB_SMMC_Mixto'!G11)/1000000</f>
        <v>-2.2316651099999998</v>
      </c>
      <c r="L34" s="9">
        <f>(-'CB_SMMC_Mixto'!H11)/1000000</f>
        <v>-2.2663117979999998</v>
      </c>
      <c r="M34" s="9">
        <f>(-'CB_SMMC_Mixto'!I11)/1000000</f>
        <v>-2.3017659300000002</v>
      </c>
      <c r="N34" s="9">
        <f>(-'CB_SMMC_Mixto'!J11)/1000000</f>
        <v>-2.3372567640000002</v>
      </c>
      <c r="O34" s="9">
        <f>(-'CB_SMMC_Mixto'!K11)/1000000</f>
        <v>-2.3736100950000001</v>
      </c>
      <c r="P34" s="9">
        <f>(-'CB_SMMC_Mixto'!L11)/1000000</f>
        <v>-2.4104956049999999</v>
      </c>
      <c r="Q34" s="9">
        <f>(-'CB_SMMC_Mixto'!M11)/1000000</f>
        <v>-2.4482619630000002</v>
      </c>
      <c r="R34" s="9">
        <f>(-'CB_SMMC_Mixto'!N11)/1000000</f>
        <v>-2.4864136919999997</v>
      </c>
      <c r="S34" s="9">
        <f>(-'CB_SMMC_Mixto'!O11)/1000000</f>
        <v>-2.5252260570000002</v>
      </c>
      <c r="T34" s="9">
        <f>(-'CB_SMMC_Mixto'!P11)/1000000</f>
        <v>-2.5647724619999996</v>
      </c>
      <c r="U34" s="9">
        <f>(-'CB_SMMC_Mixto'!Q11)/1000000</f>
        <v>-2.604685887</v>
      </c>
      <c r="W34" s="35">
        <f t="shared" si="8"/>
        <v>-153.08652220113959</v>
      </c>
      <c r="X34" s="35">
        <f t="shared" si="6"/>
        <v>-15.762211450135673</v>
      </c>
      <c r="Y34" s="35">
        <f t="shared" si="9"/>
        <v>-19.766196337978727</v>
      </c>
      <c r="Z34" s="32">
        <f t="shared" si="7"/>
        <v>0.12037362948722714</v>
      </c>
    </row>
    <row r="35" spans="2:26" x14ac:dyDescent="0.3">
      <c r="B35" s="77"/>
      <c r="C35" s="53" t="s">
        <v>130</v>
      </c>
      <c r="D35" s="54"/>
      <c r="E35" s="54"/>
      <c r="F35" s="9">
        <f>(-'CB_SMMC_Mixto'!B12)/1000000</f>
        <v>-0.32897133684210533</v>
      </c>
      <c r="G35" s="9">
        <f>(-'CB_SMMC_Mixto'!C12)/1000000</f>
        <v>-6.6741052631578946E-4</v>
      </c>
      <c r="H35" s="9">
        <f>(-'CB_SMMC_Mixto'!D12)/1000000</f>
        <v>-10.992765715789471</v>
      </c>
      <c r="I35" s="9">
        <f>(-'CB_SMMC_Mixto'!E12)/1000000</f>
        <v>-0.1625903052631579</v>
      </c>
      <c r="J35" s="9">
        <f>(-'CB_SMMC_Mixto'!F12)/1000000</f>
        <v>-0.16512067368421049</v>
      </c>
      <c r="K35" s="9">
        <f>(-'CB_SMMC_Mixto'!G12)/1000000</f>
        <v>-0.16769378947368421</v>
      </c>
      <c r="L35" s="9">
        <f>(-'CB_SMMC_Mixto'!H12)/1000000</f>
        <v>-0.1702972421052632</v>
      </c>
      <c r="M35" s="9">
        <f>(-'CB_SMMC_Mixto'!I12)/1000000</f>
        <v>-0.17296136842105261</v>
      </c>
      <c r="N35" s="9">
        <f>(-'CB_SMMC_Mixto'!J12)/1000000</f>
        <v>-0.17562825263157889</v>
      </c>
      <c r="O35" s="9">
        <f>(-'CB_SMMC_Mixto'!K12)/1000000</f>
        <v>-0.17835994736842109</v>
      </c>
      <c r="P35" s="9">
        <f>(-'CB_SMMC_Mixto'!L12)/1000000</f>
        <v>-0.18113163157894738</v>
      </c>
      <c r="Q35" s="9">
        <f>(-'CB_SMMC_Mixto'!M12)/1000000</f>
        <v>-0.18396950526315789</v>
      </c>
      <c r="R35" s="9">
        <f>(-'CB_SMMC_Mixto'!N12)/1000000</f>
        <v>-0.18683633684210529</v>
      </c>
      <c r="S35" s="9">
        <f>(-'CB_SMMC_Mixto'!O12)/1000000</f>
        <v>-0.18975281052631579</v>
      </c>
      <c r="T35" s="9">
        <f>(-'CB_SMMC_Mixto'!P12)/1000000</f>
        <v>-0.19272444210526321</v>
      </c>
      <c r="U35" s="9">
        <f>(-'CB_SMMC_Mixto'!Q12)/1000000</f>
        <v>-0.19572365263157901</v>
      </c>
      <c r="W35" s="35">
        <f t="shared" si="8"/>
        <v>-11.503365316876051</v>
      </c>
      <c r="X35" s="35">
        <f t="shared" si="6"/>
        <v>-1.1844182878132397</v>
      </c>
      <c r="Y35" s="35">
        <f t="shared" si="9"/>
        <v>-1.4852893261375184</v>
      </c>
      <c r="Z35" s="32">
        <f t="shared" si="7"/>
        <v>9.0452236722087416E-3</v>
      </c>
    </row>
    <row r="36" spans="2:26" x14ac:dyDescent="0.3">
      <c r="B36" s="78"/>
      <c r="C36" s="47" t="s">
        <v>111</v>
      </c>
      <c r="D36" s="47"/>
      <c r="E36" s="47"/>
      <c r="F36" s="16">
        <f>SUM(F30:F35)</f>
        <v>-22.90582622396397</v>
      </c>
      <c r="G36" s="16">
        <f>SUM(G30:G35)</f>
        <v>-13.716820311439461</v>
      </c>
      <c r="H36" s="16">
        <f t="shared" ref="H36:U36" si="10">SUM(H30:H35)</f>
        <v>-332.81904456468203</v>
      </c>
      <c r="I36" s="16">
        <f t="shared" si="10"/>
        <v>-132.88383043449977</v>
      </c>
      <c r="J36" s="16">
        <f t="shared" si="10"/>
        <v>-132.92233079653451</v>
      </c>
      <c r="K36" s="16">
        <f t="shared" si="10"/>
        <v>-132.96520599439546</v>
      </c>
      <c r="L36" s="16">
        <f t="shared" si="10"/>
        <v>-133.01178516557277</v>
      </c>
      <c r="M36" s="16">
        <f t="shared" si="10"/>
        <v>-133.05550115095551</v>
      </c>
      <c r="N36" s="16">
        <f t="shared" si="10"/>
        <v>-133.0961332063915</v>
      </c>
      <c r="O36" s="16">
        <f t="shared" si="10"/>
        <v>-133.14265402221611</v>
      </c>
      <c r="P36" s="16">
        <f t="shared" si="10"/>
        <v>-119.07630134412403</v>
      </c>
      <c r="Q36" s="16">
        <f t="shared" si="10"/>
        <v>-119.12406145819999</v>
      </c>
      <c r="R36" s="16">
        <f t="shared" si="10"/>
        <v>-133.28052801045902</v>
      </c>
      <c r="S36" s="16">
        <f t="shared" si="10"/>
        <v>-133.32743434363073</v>
      </c>
      <c r="T36" s="16">
        <f t="shared" si="10"/>
        <v>-24.164632178733466</v>
      </c>
      <c r="U36" s="16">
        <f t="shared" si="10"/>
        <v>-24.541724752644505</v>
      </c>
      <c r="W36" s="35">
        <f>NPV($D$68,G36:U36)+F36</f>
        <v>-1271.7612890237194</v>
      </c>
      <c r="X36" s="35">
        <f t="shared" si="6"/>
        <v>-130.94405740925345</v>
      </c>
      <c r="Y36" s="35">
        <f t="shared" si="9"/>
        <v>-164.20703124247089</v>
      </c>
      <c r="Z36" s="32">
        <f t="shared" si="7"/>
        <v>1</v>
      </c>
    </row>
    <row r="37" spans="2:26" x14ac:dyDescent="0.3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W37" s="35"/>
      <c r="X37" s="35"/>
      <c r="Y37" s="35"/>
    </row>
    <row r="38" spans="2:26" x14ac:dyDescent="0.3">
      <c r="B38" s="76" t="s">
        <v>107</v>
      </c>
      <c r="C38" s="53" t="s">
        <v>140</v>
      </c>
      <c r="D38" s="54"/>
      <c r="E38" s="54"/>
      <c r="F38" s="9">
        <f>(-'CB_SMMC_Mixto'!B13/1000000)*F$25</f>
        <v>-4.112299368185194E-2</v>
      </c>
      <c r="G38" s="9">
        <f>(-'CB_SMMC_Mixto'!C13/1000000)*G$25</f>
        <v>-5.9716136303724139E-2</v>
      </c>
      <c r="H38" s="9">
        <f>(-'CB_SMMC_Mixto'!D13/1000000)*H$25</f>
        <v>-0.85150143996548511</v>
      </c>
      <c r="I38" s="9">
        <f>(-'CB_SMMC_Mixto'!E13/1000000)*I$25</f>
        <v>-1.6200231289135589</v>
      </c>
      <c r="J38" s="9">
        <f>(-'CB_SMMC_Mixto'!F13/1000000)*J$25</f>
        <v>-2.3665748853175161</v>
      </c>
      <c r="K38" s="9">
        <f>(-'CB_SMMC_Mixto'!G13/1000000)*K$25</f>
        <v>-3.0915868886045121</v>
      </c>
      <c r="L38" s="9">
        <f>(-'CB_SMMC_Mixto'!H13/1000000)*L$25</f>
        <v>-3.7954866040189765</v>
      </c>
      <c r="M38" s="9">
        <f>(-'CB_SMMC_Mixto'!I13/1000000)*M$25</f>
        <v>-4.4786865505254427</v>
      </c>
      <c r="N38" s="9">
        <f>(-'CB_SMMC_Mixto'!J13/1000000)*N$25</f>
        <v>-5.1416136016812626</v>
      </c>
      <c r="O38" s="9">
        <f>(-'CB_SMMC_Mixto'!K13/1000000)*O$25</f>
        <v>-5.7846674959332871</v>
      </c>
      <c r="P38" s="9">
        <f>(-'CB_SMMC_Mixto'!L13/1000000)*P$25</f>
        <v>-6.3918009341360991</v>
      </c>
      <c r="Q38" s="9">
        <f>(-'CB_SMMC_Mixto'!M13/1000000)*Q$25</f>
        <v>-6.9803162585351162</v>
      </c>
      <c r="R38" s="9">
        <f>(-'CB_SMMC_Mixto'!N13/1000000)*R$25</f>
        <v>-7.566582466369522</v>
      </c>
      <c r="S38" s="9">
        <f>(-'CB_SMMC_Mixto'!O13/1000000)*S$25</f>
        <v>-8.1345297576308884</v>
      </c>
      <c r="T38" s="9">
        <f>(-'CB_SMMC_Mixto'!P13/1000000)*T$25</f>
        <v>-8.372366577718477</v>
      </c>
      <c r="U38" s="9">
        <f>(-'CB_SMMC_Mixto'!Q13/1000000)*U$25</f>
        <v>-8.372366577718477</v>
      </c>
      <c r="W38" s="35">
        <f t="shared" si="8"/>
        <v>-40.721394138111108</v>
      </c>
      <c r="X38" s="35">
        <f t="shared" si="6"/>
        <v>-4.1927872925735894</v>
      </c>
      <c r="Y38" s="35">
        <f t="shared" si="9"/>
        <v>-5.2578571915857939</v>
      </c>
      <c r="Z38" s="32">
        <f t="shared" ref="Z38:Z43" si="11">W38/$W$43</f>
        <v>8.0553906525826918E-2</v>
      </c>
    </row>
    <row r="39" spans="2:26" x14ac:dyDescent="0.3">
      <c r="B39" s="77"/>
      <c r="C39" s="53" t="s">
        <v>141</v>
      </c>
      <c r="D39" s="54"/>
      <c r="E39" s="54"/>
      <c r="F39" s="9">
        <f>(-'CB_SMMC_Mixto'!B14/1000000)*F$25</f>
        <v>0</v>
      </c>
      <c r="G39" s="9">
        <f>(-'CB_SMMC_Mixto'!C14/1000000)*G$25</f>
        <v>0</v>
      </c>
      <c r="H39" s="9">
        <f>(-'CB_SMMC_Mixto'!D14/1000000)*H$25</f>
        <v>-0.10057449108313736</v>
      </c>
      <c r="I39" s="9">
        <f>(-'CB_SMMC_Mixto'!E14/1000000)*I$25</f>
        <v>-0.19144737228570741</v>
      </c>
      <c r="J39" s="9">
        <f>(-'CB_SMMC_Mixto'!F14/1000000)*J$25</f>
        <v>-0.27982153509285168</v>
      </c>
      <c r="K39" s="9">
        <f>(-'CB_SMMC_Mixto'!G14/1000000)*K$25</f>
        <v>-0.36574697235660969</v>
      </c>
      <c r="L39" s="9">
        <f>(-'CB_SMMC_Mixto'!H14/1000000)*L$25</f>
        <v>-0.44927672097950705</v>
      </c>
      <c r="M39" s="9">
        <f>(-'CB_SMMC_Mixto'!I14/1000000)*M$25</f>
        <v>-0.53045937385598518</v>
      </c>
      <c r="N39" s="9">
        <f>(-'CB_SMMC_Mixto'!J14/1000000)*N$25</f>
        <v>-0.60934824284611788</v>
      </c>
      <c r="O39" s="9">
        <f>(-'CB_SMMC_Mixto'!K14/1000000)*O$25</f>
        <v>-0.68597908212647807</v>
      </c>
      <c r="P39" s="9">
        <f>(-'CB_SMMC_Mixto'!L14/1000000)*P$25</f>
        <v>-0.75844062654891298</v>
      </c>
      <c r="Q39" s="9">
        <f>(-'CB_SMMC_Mixto'!M14/1000000)*Q$25</f>
        <v>-0.82880491678379331</v>
      </c>
      <c r="R39" s="9">
        <f>(-'CB_SMMC_Mixto'!N14/1000000)*R$25</f>
        <v>-0.89900562579917198</v>
      </c>
      <c r="S39" s="9">
        <f>(-'CB_SMMC_Mixto'!O14/1000000)*S$25</f>
        <v>-0.96713624600660852</v>
      </c>
      <c r="T39" s="9">
        <f>(-'CB_SMMC_Mixto'!P14/1000000)*T$25</f>
        <v>-0.99609626417611774</v>
      </c>
      <c r="U39" s="9">
        <f>(-'CB_SMMC_Mixto'!Q14/1000000)*U$25</f>
        <v>-0.99678902601734498</v>
      </c>
      <c r="W39" s="35">
        <f t="shared" si="8"/>
        <v>-4.8198792674073179</v>
      </c>
      <c r="X39" s="35">
        <f t="shared" si="6"/>
        <v>-0.49626809130316524</v>
      </c>
      <c r="Y39" s="35">
        <f t="shared" si="9"/>
        <v>-0.62233225077613585</v>
      </c>
      <c r="Z39" s="32">
        <f t="shared" si="11"/>
        <v>9.5345484158934537E-3</v>
      </c>
    </row>
    <row r="40" spans="2:26" x14ac:dyDescent="0.3">
      <c r="B40" s="77"/>
      <c r="C40" s="53" t="s">
        <v>137</v>
      </c>
      <c r="D40" s="54"/>
      <c r="E40" s="54"/>
      <c r="F40" s="9">
        <f>(-'CB_SMMC_Mixto'!B15/1000000)*F$25</f>
        <v>-9.3760425594622467E-3</v>
      </c>
      <c r="G40" s="9">
        <f>(-'CB_SMMC_Mixto'!C15/1000000)*G$25</f>
        <v>-1.3615279077249113E-2</v>
      </c>
      <c r="H40" s="9">
        <f>(-'CB_SMMC_Mixto'!D15/1000000)*H$25</f>
        <v>-6.6683846547698487</v>
      </c>
      <c r="I40" s="9">
        <f>(-'CB_SMMC_Mixto'!E15/1000000)*I$25</f>
        <v>-12.869112828552371</v>
      </c>
      <c r="J40" s="9">
        <f>(-'CB_SMMC_Mixto'!F15/1000000)*J$25</f>
        <v>-19.069841002334901</v>
      </c>
      <c r="K40" s="9">
        <f>(-'CB_SMMC_Mixto'!G15/1000000)*K$25</f>
        <v>-25.270569176117423</v>
      </c>
      <c r="L40" s="9">
        <f>(-'CB_SMMC_Mixto'!H15/1000000)*L$25</f>
        <v>-31.471297349899949</v>
      </c>
      <c r="M40" s="9">
        <f>(-'CB_SMMC_Mixto'!I15/1000000)*M$25</f>
        <v>-37.67202552368245</v>
      </c>
      <c r="N40" s="9">
        <f>(-'CB_SMMC_Mixto'!J15/1000000)*N$25</f>
        <v>-43.872753697464979</v>
      </c>
      <c r="O40" s="9">
        <f>(-'CB_SMMC_Mixto'!K15/1000000)*O$25</f>
        <v>-50.073481871247488</v>
      </c>
      <c r="P40" s="9">
        <f>(-'CB_SMMC_Mixto'!L15/1000000)*P$25</f>
        <v>-56.129757538358895</v>
      </c>
      <c r="Q40" s="9">
        <f>(-'CB_SMMC_Mixto'!M15/1000000)*Q$25</f>
        <v>-62.186033205470295</v>
      </c>
      <c r="R40" s="9">
        <f>(-'CB_SMMC_Mixto'!N15/1000000)*R$25</f>
        <v>-68.386761379252818</v>
      </c>
      <c r="S40" s="9">
        <f>(-'CB_SMMC_Mixto'!O15/1000000)*S$25</f>
        <v>-74.587489553035439</v>
      </c>
      <c r="T40" s="9">
        <f>(-'CB_SMMC_Mixto'!P15/1000000)*T$25</f>
        <v>-77.884318218812552</v>
      </c>
      <c r="U40" s="9">
        <f>(-'CB_SMMC_Mixto'!Q15/1000000)*U$25</f>
        <v>-79.01773108739161</v>
      </c>
      <c r="W40" s="35">
        <f t="shared" si="8"/>
        <v>-355.63243922504921</v>
      </c>
      <c r="X40" s="35">
        <f t="shared" si="6"/>
        <v>-36.616898894780832</v>
      </c>
      <c r="Y40" s="35">
        <f t="shared" si="9"/>
        <v>-45.918481371211662</v>
      </c>
      <c r="Z40" s="32">
        <f t="shared" si="11"/>
        <v>0.70350200117719441</v>
      </c>
    </row>
    <row r="41" spans="2:26" x14ac:dyDescent="0.3">
      <c r="B41" s="77"/>
      <c r="C41" s="53" t="s">
        <v>131</v>
      </c>
      <c r="D41" s="54"/>
      <c r="E41" s="54"/>
      <c r="F41" s="9">
        <f>(-'CB_SMMC_Mixto'!B16/1000000)*F$25</f>
        <v>-1.3307242653511683E-3</v>
      </c>
      <c r="G41" s="9">
        <f>(-'CB_SMMC_Mixto'!C16/1000000)*G$25</f>
        <v>-1.932391212253904E-3</v>
      </c>
      <c r="H41" s="9">
        <f>(-'CB_SMMC_Mixto'!D16/1000000)*H$25</f>
        <v>-0.94643141970833333</v>
      </c>
      <c r="I41" s="9">
        <f>(-'CB_SMMC_Mixto'!E16/1000000)*I$25</f>
        <v>-1.8264892256929821</v>
      </c>
      <c r="J41" s="9">
        <f>(-'CB_SMMC_Mixto'!F16/1000000)*J$25</f>
        <v>-2.7065470316776317</v>
      </c>
      <c r="K41" s="9">
        <f>(-'CB_SMMC_Mixto'!G16/1000000)*K$25</f>
        <v>-3.5866048376622817</v>
      </c>
      <c r="L41" s="9">
        <f>(-'CB_SMMC_Mixto'!H16/1000000)*L$25</f>
        <v>-4.4666626436469308</v>
      </c>
      <c r="M41" s="9">
        <f>(-'CB_SMMC_Mixto'!I16/1000000)*M$25</f>
        <v>-5.3467204496315768</v>
      </c>
      <c r="N41" s="9">
        <f>(-'CB_SMMC_Mixto'!J16/1000000)*N$25</f>
        <v>-6.2267782556162281</v>
      </c>
      <c r="O41" s="9">
        <f>(-'CB_SMMC_Mixto'!K16/1000000)*O$25</f>
        <v>-7.106836061600875</v>
      </c>
      <c r="P41" s="9">
        <f>(-'CB_SMMC_Mixto'!L16/1000000)*P$25</f>
        <v>-7.9663919922368382</v>
      </c>
      <c r="Q41" s="9">
        <f>(-'CB_SMMC_Mixto'!M16/1000000)*Q$25</f>
        <v>-8.8259479228727997</v>
      </c>
      <c r="R41" s="9">
        <f>(-'CB_SMMC_Mixto'!N16/1000000)*R$25</f>
        <v>-9.7060057288574537</v>
      </c>
      <c r="S41" s="9">
        <f>(-'CB_SMMC_Mixto'!O16/1000000)*S$25</f>
        <v>-10.586063534842117</v>
      </c>
      <c r="T41" s="9">
        <f>(-'CB_SMMC_Mixto'!P16/1000000)*T$25</f>
        <v>-11.05397628976316</v>
      </c>
      <c r="U41" s="9">
        <f>(-'CB_SMMC_Mixto'!Q16/1000000)*U$25</f>
        <v>-11.214839468157889</v>
      </c>
      <c r="W41" s="35">
        <f t="shared" si="8"/>
        <v>-50.474250028355293</v>
      </c>
      <c r="X41" s="35">
        <f t="shared" si="6"/>
        <v>-5.1969682914909816</v>
      </c>
      <c r="Y41" s="35">
        <f t="shared" si="9"/>
        <v>-6.5171245758777321</v>
      </c>
      <c r="Z41" s="32">
        <f t="shared" si="11"/>
        <v>9.9846729337296422E-2</v>
      </c>
    </row>
    <row r="42" spans="2:26" x14ac:dyDescent="0.3">
      <c r="B42" s="77"/>
      <c r="C42" s="53" t="s">
        <v>59</v>
      </c>
      <c r="D42" s="54"/>
      <c r="E42" s="54"/>
      <c r="F42" s="9">
        <f>(-'CB_SMMC_Mixto'!B17/1000000)*F$25</f>
        <v>0</v>
      </c>
      <c r="G42" s="9">
        <f>(-'CB_SMMC_Mixto'!C17/1000000)*G$25</f>
        <v>0</v>
      </c>
      <c r="H42" s="9">
        <f>(-'CB_SMMC_Mixto'!D17/1000000)*H$25</f>
        <v>-1.0069734707787192</v>
      </c>
      <c r="I42" s="9">
        <f>(-'CB_SMMC_Mixto'!E17/1000000)*I$25</f>
        <v>-1.9441524652297166</v>
      </c>
      <c r="J42" s="9">
        <f>(-'CB_SMMC_Mixto'!F17/1000000)*J$25</f>
        <v>-2.8821105586840203</v>
      </c>
      <c r="K42" s="9">
        <f>(-'CB_SMMC_Mixto'!G17/1000000)*K$25</f>
        <v>-3.8208324960942002</v>
      </c>
      <c r="L42" s="9">
        <f>(-'CB_SMMC_Mixto'!H17/1000000)*L$25</f>
        <v>-4.7603031186633311</v>
      </c>
      <c r="M42" s="9">
        <f>(-'CB_SMMC_Mixto'!I17/1000000)*M$25</f>
        <v>-5.7005077976203182</v>
      </c>
      <c r="N42" s="9">
        <f>(-'CB_SMMC_Mixto'!J17/1000000)*N$25</f>
        <v>-6.6414313951506845</v>
      </c>
      <c r="O42" s="9">
        <f>(-'CB_SMMC_Mixto'!K17/1000000)*O$25</f>
        <v>-7.583059735706783</v>
      </c>
      <c r="P42" s="9">
        <f>(-'CB_SMMC_Mixto'!L17/1000000)*P$25</f>
        <v>-8.503494420027895</v>
      </c>
      <c r="Q42" s="9">
        <f>(-'CB_SMMC_Mixto'!M17/1000000)*Q$25</f>
        <v>-9.4245893409646087</v>
      </c>
      <c r="R42" s="9">
        <f>(-'CB_SMMC_Mixto'!N17/1000000)*R$25</f>
        <v>-10.36823148970146</v>
      </c>
      <c r="S42" s="9">
        <f>(-'CB_SMMC_Mixto'!O17/1000000)*S$25</f>
        <v>-11.312523264904629</v>
      </c>
      <c r="T42" s="9">
        <f>(-'CB_SMMC_Mixto'!P17/1000000)*T$25</f>
        <v>-11.816862444</v>
      </c>
      <c r="U42" s="9">
        <f>(-'CB_SMMC_Mixto'!Q17/1000000)*U$25</f>
        <v>-11.993148198</v>
      </c>
      <c r="W42" s="35">
        <f t="shared" si="8"/>
        <v>-53.869347355770671</v>
      </c>
      <c r="X42" s="35">
        <f t="shared" si="6"/>
        <v>-5.5465368962189645</v>
      </c>
      <c r="Y42" s="35">
        <f t="shared" si="9"/>
        <v>-6.9554921042226905</v>
      </c>
      <c r="Z42" s="32">
        <f t="shared" si="11"/>
        <v>0.10656281454378855</v>
      </c>
    </row>
    <row r="43" spans="2:26" x14ac:dyDescent="0.3">
      <c r="B43" s="78"/>
      <c r="C43" s="47" t="s">
        <v>119</v>
      </c>
      <c r="D43" s="47"/>
      <c r="E43" s="47"/>
      <c r="F43" s="16">
        <f>SUM(F38:F42)</f>
        <v>-5.1829760506665358E-2</v>
      </c>
      <c r="G43" s="16">
        <f>SUM(G38:G42)</f>
        <v>-7.526380659322715E-2</v>
      </c>
      <c r="H43" s="16">
        <f t="shared" ref="H43:T43" si="12">SUM(H38:H42)</f>
        <v>-9.5738654763055226</v>
      </c>
      <c r="I43" s="16">
        <f t="shared" si="12"/>
        <v>-18.451225020674336</v>
      </c>
      <c r="J43" s="16">
        <f t="shared" si="12"/>
        <v>-27.304895013106922</v>
      </c>
      <c r="K43" s="16">
        <f t="shared" si="12"/>
        <v>-36.135340370835024</v>
      </c>
      <c r="L43" s="16">
        <f t="shared" si="12"/>
        <v>-44.943026437208687</v>
      </c>
      <c r="M43" s="16">
        <f t="shared" si="12"/>
        <v>-53.728399695315773</v>
      </c>
      <c r="N43" s="16">
        <f t="shared" si="12"/>
        <v>-62.491925192759275</v>
      </c>
      <c r="O43" s="16">
        <f t="shared" si="12"/>
        <v>-71.234024246614908</v>
      </c>
      <c r="P43" s="16">
        <f t="shared" si="12"/>
        <v>-79.749885511308634</v>
      </c>
      <c r="Q43" s="16">
        <f t="shared" si="12"/>
        <v>-88.245691644626618</v>
      </c>
      <c r="R43" s="16">
        <f t="shared" si="12"/>
        <v>-96.926586689980425</v>
      </c>
      <c r="S43" s="16">
        <f t="shared" si="12"/>
        <v>-105.58774235641968</v>
      </c>
      <c r="T43" s="16">
        <f t="shared" si="12"/>
        <v>-110.1236197944703</v>
      </c>
      <c r="U43" s="16">
        <f>SUM(U38:U42)</f>
        <v>-111.59487435728532</v>
      </c>
      <c r="W43" s="35">
        <f t="shared" si="8"/>
        <v>-505.51731001469375</v>
      </c>
      <c r="X43" s="35">
        <f t="shared" si="6"/>
        <v>-52.049459466367551</v>
      </c>
      <c r="Y43" s="35">
        <f t="shared" si="9"/>
        <v>-65.271287493674038</v>
      </c>
      <c r="Z43" s="32">
        <f t="shared" si="11"/>
        <v>1</v>
      </c>
    </row>
    <row r="44" spans="2:26" x14ac:dyDescent="0.3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W44" s="35"/>
      <c r="X44" s="35"/>
      <c r="Y44" s="35"/>
    </row>
    <row r="45" spans="2:26" x14ac:dyDescent="0.3">
      <c r="B45" s="57" t="s">
        <v>147</v>
      </c>
      <c r="C45" s="47"/>
      <c r="D45" s="47"/>
      <c r="E45" s="47"/>
      <c r="F45" s="16">
        <f>F36+F43</f>
        <v>-22.957655984470637</v>
      </c>
      <c r="G45" s="16">
        <f t="shared" ref="G45:U45" si="13">G36+G43</f>
        <v>-13.792084118032689</v>
      </c>
      <c r="H45" s="16">
        <f t="shared" si="13"/>
        <v>-342.39291004098754</v>
      </c>
      <c r="I45" s="16">
        <f t="shared" si="13"/>
        <v>-151.33505545517411</v>
      </c>
      <c r="J45" s="16">
        <f t="shared" si="13"/>
        <v>-160.22722580964142</v>
      </c>
      <c r="K45" s="16">
        <f t="shared" si="13"/>
        <v>-169.10054636523049</v>
      </c>
      <c r="L45" s="16">
        <f t="shared" si="13"/>
        <v>-177.95481160278146</v>
      </c>
      <c r="M45" s="16">
        <f t="shared" si="13"/>
        <v>-186.78390084627128</v>
      </c>
      <c r="N45" s="16">
        <f t="shared" si="13"/>
        <v>-195.58805839915078</v>
      </c>
      <c r="O45" s="16">
        <f t="shared" si="13"/>
        <v>-204.37667826883103</v>
      </c>
      <c r="P45" s="16">
        <f t="shared" si="13"/>
        <v>-198.82618685543267</v>
      </c>
      <c r="Q45" s="16">
        <f t="shared" si="13"/>
        <v>-207.36975310282662</v>
      </c>
      <c r="R45" s="16">
        <f t="shared" si="13"/>
        <v>-230.20711470043943</v>
      </c>
      <c r="S45" s="16">
        <f t="shared" si="13"/>
        <v>-238.91517670005041</v>
      </c>
      <c r="T45" s="16">
        <f t="shared" si="13"/>
        <v>-134.28825197320376</v>
      </c>
      <c r="U45" s="16">
        <f t="shared" si="13"/>
        <v>-136.13659910992982</v>
      </c>
      <c r="W45" s="35">
        <f t="shared" si="8"/>
        <v>-1777.2785990384132</v>
      </c>
      <c r="X45" s="35">
        <f t="shared" si="6"/>
        <v>-182.993516875621</v>
      </c>
      <c r="Y45" s="35">
        <f t="shared" si="9"/>
        <v>-229.47831873614496</v>
      </c>
    </row>
    <row r="46" spans="2:26" x14ac:dyDescent="0.3">
      <c r="B46" s="1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W46" s="35"/>
      <c r="X46" s="35"/>
      <c r="Y46" s="35"/>
    </row>
    <row r="47" spans="2:26" x14ac:dyDescent="0.3">
      <c r="B47" s="85" t="s">
        <v>108</v>
      </c>
      <c r="C47" s="53" t="s">
        <v>154</v>
      </c>
      <c r="D47" s="54"/>
      <c r="E47" s="54"/>
      <c r="F47" s="9">
        <v>0</v>
      </c>
      <c r="G47" s="9">
        <v>0</v>
      </c>
      <c r="H47" s="9">
        <f>('CB_SMMC_Mixto'!D18/1000000)*H$25</f>
        <v>3.071807716751584</v>
      </c>
      <c r="I47" s="9">
        <f>('CB_SMMC_Mixto'!E18/1000000)*I$25</f>
        <v>5.931037672055175</v>
      </c>
      <c r="J47" s="9">
        <f>('CB_SMMC_Mixto'!F18/1000000)*J$25</f>
        <v>8.7929452665259173</v>
      </c>
      <c r="K47" s="9">
        <f>('CB_SMMC_Mixto'!G18/1000000)*K$25</f>
        <v>11.657530509674206</v>
      </c>
      <c r="L47" s="9">
        <f>('CB_SMMC_Mixto'!H18/1000000)*L$25</f>
        <v>14.524744773376721</v>
      </c>
      <c r="M47" s="9">
        <f>('CB_SMMC_Mixto'!I18/1000000)*M$25</f>
        <v>17.394397408624275</v>
      </c>
      <c r="N47" s="9">
        <f>('CB_SMMC_Mixto'!J18/1000000)*N$25</f>
        <v>20.266752969355974</v>
      </c>
      <c r="O47" s="9">
        <f>('CB_SMMC_Mixto'!K18/1000000)*O$25</f>
        <v>23.141641729043332</v>
      </c>
      <c r="P47" s="9">
        <f>('CB_SMMC_Mixto'!L18/1000000)*P$25</f>
        <v>25.952062028951371</v>
      </c>
      <c r="Q47" s="9">
        <f>('CB_SMMC_Mixto'!M18/1000000)*Q$25</f>
        <v>28.764811921751438</v>
      </c>
      <c r="R47" s="9">
        <f>('CB_SMMC_Mixto'!N18/1000000)*R$25</f>
        <v>31.646815921549589</v>
      </c>
      <c r="S47" s="9">
        <f>('CB_SMMC_Mixto'!O18/1000000)*S$25</f>
        <v>34.531314707499163</v>
      </c>
      <c r="T47" s="9">
        <f>('CB_SMMC_Mixto'!P18/1000000)*T$25</f>
        <v>36.072930027000005</v>
      </c>
      <c r="U47" s="9">
        <f>('CB_SMMC_Mixto'!Q18/1000000)*U$25</f>
        <v>36.613279292499996</v>
      </c>
      <c r="V47" s="35">
        <f>W47+W48+W49+W50+W54+W55</f>
        <v>1042.3612167215374</v>
      </c>
      <c r="W47" s="35">
        <f t="shared" si="8"/>
        <v>164.40458580401696</v>
      </c>
      <c r="X47" s="35">
        <f>PMT($D$68,15,-W47)</f>
        <v>16.927550561309953</v>
      </c>
      <c r="Y47" s="35">
        <f>W47*1000000/7744865</f>
        <v>21.227559912796021</v>
      </c>
      <c r="Z47" s="32">
        <f t="shared" ref="Z47:Z56" si="14">W47/$W$56</f>
        <v>0.11587867824794791</v>
      </c>
    </row>
    <row r="48" spans="2:26" x14ac:dyDescent="0.3">
      <c r="B48" s="86"/>
      <c r="C48" s="53" t="s">
        <v>145</v>
      </c>
      <c r="D48" s="54"/>
      <c r="E48" s="54"/>
      <c r="F48" s="9">
        <v>0</v>
      </c>
      <c r="G48" s="9">
        <v>0</v>
      </c>
      <c r="H48" s="9">
        <f>('CB_SMMC_Mixto'!D19/1000000)*H$25</f>
        <v>0.29773959921928583</v>
      </c>
      <c r="I48" s="9">
        <f>('CB_SMMC_Mixto'!E19/1000000)*I$25</f>
        <v>0.57484118933737938</v>
      </c>
      <c r="J48" s="9">
        <f>('CB_SMMC_Mixto'!F19/1000000)*J$25</f>
        <v>0.85217025825188308</v>
      </c>
      <c r="K48" s="9">
        <f>('CB_SMMC_Mixto'!G19/1000000)*K$25</f>
        <v>1.1297239522361382</v>
      </c>
      <c r="L48" s="9">
        <f>('CB_SMMC_Mixto'!H19/1000000)*L$25</f>
        <v>1.407496713052468</v>
      </c>
      <c r="M48" s="9">
        <f>('CB_SMMC_Mixto'!I19/1000000)*M$25</f>
        <v>1.6854784399504716</v>
      </c>
      <c r="N48" s="9">
        <f>('CB_SMMC_Mixto'!J19/1000000)*N$25</f>
        <v>1.9636793245304913</v>
      </c>
      <c r="O48" s="9">
        <f>('CB_SMMC_Mixto'!K19/1000000)*O$25</f>
        <v>2.2420877393657301</v>
      </c>
      <c r="P48" s="9">
        <f>('CB_SMMC_Mixto'!L19/1000000)*P$25</f>
        <v>2.5142217467469967</v>
      </c>
      <c r="Q48" s="9">
        <f>('CB_SMMC_Mixto'!M19/1000000)*Q$25</f>
        <v>2.7865470729865929</v>
      </c>
      <c r="R48" s="9">
        <f>('CB_SMMC_Mixto'!N19/1000000)*R$25</f>
        <v>3.0655415909810149</v>
      </c>
      <c r="S48" s="9">
        <f>('CB_SMMC_Mixto'!O19/1000000)*S$25</f>
        <v>3.3469430586092184</v>
      </c>
      <c r="T48" s="9">
        <f>('CB_SMMC_Mixto'!P19/1000000)*T$25</f>
        <v>3.4984521999</v>
      </c>
      <c r="U48" s="9">
        <f>('CB_SMMC_Mixto'!Q19/1000000)*U$25</f>
        <v>3.5529678607499999</v>
      </c>
      <c r="V48" s="35">
        <f>PMT(D68,15,-V47)</f>
        <v>107.32439191347221</v>
      </c>
      <c r="W48" s="35">
        <f t="shared" si="8"/>
        <v>15.933525532996089</v>
      </c>
      <c r="X48" s="35">
        <f t="shared" ref="X48:X56" si="15">PMT($D$68,15,-W48)</f>
        <v>1.6405598284298244</v>
      </c>
      <c r="Y48" s="35">
        <f t="shared" si="9"/>
        <v>2.0573019068758578</v>
      </c>
      <c r="Z48" s="32">
        <f t="shared" si="14"/>
        <v>1.1230561906554823E-2</v>
      </c>
    </row>
    <row r="49" spans="2:26" x14ac:dyDescent="0.3">
      <c r="B49" s="86"/>
      <c r="C49" s="53" t="s">
        <v>146</v>
      </c>
      <c r="D49" s="54"/>
      <c r="E49" s="54"/>
      <c r="F49" s="9">
        <v>0</v>
      </c>
      <c r="G49" s="9">
        <v>0</v>
      </c>
      <c r="H49" s="9">
        <f>('CB_SMMC_Mixto'!D20/1000000)*H$25</f>
        <v>11.836647245373317</v>
      </c>
      <c r="I49" s="9">
        <f>('CB_SMMC_Mixto'!E20/1000000)*I$25</f>
        <v>23.199898176034342</v>
      </c>
      <c r="J49" s="9">
        <f>('CB_SMMC_Mixto'!F20/1000000)*J$25</f>
        <v>34.914567024417742</v>
      </c>
      <c r="K49" s="9">
        <f>('CB_SMMC_Mixto'!G20/1000000)*K$25</f>
        <v>46.988265250529089</v>
      </c>
      <c r="L49" s="9">
        <f>('CB_SMMC_Mixto'!H20/1000000)*L$25</f>
        <v>59.428800331340817</v>
      </c>
      <c r="M49" s="9">
        <f>('CB_SMMC_Mixto'!I20/1000000)*M$25</f>
        <v>72.243988458285614</v>
      </c>
      <c r="N49" s="9">
        <f>('CB_SMMC_Mixto'!J20/1000000)*N$25</f>
        <v>85.442122310965232</v>
      </c>
      <c r="O49" s="9">
        <f>('CB_SMMC_Mixto'!K20/1000000)*O$25</f>
        <v>99.031313133743865</v>
      </c>
      <c r="P49" s="9">
        <f>('CB_SMMC_Mixto'!L20/1000000)*P$25</f>
        <v>112.72984854138942</v>
      </c>
      <c r="Q49" s="9">
        <f>('CB_SMMC_Mixto'!M20/1000000)*Q$25</f>
        <v>126.82717762736721</v>
      </c>
      <c r="R49" s="9">
        <f>('CB_SMMC_Mixto'!N20/1000000)*R$25</f>
        <v>141.63107236008995</v>
      </c>
      <c r="S49" s="9">
        <f>('CB_SMMC_Mixto'!O20/1000000)*S$25</f>
        <v>156.86020255639875</v>
      </c>
      <c r="T49" s="9">
        <f>('CB_SMMC_Mixto'!P20/1000000)*T$25</f>
        <v>166.32215374580559</v>
      </c>
      <c r="U49" s="9">
        <f>('CB_SMMC_Mixto'!Q20/1000000)*U$25</f>
        <v>171.34508278892898</v>
      </c>
      <c r="W49" s="35">
        <f t="shared" si="8"/>
        <v>713.69487955940701</v>
      </c>
      <c r="X49" s="35">
        <f t="shared" si="15"/>
        <v>73.483997420190562</v>
      </c>
      <c r="Y49" s="35">
        <f t="shared" si="9"/>
        <v>92.150719161587318</v>
      </c>
      <c r="Z49" s="32">
        <f t="shared" si="14"/>
        <v>0.50303961359240734</v>
      </c>
    </row>
    <row r="50" spans="2:26" x14ac:dyDescent="0.3">
      <c r="B50" s="86"/>
      <c r="C50" s="53" t="s">
        <v>155</v>
      </c>
      <c r="D50" s="54"/>
      <c r="E50" s="54"/>
      <c r="F50" s="9">
        <f>('CB_SMMC_Mixto'!B21/1000000)*F$25</f>
        <v>1.0535589726701735E-2</v>
      </c>
      <c r="G50" s="9">
        <f>('CB_SMMC_Mixto'!C21/1000000)*G$25</f>
        <v>1.5268122378996794E-2</v>
      </c>
      <c r="H50" s="9">
        <f>('CB_SMMC_Mixto'!D21/1000000)*H$25</f>
        <v>0.2177104715074179</v>
      </c>
      <c r="I50" s="9">
        <f>('CB_SMMC_Mixto'!E21/1000000)*I$25</f>
        <v>0.414204818330066</v>
      </c>
      <c r="J50" s="9">
        <f>('CB_SMMC_Mixto'!F21/1000000)*J$25</f>
        <v>0.60508192935172755</v>
      </c>
      <c r="K50" s="9">
        <f>('CB_SMMC_Mixto'!G21/1000000)*K$25</f>
        <v>0.79045179213263783</v>
      </c>
      <c r="L50" s="9">
        <f>('CB_SMMC_Mixto'!H21/1000000)*L$25</f>
        <v>0.97042370027530878</v>
      </c>
      <c r="M50" s="9">
        <f>('CB_SMMC_Mixto'!I21/1000000)*M$25</f>
        <v>1.1451031259422746</v>
      </c>
      <c r="N50" s="9">
        <f>('CB_SMMC_Mixto'!J21/1000000)*N$25</f>
        <v>1.31459921145448</v>
      </c>
      <c r="O50" s="9">
        <f>('CB_SMMC_Mixto'!K21/1000000)*O$25</f>
        <v>1.4790141612729608</v>
      </c>
      <c r="P50" s="9">
        <f>('CB_SMMC_Mixto'!L21/1000000)*P$25</f>
        <v>1.6342450286504862</v>
      </c>
      <c r="Q50" s="9">
        <f>('CB_SMMC_Mixto'!M21/1000000)*Q$25</f>
        <v>1.7847156476660506</v>
      </c>
      <c r="R50" s="9">
        <f>('CB_SMMC_Mixto'!N21/1000000)*R$25</f>
        <v>1.9346112163002833</v>
      </c>
      <c r="S50" s="9">
        <f>('CB_SMMC_Mixto'!O21/1000000)*S$25</f>
        <v>2.0798230348227329</v>
      </c>
      <c r="T50" s="9">
        <f>('CB_SMMC_Mixto'!P21/1000000)*T$25</f>
        <v>2.1406327572880208</v>
      </c>
      <c r="U50" s="9">
        <f>('CB_SMMC_Mixto'!Q21/1000000)*U$25</f>
        <v>2.1406327572880208</v>
      </c>
      <c r="V50" s="35">
        <f>W53+W52+W51</f>
        <v>376.40354906425466</v>
      </c>
      <c r="W50" s="35">
        <f t="shared" si="8"/>
        <v>10.411599635211219</v>
      </c>
      <c r="X50" s="35">
        <f t="shared" si="15"/>
        <v>1.0720070756374727</v>
      </c>
      <c r="Y50" s="35">
        <f t="shared" si="9"/>
        <v>1.3443229333514812</v>
      </c>
      <c r="Z50" s="32">
        <f t="shared" si="14"/>
        <v>7.3384960539562656E-3</v>
      </c>
    </row>
    <row r="51" spans="2:26" x14ac:dyDescent="0.3">
      <c r="B51" s="86"/>
      <c r="C51" s="53" t="s">
        <v>156</v>
      </c>
      <c r="D51" s="54"/>
      <c r="E51" s="54"/>
      <c r="F51" s="9">
        <v>0</v>
      </c>
      <c r="G51" s="9">
        <v>0</v>
      </c>
      <c r="H51" s="9">
        <f>('CB_SMMC_Mixto'!D22/1000000)*H$25</f>
        <v>2.9995071184647566</v>
      </c>
      <c r="I51" s="9">
        <f>('CB_SMMC_Mixto'!E22/1000000)*I$25</f>
        <v>5.8790515831138785</v>
      </c>
      <c r="J51" s="9">
        <f>('CB_SMMC_Mixto'!F22/1000000)*J$25</f>
        <v>8.8476483379861754</v>
      </c>
      <c r="K51" s="9">
        <f>('CB_SMMC_Mixto'!G22/1000000)*K$25</f>
        <v>11.907226191805552</v>
      </c>
      <c r="L51" s="9">
        <f>('CB_SMMC_Mixto'!H22/1000000)*L$25</f>
        <v>15.059763625663011</v>
      </c>
      <c r="M51" s="9">
        <f>('CB_SMMC_Mixto'!I22/1000000)*M$25</f>
        <v>18.307241328967987</v>
      </c>
      <c r="N51" s="9">
        <f>('CB_SMMC_Mixto'!J22/1000000)*N$25</f>
        <v>21.651760737285834</v>
      </c>
      <c r="O51" s="9">
        <f>('CB_SMMC_Mixto'!K22/1000000)*O$25</f>
        <v>25.095377308949157</v>
      </c>
      <c r="P51" s="9">
        <f>('CB_SMMC_Mixto'!L22/1000000)*P$25</f>
        <v>28.566702728724167</v>
      </c>
      <c r="Q51" s="9">
        <f>('CB_SMMC_Mixto'!M22/1000000)*Q$25</f>
        <v>32.139085859535044</v>
      </c>
      <c r="R51" s="9">
        <f>('CB_SMMC_Mixto'!N22/1000000)*R$25</f>
        <v>35.89051873670909</v>
      </c>
      <c r="S51" s="9">
        <f>('CB_SMMC_Mixto'!O22/1000000)*S$25</f>
        <v>39.749709898269636</v>
      </c>
      <c r="T51" s="9">
        <f>('CB_SMMC_Mixto'!P22/1000000)*T$25</f>
        <v>42.147448832179769</v>
      </c>
      <c r="U51" s="9">
        <f>('CB_SMMC_Mixto'!Q22/1000000)*U$25</f>
        <v>43.420301786911608</v>
      </c>
      <c r="V51" s="35">
        <f>PMT(D68,15,-V50)</f>
        <v>38.755549774244813</v>
      </c>
      <c r="W51" s="35">
        <f t="shared" si="8"/>
        <v>180.85635461401907</v>
      </c>
      <c r="X51" s="35">
        <f t="shared" si="15"/>
        <v>18.621470149941576</v>
      </c>
      <c r="Y51" s="35">
        <f t="shared" si="9"/>
        <v>23.351776256141207</v>
      </c>
      <c r="Z51" s="32">
        <f t="shared" si="14"/>
        <v>0.12747451795777479</v>
      </c>
    </row>
    <row r="52" spans="2:26" x14ac:dyDescent="0.3">
      <c r="B52" s="86"/>
      <c r="C52" s="53" t="s">
        <v>157</v>
      </c>
      <c r="D52" s="54"/>
      <c r="E52" s="54"/>
      <c r="F52" s="9">
        <v>0</v>
      </c>
      <c r="G52" s="9">
        <v>0</v>
      </c>
      <c r="H52" s="9">
        <f>('CB_SMMC_Mixto'!D23/1000000)*H$25</f>
        <v>1.2233143739300654</v>
      </c>
      <c r="I52" s="9">
        <f>('CB_SMMC_Mixto'!E23/1000000)*I$25</f>
        <v>2.397703363471452</v>
      </c>
      <c r="J52" s="9">
        <f>('CB_SMMC_Mixto'!F23/1000000)*J$25</f>
        <v>3.6084113022131201</v>
      </c>
      <c r="K52" s="9">
        <f>('CB_SMMC_Mixto'!G23/1000000)*K$25</f>
        <v>4.8562248325410753</v>
      </c>
      <c r="L52" s="9">
        <f>('CB_SMMC_Mixto'!H23/1000000)*L$25</f>
        <v>6.1419508551431941</v>
      </c>
      <c r="M52" s="9">
        <f>('CB_SMMC_Mixto'!I23/1000000)*M$25</f>
        <v>7.4663971713445463</v>
      </c>
      <c r="N52" s="9">
        <f>('CB_SMMC_Mixto'!J23/1000000)*N$25</f>
        <v>8.8304208273968801</v>
      </c>
      <c r="O52" s="9">
        <f>('CB_SMMC_Mixto'!K23/1000000)*O$25</f>
        <v>10.234860118267996</v>
      </c>
      <c r="P52" s="9">
        <f>('CB_SMMC_Mixto'!L23/1000000)*P$25</f>
        <v>11.650600143173522</v>
      </c>
      <c r="Q52" s="9">
        <f>('CB_SMMC_Mixto'!M23/1000000)*Q$25</f>
        <v>13.10755538965515</v>
      </c>
      <c r="R52" s="9">
        <f>('CB_SMMC_Mixto'!N23/1000000)*R$25</f>
        <v>14.637534009552445</v>
      </c>
      <c r="S52" s="9">
        <f>('CB_SMMC_Mixto'!O23/1000000)*S$25</f>
        <v>16.211460602564589</v>
      </c>
      <c r="T52" s="9">
        <f>('CB_SMMC_Mixto'!P23/1000000)*T$25</f>
        <v>17.18935076482742</v>
      </c>
      <c r="U52" s="9">
        <f>('CB_SMMC_Mixto'!Q23/1000000)*U$25</f>
        <v>17.708469157925212</v>
      </c>
      <c r="W52" s="35">
        <f t="shared" si="8"/>
        <v>73.760177748523688</v>
      </c>
      <c r="X52" s="35">
        <f t="shared" si="15"/>
        <v>7.5945517708231538</v>
      </c>
      <c r="Y52" s="35">
        <f t="shared" si="9"/>
        <v>9.5237525442372046</v>
      </c>
      <c r="Z52" s="32">
        <f t="shared" si="14"/>
        <v>5.1989011517121472E-2</v>
      </c>
    </row>
    <row r="53" spans="2:26" x14ac:dyDescent="0.3">
      <c r="B53" s="86"/>
      <c r="C53" s="53" t="s">
        <v>158</v>
      </c>
      <c r="D53" s="54"/>
      <c r="E53" s="54"/>
      <c r="F53" s="9">
        <v>0</v>
      </c>
      <c r="G53" s="9">
        <v>0</v>
      </c>
      <c r="H53" s="9">
        <f>('CB_SMMC_Mixto'!D24/1000000)*H$25</f>
        <v>1.7905269937309372</v>
      </c>
      <c r="I53" s="9">
        <f>('CB_SMMC_Mixto'!E24/1000000)*I$25</f>
        <v>3.6354015312170018</v>
      </c>
      <c r="J53" s="9">
        <f>('CB_SMMC_Mixto'!F24/1000000)*J$25</f>
        <v>5.6307801047062664</v>
      </c>
      <c r="K53" s="9">
        <f>('CB_SMMC_Mixto'!G24/1000000)*K$25</f>
        <v>7.7559621830787044</v>
      </c>
      <c r="L53" s="9">
        <f>('CB_SMMC_Mixto'!H24/1000000)*L$25</f>
        <v>9.9826375090704929</v>
      </c>
      <c r="M53" s="9">
        <f>('CB_SMMC_Mixto'!I24/1000000)*M$25</f>
        <v>12.303102451091862</v>
      </c>
      <c r="N53" s="9">
        <f>('CB_SMMC_Mixto'!J24/1000000)*N$25</f>
        <v>14.69735376464145</v>
      </c>
      <c r="O53" s="9">
        <f>('CB_SMMC_Mixto'!K24/1000000)*O$25</f>
        <v>17.140548768816139</v>
      </c>
      <c r="P53" s="9">
        <f>('CB_SMMC_Mixto'!L24/1000000)*P$25</f>
        <v>19.581566896926471</v>
      </c>
      <c r="Q53" s="9">
        <f>('CB_SMMC_Mixto'!M24/1000000)*Q$25</f>
        <v>22.042502405497448</v>
      </c>
      <c r="R53" s="9">
        <f>('CB_SMMC_Mixto'!N24/1000000)*R$25</f>
        <v>24.585486440064827</v>
      </c>
      <c r="S53" s="9">
        <f>('CB_SMMC_Mixto'!O24/1000000)*S$25</f>
        <v>27.113104480400388</v>
      </c>
      <c r="T53" s="9">
        <f>('CB_SMMC_Mixto'!P24/1000000)*T$25</f>
        <v>28.57086107602461</v>
      </c>
      <c r="U53" s="9">
        <f>('CB_SMMC_Mixto'!Q24/1000000)*U$25</f>
        <v>29.204692362853109</v>
      </c>
      <c r="W53" s="35">
        <f t="shared" si="8"/>
        <v>121.78701670171193</v>
      </c>
      <c r="X53" s="35">
        <f t="shared" si="15"/>
        <v>12.539527853480092</v>
      </c>
      <c r="Y53" s="35">
        <f t="shared" si="9"/>
        <v>15.724872764304083</v>
      </c>
      <c r="Z53" s="32">
        <f t="shared" si="14"/>
        <v>8.5840175650442954E-2</v>
      </c>
    </row>
    <row r="54" spans="2:26" x14ac:dyDescent="0.3">
      <c r="B54" s="86"/>
      <c r="C54" s="53" t="s">
        <v>159</v>
      </c>
      <c r="D54" s="54"/>
      <c r="E54" s="54"/>
      <c r="F54" s="9">
        <v>0</v>
      </c>
      <c r="G54" s="9">
        <v>0</v>
      </c>
      <c r="H54" s="9">
        <f>('CB_SMMC_Mixto'!D25/1000000)*H$25</f>
        <v>1.1954530200482232</v>
      </c>
      <c r="I54" s="9">
        <f>('CB_SMMC_Mixto'!E25/1000000)*I$25</f>
        <v>2.3046615344703043</v>
      </c>
      <c r="J54" s="9">
        <f>('CB_SMMC_Mixto'!F25/1000000)*J$25</f>
        <v>3.4101289525431921</v>
      </c>
      <c r="K54" s="9">
        <f>('CB_SMMC_Mixto'!G25/1000000)*K$25</f>
        <v>4.510848632170303</v>
      </c>
      <c r="L54" s="9">
        <f>('CB_SMMC_Mixto'!H25/1000000)*L$25</f>
        <v>5.6077737491562578</v>
      </c>
      <c r="M54" s="9">
        <f>('CB_SMMC_Mixto'!I25/1000000)*M$25</f>
        <v>6.7009945982118193</v>
      </c>
      <c r="N54" s="9">
        <f>('CB_SMMC_Mixto'!J25/1000000)*N$25</f>
        <v>7.7903617176516367</v>
      </c>
      <c r="O54" s="9">
        <f>('CB_SMMC_Mixto'!K25/1000000)*O$25</f>
        <v>8.8761897924015045</v>
      </c>
      <c r="P54" s="9">
        <f>('CB_SMMC_Mixto'!L25/1000000)*P$25</f>
        <v>9.9330017284771621</v>
      </c>
      <c r="Q54" s="9">
        <f>('CB_SMMC_Mixto'!M25/1000000)*Q$25</f>
        <v>10.986577221059884</v>
      </c>
      <c r="R54" s="9">
        <f>('CB_SMMC_Mixto'!N25/1000000)*R$25</f>
        <v>12.062033961866188</v>
      </c>
      <c r="S54" s="9">
        <f>('CB_SMMC_Mixto'!O25/1000000)*S$25</f>
        <v>13.141435214408785</v>
      </c>
      <c r="T54" s="9">
        <f>('CB_SMMC_Mixto'!P25/1000000)*T$25</f>
        <v>13.700416006200001</v>
      </c>
      <c r="U54" s="9">
        <f>('CB_SMMC_Mixto'!Q25/1000000)*U$25</f>
        <v>13.876911509999999</v>
      </c>
      <c r="W54" s="35">
        <f t="shared" si="8"/>
        <v>62.962137621418336</v>
      </c>
      <c r="X54" s="35">
        <f t="shared" si="15"/>
        <v>6.4827557140360099</v>
      </c>
      <c r="Y54" s="35">
        <f t="shared" si="9"/>
        <v>8.1295332612535312</v>
      </c>
      <c r="Z54" s="32">
        <f t="shared" si="14"/>
        <v>4.4378137334518841E-2</v>
      </c>
    </row>
    <row r="55" spans="2:26" x14ac:dyDescent="0.3">
      <c r="B55" s="86"/>
      <c r="C55" s="53" t="s">
        <v>160</v>
      </c>
      <c r="D55" s="54"/>
      <c r="E55" s="54"/>
      <c r="F55" s="9">
        <f>('CB_SMMC_Mixto'!B26/1000000)*F$25</f>
        <v>7.37155452346447E-2</v>
      </c>
      <c r="G55" s="9">
        <f>('CB_SMMC_Mixto'!C26/1000000)*G$25</f>
        <v>0.10690637532475718</v>
      </c>
      <c r="H55" s="9">
        <f>('CB_SMMC_Mixto'!D26/1000000)*H$25</f>
        <v>1.5255365411463</v>
      </c>
      <c r="I55" s="9">
        <f>('CB_SMMC_Mixto'!E26/1000000)*I$25</f>
        <v>2.9342982553294745</v>
      </c>
      <c r="J55" s="9">
        <f>('CB_SMMC_Mixto'!F26/1000000)*J$25</f>
        <v>4.2965111296180822</v>
      </c>
      <c r="K55" s="9">
        <f>('CB_SMMC_Mixto'!G26/1000000)*K$25</f>
        <v>5.6212647126973136</v>
      </c>
      <c r="L55" s="9">
        <f>('CB_SMMC_Mixto'!H26/1000000)*L$25</f>
        <v>6.9086099879125902</v>
      </c>
      <c r="M55" s="9">
        <f>('CB_SMMC_Mixto'!I26/1000000)*M$25</f>
        <v>8.1607756773611193</v>
      </c>
      <c r="N55" s="9">
        <f>('CB_SMMC_Mixto'!J26/1000000)*N$25</f>
        <v>9.4458491907281221</v>
      </c>
      <c r="O55" s="9">
        <f>('CB_SMMC_Mixto'!K26/1000000)*O$25</f>
        <v>10.649534120204994</v>
      </c>
      <c r="P55" s="9">
        <f>('CB_SMMC_Mixto'!L26/1000000)*P$25</f>
        <v>11.786670031017993</v>
      </c>
      <c r="Q55" s="9">
        <f>('CB_SMMC_Mixto'!M26/1000000)*Q$25</f>
        <v>12.893133869099078</v>
      </c>
      <c r="R55" s="9">
        <f>('CB_SMMC_Mixto'!N26/1000000)*R$25</f>
        <v>14.003271457533536</v>
      </c>
      <c r="S55" s="9">
        <f>('CB_SMMC_Mixto'!O26/1000000)*S$25</f>
        <v>15.098422489456899</v>
      </c>
      <c r="T55" s="9">
        <f>('CB_SMMC_Mixto'!P26/1000000)*T$25</f>
        <v>15.585356474999999</v>
      </c>
      <c r="U55" s="9">
        <f>('CB_SMMC_Mixto'!Q26/1000000)*U$25</f>
        <v>15.630976949999999</v>
      </c>
      <c r="W55" s="35">
        <f t="shared" si="8"/>
        <v>74.95448856848779</v>
      </c>
      <c r="X55" s="35">
        <f t="shared" si="15"/>
        <v>7.7175213138683922</v>
      </c>
      <c r="Y55" s="35">
        <f t="shared" si="9"/>
        <v>9.6779593406066855</v>
      </c>
      <c r="Z55" s="32">
        <f t="shared" si="14"/>
        <v>5.2830807739275766E-2</v>
      </c>
    </row>
    <row r="56" spans="2:26" x14ac:dyDescent="0.3">
      <c r="B56" s="87"/>
      <c r="C56" s="88" t="s">
        <v>120</v>
      </c>
      <c r="D56" s="88"/>
      <c r="E56" s="88"/>
      <c r="F56" s="15">
        <f t="shared" ref="F56:T56" si="16">SUM(F47:F55)</f>
        <v>8.4251134961346438E-2</v>
      </c>
      <c r="G56" s="15">
        <f t="shared" si="16"/>
        <v>0.12217449770375396</v>
      </c>
      <c r="H56" s="15">
        <f t="shared" si="16"/>
        <v>24.158243080171886</v>
      </c>
      <c r="I56" s="15">
        <f t="shared" si="16"/>
        <v>47.271098123359074</v>
      </c>
      <c r="J56" s="15">
        <f t="shared" si="16"/>
        <v>70.958244305614102</v>
      </c>
      <c r="K56" s="15">
        <f t="shared" si="16"/>
        <v>95.217498056865026</v>
      </c>
      <c r="L56" s="15">
        <f t="shared" si="16"/>
        <v>120.03220124499084</v>
      </c>
      <c r="M56" s="15">
        <f t="shared" si="16"/>
        <v>145.40747865977997</v>
      </c>
      <c r="N56" s="15">
        <f t="shared" si="16"/>
        <v>171.40290005401013</v>
      </c>
      <c r="O56" s="15">
        <f t="shared" si="16"/>
        <v>197.89056687206568</v>
      </c>
      <c r="P56" s="15">
        <f t="shared" si="16"/>
        <v>224.3489188740576</v>
      </c>
      <c r="Q56" s="15">
        <f t="shared" si="16"/>
        <v>251.33210701461789</v>
      </c>
      <c r="R56" s="15">
        <f t="shared" si="16"/>
        <v>279.45688569464687</v>
      </c>
      <c r="S56" s="15">
        <f t="shared" si="16"/>
        <v>308.13241604243012</v>
      </c>
      <c r="T56" s="15">
        <f t="shared" si="16"/>
        <v>325.22760188422541</v>
      </c>
      <c r="U56" s="15">
        <f>SUM(U47:U55)</f>
        <v>333.49331446715689</v>
      </c>
      <c r="W56" s="35">
        <f t="shared" si="8"/>
        <v>1418.764765785792</v>
      </c>
      <c r="X56" s="35">
        <f t="shared" si="15"/>
        <v>146.07994168771702</v>
      </c>
      <c r="Y56" s="35">
        <f t="shared" si="9"/>
        <v>183.18779808115337</v>
      </c>
      <c r="Z56" s="32">
        <f t="shared" si="14"/>
        <v>1</v>
      </c>
    </row>
    <row r="57" spans="2:26" x14ac:dyDescent="0.3">
      <c r="W57" s="35"/>
    </row>
    <row r="58" spans="2:26" x14ac:dyDescent="0.3">
      <c r="B58" s="62" t="s">
        <v>60</v>
      </c>
      <c r="C58" s="63"/>
      <c r="D58" s="63"/>
      <c r="E58" s="63"/>
      <c r="F58" s="43">
        <f>F45+F56</f>
        <v>-22.873404849509292</v>
      </c>
      <c r="G58" s="43">
        <f>G45+G56</f>
        <v>-13.669909620328935</v>
      </c>
      <c r="H58" s="43">
        <f t="shared" ref="H58:U58" si="17">H45+H56</f>
        <v>-318.23466696081567</v>
      </c>
      <c r="I58" s="43">
        <f t="shared" si="17"/>
        <v>-104.06395733181503</v>
      </c>
      <c r="J58" s="43">
        <f t="shared" si="17"/>
        <v>-89.268981504027323</v>
      </c>
      <c r="K58" s="43">
        <f t="shared" si="17"/>
        <v>-73.88304830836546</v>
      </c>
      <c r="L58" s="43">
        <f t="shared" si="17"/>
        <v>-57.922610357790617</v>
      </c>
      <c r="M58" s="43">
        <f t="shared" si="17"/>
        <v>-41.376422186491311</v>
      </c>
      <c r="N58" s="43">
        <f t="shared" si="17"/>
        <v>-24.18515834514065</v>
      </c>
      <c r="O58" s="43">
        <f t="shared" si="17"/>
        <v>-6.4861113967653523</v>
      </c>
      <c r="P58" s="43">
        <f t="shared" si="17"/>
        <v>25.522732018624936</v>
      </c>
      <c r="Q58" s="43">
        <f t="shared" si="17"/>
        <v>43.962353911791269</v>
      </c>
      <c r="R58" s="43">
        <f t="shared" si="17"/>
        <v>49.249770994207438</v>
      </c>
      <c r="S58" s="43">
        <f t="shared" si="17"/>
        <v>69.217239342379713</v>
      </c>
      <c r="T58" s="43">
        <f t="shared" si="17"/>
        <v>190.93934991102165</v>
      </c>
      <c r="U58" s="43">
        <f t="shared" si="17"/>
        <v>197.35671535722707</v>
      </c>
      <c r="W58" s="35">
        <f t="shared" si="8"/>
        <v>-358.51383325262111</v>
      </c>
    </row>
    <row r="59" spans="2:26" x14ac:dyDescent="0.3">
      <c r="W59" s="35"/>
    </row>
    <row r="60" spans="2:26" x14ac:dyDescent="0.3">
      <c r="B60" s="62" t="s">
        <v>142</v>
      </c>
      <c r="C60" s="63"/>
      <c r="D60" s="63"/>
      <c r="E60" s="63"/>
      <c r="F60" s="33">
        <v>0</v>
      </c>
      <c r="G60" s="29">
        <f>F61</f>
        <v>-22.873404849509292</v>
      </c>
      <c r="H60" s="29">
        <f t="shared" ref="H60:U60" si="18">G61</f>
        <v>-36.543314469838229</v>
      </c>
      <c r="I60" s="29">
        <f t="shared" si="18"/>
        <v>-354.77798143065388</v>
      </c>
      <c r="J60" s="29">
        <f t="shared" si="18"/>
        <v>-458.84193876246889</v>
      </c>
      <c r="K60" s="29">
        <f t="shared" si="18"/>
        <v>-548.11092026649624</v>
      </c>
      <c r="L60" s="29">
        <f>K61</f>
        <v>-621.9939685748617</v>
      </c>
      <c r="M60" s="29">
        <f t="shared" si="18"/>
        <v>-679.91657893265233</v>
      </c>
      <c r="N60" s="29">
        <f t="shared" si="18"/>
        <v>-721.29300111914358</v>
      </c>
      <c r="O60" s="29">
        <f t="shared" si="18"/>
        <v>-745.4781594642842</v>
      </c>
      <c r="P60" s="29">
        <f t="shared" si="18"/>
        <v>-751.9642708610495</v>
      </c>
      <c r="Q60" s="29">
        <f t="shared" si="18"/>
        <v>-726.44153884242451</v>
      </c>
      <c r="R60" s="29">
        <f t="shared" si="18"/>
        <v>-682.47918493063321</v>
      </c>
      <c r="S60" s="29">
        <f t="shared" si="18"/>
        <v>-633.22941393642577</v>
      </c>
      <c r="T60" s="29">
        <f t="shared" si="18"/>
        <v>-564.01217459404609</v>
      </c>
      <c r="U60" s="29">
        <f t="shared" si="18"/>
        <v>-373.07282468302446</v>
      </c>
      <c r="W60" s="35"/>
    </row>
    <row r="61" spans="2:26" x14ac:dyDescent="0.3">
      <c r="B61" s="62" t="s">
        <v>98</v>
      </c>
      <c r="C61" s="63"/>
      <c r="D61" s="63"/>
      <c r="E61" s="63"/>
      <c r="F61" s="29">
        <f>F58+F60</f>
        <v>-22.873404849509292</v>
      </c>
      <c r="G61" s="29">
        <f>G58+G60</f>
        <v>-36.543314469838229</v>
      </c>
      <c r="H61" s="29">
        <f t="shared" ref="H61:U61" si="19">H58+H60</f>
        <v>-354.77798143065388</v>
      </c>
      <c r="I61" s="29">
        <f t="shared" si="19"/>
        <v>-458.84193876246889</v>
      </c>
      <c r="J61" s="29">
        <f t="shared" si="19"/>
        <v>-548.11092026649624</v>
      </c>
      <c r="K61" s="29">
        <f t="shared" si="19"/>
        <v>-621.9939685748617</v>
      </c>
      <c r="L61" s="29">
        <f t="shared" si="19"/>
        <v>-679.91657893265233</v>
      </c>
      <c r="M61" s="29">
        <f t="shared" si="19"/>
        <v>-721.29300111914358</v>
      </c>
      <c r="N61" s="29">
        <f t="shared" si="19"/>
        <v>-745.4781594642842</v>
      </c>
      <c r="O61" s="29">
        <f t="shared" si="19"/>
        <v>-751.9642708610495</v>
      </c>
      <c r="P61" s="29">
        <f t="shared" si="19"/>
        <v>-726.44153884242451</v>
      </c>
      <c r="Q61" s="29">
        <f t="shared" si="19"/>
        <v>-682.47918493063321</v>
      </c>
      <c r="R61" s="29">
        <f t="shared" si="19"/>
        <v>-633.22941393642577</v>
      </c>
      <c r="S61" s="29">
        <f t="shared" si="19"/>
        <v>-564.01217459404609</v>
      </c>
      <c r="T61" s="29">
        <f t="shared" si="19"/>
        <v>-373.07282468302446</v>
      </c>
      <c r="U61" s="29">
        <f t="shared" si="19"/>
        <v>-175.71610932579739</v>
      </c>
      <c r="W61" s="35"/>
    </row>
    <row r="62" spans="2:26" x14ac:dyDescent="0.3">
      <c r="W62" s="35"/>
    </row>
    <row r="63" spans="2:26" x14ac:dyDescent="0.3">
      <c r="B63" s="44" t="s">
        <v>143</v>
      </c>
      <c r="C63" s="45"/>
      <c r="D63" s="45"/>
      <c r="E63" s="45"/>
      <c r="F63" s="34">
        <f>F58/(1+0.06)^F27</f>
        <v>-25.700557688908646</v>
      </c>
      <c r="G63" s="34">
        <f>G58/(1+0.06)^G27</f>
        <v>-14.490104197548673</v>
      </c>
      <c r="H63" s="34">
        <f t="shared" ref="H63:T63" si="20">H58/(1+0.06)^H27</f>
        <v>-318.23466696081567</v>
      </c>
      <c r="I63" s="34">
        <f t="shared" si="20"/>
        <v>-98.173544652655693</v>
      </c>
      <c r="J63" s="34">
        <f t="shared" si="20"/>
        <v>-79.449075742281337</v>
      </c>
      <c r="K63" s="34">
        <f t="shared" si="20"/>
        <v>-62.033632048910711</v>
      </c>
      <c r="L63" s="34">
        <f t="shared" si="20"/>
        <v>-45.880132622610873</v>
      </c>
      <c r="M63" s="34">
        <f t="shared" si="20"/>
        <v>-30.918869642812076</v>
      </c>
      <c r="N63" s="34">
        <f t="shared" si="20"/>
        <v>-17.049582297609501</v>
      </c>
      <c r="O63" s="34">
        <f t="shared" si="20"/>
        <v>-4.3136345241657033</v>
      </c>
      <c r="P63" s="34">
        <f t="shared" si="20"/>
        <v>16.013277818927435</v>
      </c>
      <c r="Q63" s="34">
        <f t="shared" si="20"/>
        <v>26.021249733552438</v>
      </c>
      <c r="R63" s="34">
        <f t="shared" si="20"/>
        <v>27.500814887431105</v>
      </c>
      <c r="S63" s="34">
        <f t="shared" si="20"/>
        <v>36.462778227611729</v>
      </c>
      <c r="T63" s="34">
        <f t="shared" si="20"/>
        <v>94.891007207086631</v>
      </c>
      <c r="U63" s="34">
        <f>U58/(1+0.06)^U27</f>
        <v>92.528529461064494</v>
      </c>
      <c r="W63" s="35"/>
    </row>
    <row r="64" spans="2:26" x14ac:dyDescent="0.3">
      <c r="B64" s="44" t="s">
        <v>144</v>
      </c>
      <c r="C64" s="45"/>
      <c r="D64" s="45"/>
      <c r="E64" s="45"/>
      <c r="F64" s="34">
        <f>F63</f>
        <v>-25.700557688908646</v>
      </c>
      <c r="G64" s="34">
        <f>F64+G63</f>
        <v>-40.19066188645732</v>
      </c>
      <c r="H64" s="34">
        <f t="shared" ref="H64:U64" si="21">G64+H63</f>
        <v>-358.42532884727302</v>
      </c>
      <c r="I64" s="34">
        <f t="shared" si="21"/>
        <v>-456.59887349992869</v>
      </c>
      <c r="J64" s="34">
        <f t="shared" si="21"/>
        <v>-536.04794924221005</v>
      </c>
      <c r="K64" s="34">
        <f t="shared" si="21"/>
        <v>-598.08158129112076</v>
      </c>
      <c r="L64" s="34">
        <f t="shared" si="21"/>
        <v>-643.96171391373161</v>
      </c>
      <c r="M64" s="34">
        <f t="shared" si="21"/>
        <v>-674.88058355654368</v>
      </c>
      <c r="N64" s="34">
        <f t="shared" si="21"/>
        <v>-691.93016585415319</v>
      </c>
      <c r="O64" s="34">
        <f t="shared" si="21"/>
        <v>-696.24380037831884</v>
      </c>
      <c r="P64" s="34">
        <f t="shared" si="21"/>
        <v>-680.23052255939137</v>
      </c>
      <c r="Q64" s="34">
        <f t="shared" si="21"/>
        <v>-654.20927282583898</v>
      </c>
      <c r="R64" s="34">
        <f t="shared" si="21"/>
        <v>-626.70845793840783</v>
      </c>
      <c r="S64" s="34">
        <f t="shared" si="21"/>
        <v>-590.24567971079614</v>
      </c>
      <c r="T64" s="34">
        <f t="shared" si="21"/>
        <v>-495.35467250370948</v>
      </c>
      <c r="U64" s="34">
        <f t="shared" si="21"/>
        <v>-402.82614304264496</v>
      </c>
      <c r="W64" s="35"/>
    </row>
    <row r="67" spans="3:25" x14ac:dyDescent="0.3">
      <c r="V67" s="35">
        <f>V51*1000000/7744865</f>
        <v>5.0040316744378135</v>
      </c>
      <c r="W67">
        <f>V67*S4/12</f>
        <v>400.05565226572179</v>
      </c>
    </row>
    <row r="68" spans="3:25" x14ac:dyDescent="0.3">
      <c r="C68" t="s">
        <v>148</v>
      </c>
      <c r="D68" s="36">
        <f>J4</f>
        <v>0.06</v>
      </c>
      <c r="F68" t="s">
        <v>150</v>
      </c>
      <c r="G68" s="35">
        <f>NPV(D68,G45:U45)+F45</f>
        <v>-1777.2785990384132</v>
      </c>
      <c r="H68" s="35">
        <f>G68/7.744865</f>
        <v>-229.47831873614496</v>
      </c>
    </row>
    <row r="69" spans="3:25" x14ac:dyDescent="0.3">
      <c r="F69" s="35" t="s">
        <v>152</v>
      </c>
      <c r="G69" s="35">
        <f>PMT(D68,15,-G68)</f>
        <v>-182.993516875621</v>
      </c>
    </row>
    <row r="70" spans="3:25" x14ac:dyDescent="0.3">
      <c r="C70" t="s">
        <v>99</v>
      </c>
      <c r="D70" s="6">
        <f>NPV(D68,G58:U58)+F58</f>
        <v>-358.51383325262111</v>
      </c>
      <c r="G70" s="35"/>
      <c r="H70" s="6"/>
      <c r="V70" s="35">
        <f>V48*1000000/7744865</f>
        <v>13.857490338885469</v>
      </c>
      <c r="W70">
        <f>V70*S4/12</f>
        <v>1107.8601609594305</v>
      </c>
      <c r="Y70">
        <f>796-729</f>
        <v>67</v>
      </c>
    </row>
    <row r="71" spans="3:25" x14ac:dyDescent="0.3">
      <c r="C71" t="s">
        <v>100</v>
      </c>
      <c r="D71" s="8">
        <f>IRR(F58:U58)</f>
        <v>-2.5771022136370059E-2</v>
      </c>
      <c r="F71" t="s">
        <v>151</v>
      </c>
      <c r="G71" s="35">
        <f>NPV(D68,G56:U56)</f>
        <v>1418.6805146508307</v>
      </c>
      <c r="H71" s="35">
        <f>G71/7.744865</f>
        <v>183.17691975919925</v>
      </c>
    </row>
    <row r="72" spans="3:25" x14ac:dyDescent="0.3">
      <c r="C72" t="s">
        <v>139</v>
      </c>
      <c r="D72" s="32">
        <f>NPV(D68,G56:U56)/-(F36+NPV(D68,G36:U36)+NPV(D68,G43:U43))</f>
        <v>0.7982552025295262</v>
      </c>
      <c r="F72" t="s">
        <v>153</v>
      </c>
      <c r="G72" s="35">
        <f>PMT(D68,15,-G71)</f>
        <v>146.07126695799502</v>
      </c>
    </row>
    <row r="73" spans="3:25" x14ac:dyDescent="0.3">
      <c r="V73">
        <f>2139-W70</f>
        <v>1031.1398390405695</v>
      </c>
    </row>
    <row r="74" spans="3:25" x14ac:dyDescent="0.3">
      <c r="F74" t="s">
        <v>99</v>
      </c>
      <c r="G74" s="37">
        <f>G71+G68</f>
        <v>-358.5980843875825</v>
      </c>
    </row>
    <row r="75" spans="3:25" x14ac:dyDescent="0.3">
      <c r="F75" t="s">
        <v>149</v>
      </c>
      <c r="G75" s="37">
        <f>PMT(D68,15,-G74)</f>
        <v>-36.922249917625962</v>
      </c>
    </row>
  </sheetData>
  <mergeCells count="77">
    <mergeCell ref="B58:E58"/>
    <mergeCell ref="C54:E54"/>
    <mergeCell ref="D5:E5"/>
    <mergeCell ref="B15:B19"/>
    <mergeCell ref="G5:I5"/>
    <mergeCell ref="D9:E9"/>
    <mergeCell ref="C30:E30"/>
    <mergeCell ref="C15:E15"/>
    <mergeCell ref="C24:E24"/>
    <mergeCell ref="C16:U16"/>
    <mergeCell ref="B38:B43"/>
    <mergeCell ref="C43:E43"/>
    <mergeCell ref="B47:B56"/>
    <mergeCell ref="C56:E56"/>
    <mergeCell ref="C42:E42"/>
    <mergeCell ref="C39:E39"/>
    <mergeCell ref="B60:E60"/>
    <mergeCell ref="B61:E61"/>
    <mergeCell ref="B12:D13"/>
    <mergeCell ref="C17:E17"/>
    <mergeCell ref="C18:E18"/>
    <mergeCell ref="C19:E19"/>
    <mergeCell ref="C25:E25"/>
    <mergeCell ref="C20:U20"/>
    <mergeCell ref="C21:E21"/>
    <mergeCell ref="C34:E34"/>
    <mergeCell ref="C38:E38"/>
    <mergeCell ref="C40:E40"/>
    <mergeCell ref="C41:E41"/>
    <mergeCell ref="B37:U37"/>
    <mergeCell ref="B27:D28"/>
    <mergeCell ref="B30:B36"/>
    <mergeCell ref="G4:I4"/>
    <mergeCell ref="G2:K2"/>
    <mergeCell ref="L4:P4"/>
    <mergeCell ref="B26:U26"/>
    <mergeCell ref="B14:U14"/>
    <mergeCell ref="B5:C5"/>
    <mergeCell ref="B6:C6"/>
    <mergeCell ref="B7:C7"/>
    <mergeCell ref="B2:E2"/>
    <mergeCell ref="B4:C4"/>
    <mergeCell ref="B8:C8"/>
    <mergeCell ref="B9:C9"/>
    <mergeCell ref="D4:E4"/>
    <mergeCell ref="D6:E6"/>
    <mergeCell ref="D7:E7"/>
    <mergeCell ref="D8:E8"/>
    <mergeCell ref="C52:E52"/>
    <mergeCell ref="C53:E53"/>
    <mergeCell ref="B44:U44"/>
    <mergeCell ref="C51:E51"/>
    <mergeCell ref="C47:E47"/>
    <mergeCell ref="C48:E48"/>
    <mergeCell ref="C49:E49"/>
    <mergeCell ref="B45:E45"/>
    <mergeCell ref="L5:P5"/>
    <mergeCell ref="L6:P6"/>
    <mergeCell ref="L7:P7"/>
    <mergeCell ref="L8:P8"/>
    <mergeCell ref="L9:P9"/>
    <mergeCell ref="B63:E63"/>
    <mergeCell ref="B64:E64"/>
    <mergeCell ref="G6:I6"/>
    <mergeCell ref="G7:I7"/>
    <mergeCell ref="G8:I8"/>
    <mergeCell ref="G9:I9"/>
    <mergeCell ref="C36:E36"/>
    <mergeCell ref="C22:E22"/>
    <mergeCell ref="C23:E23"/>
    <mergeCell ref="B21:B25"/>
    <mergeCell ref="C31:E31"/>
    <mergeCell ref="C33:E33"/>
    <mergeCell ref="C32:E32"/>
    <mergeCell ref="C35:E35"/>
    <mergeCell ref="C55:E55"/>
    <mergeCell ref="C50:E50"/>
  </mergeCells>
  <conditionalFormatting sqref="F30:U36">
    <cfRule type="cellIs" dxfId="5" priority="8" operator="lessThan">
      <formula>0</formula>
    </cfRule>
  </conditionalFormatting>
  <conditionalFormatting sqref="F38:U43">
    <cfRule type="cellIs" dxfId="4" priority="4" operator="lessThan">
      <formula>0</formula>
    </cfRule>
  </conditionalFormatting>
  <conditionalFormatting sqref="F45:U45">
    <cfRule type="cellIs" dxfId="3" priority="1" operator="lessThan">
      <formula>0</formula>
    </cfRule>
  </conditionalFormatting>
  <conditionalFormatting sqref="F47:U56">
    <cfRule type="cellIs" dxfId="2" priority="5" operator="lessThan">
      <formula>0</formula>
    </cfRule>
  </conditionalFormatting>
  <conditionalFormatting sqref="F58:U61">
    <cfRule type="cellIs" dxfId="1" priority="3" operator="lessThan">
      <formula>0</formula>
    </cfRule>
  </conditionalFormatting>
  <conditionalFormatting sqref="F63:U64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F3480-D9CA-4F76-B8D6-B776F7BC4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 y Consideraciones</vt:lpstr>
      <vt:lpstr>CB_SMMC_Mixto</vt:lpstr>
      <vt:lpstr>Flujo de Caja SMI Mixto 10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Sanhueza</dc:creator>
  <cp:lastModifiedBy>Nicolás Sanhueza</cp:lastModifiedBy>
  <dcterms:created xsi:type="dcterms:W3CDTF">2015-06-05T18:19:34Z</dcterms:created>
  <dcterms:modified xsi:type="dcterms:W3CDTF">2026-02-20T16:17:00Z</dcterms:modified>
</cp:coreProperties>
</file>