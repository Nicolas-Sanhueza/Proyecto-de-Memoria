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8e212a0ac5b1962/Trabajo de Título/Análisis Costo-Beneficio/"/>
    </mc:Choice>
  </mc:AlternateContent>
  <xr:revisionPtr revIDLastSave="5007" documentId="11_AD4D2F04E46CFB4ACB3E206EFD56D1F2693EDF1B" xr6:coauthVersionLast="47" xr6:coauthVersionMax="47" xr10:uidLastSave="{3BCAE9FB-FF53-47AF-9E8A-9266652B27A6}"/>
  <bookViews>
    <workbookView xWindow="28680" yWindow="-120" windowWidth="29040" windowHeight="15720" firstSheet="1" activeTab="2" xr2:uid="{00000000-000D-0000-FFFF-FFFF00000000}"/>
  </bookViews>
  <sheets>
    <sheet name="Supuestos y Consideraciones" sheetId="6" state="hidden" r:id="rId1"/>
    <sheet name="CB_SMI_Mixto" sheetId="34" r:id="rId2"/>
    <sheet name="Flujo de Caja SMI Mixto 10 años" sheetId="24" r:id="rId3"/>
    <sheet name="Flujo de Caja SMI Mixto 9 años" sheetId="37" r:id="rId4"/>
    <sheet name="Flujo de Caja SMI Mixto 11 años" sheetId="38" r:id="rId5"/>
  </sheets>
  <definedNames>
    <definedName name="DatosExternos_1" localSheetId="1" hidden="1">CB_SMI_Mixto!$A$1:$Q$26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0" i="24" l="1"/>
  <c r="R68" i="38" l="1"/>
  <c r="D68" i="38"/>
  <c r="F56" i="38"/>
  <c r="X50" i="38"/>
  <c r="X51" i="38" s="1"/>
  <c r="X52" i="38" s="1"/>
  <c r="X53" i="38" s="1"/>
  <c r="W50" i="38"/>
  <c r="W51" i="38" s="1"/>
  <c r="W52" i="38" s="1"/>
  <c r="W53" i="38" s="1"/>
  <c r="F43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H35" i="38"/>
  <c r="G35" i="38"/>
  <c r="F35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H34" i="38"/>
  <c r="G34" i="38"/>
  <c r="F34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H33" i="38"/>
  <c r="G33" i="38"/>
  <c r="F33" i="38"/>
  <c r="U25" i="38"/>
  <c r="U38" i="38" s="1"/>
  <c r="T25" i="38"/>
  <c r="T53" i="38" s="1"/>
  <c r="S25" i="38"/>
  <c r="S53" i="38" s="1"/>
  <c r="R25" i="38"/>
  <c r="R55" i="38" s="1"/>
  <c r="U19" i="38"/>
  <c r="U23" i="38" s="1"/>
  <c r="U32" i="38" s="1"/>
  <c r="T19" i="38"/>
  <c r="T23" i="38" s="1"/>
  <c r="T32" i="38" s="1"/>
  <c r="S19" i="38"/>
  <c r="S23" i="38" s="1"/>
  <c r="S32" i="38" s="1"/>
  <c r="R19" i="38"/>
  <c r="R23" i="38" s="1"/>
  <c r="R32" i="38" s="1"/>
  <c r="Q19" i="38"/>
  <c r="P19" i="38"/>
  <c r="O19" i="38"/>
  <c r="N19" i="38"/>
  <c r="M19" i="38"/>
  <c r="L19" i="38"/>
  <c r="K19" i="38"/>
  <c r="J19" i="38"/>
  <c r="I19" i="38"/>
  <c r="H19" i="38"/>
  <c r="G19" i="38"/>
  <c r="F19" i="38"/>
  <c r="U18" i="38"/>
  <c r="U22" i="38" s="1"/>
  <c r="U31" i="38" s="1"/>
  <c r="T18" i="38"/>
  <c r="T22" i="38" s="1"/>
  <c r="T31" i="38" s="1"/>
  <c r="S18" i="38"/>
  <c r="S22" i="38" s="1"/>
  <c r="S31" i="38" s="1"/>
  <c r="R18" i="38"/>
  <c r="R22" i="38" s="1"/>
  <c r="R31" i="38" s="1"/>
  <c r="Q18" i="38"/>
  <c r="P18" i="38"/>
  <c r="O18" i="38"/>
  <c r="N18" i="38"/>
  <c r="M18" i="38"/>
  <c r="L18" i="38"/>
  <c r="K18" i="38"/>
  <c r="J18" i="38"/>
  <c r="I18" i="38"/>
  <c r="H18" i="38"/>
  <c r="G18" i="38"/>
  <c r="F18" i="38"/>
  <c r="U17" i="38"/>
  <c r="U21" i="38" s="1"/>
  <c r="U30" i="38" s="1"/>
  <c r="T17" i="38"/>
  <c r="T21" i="38" s="1"/>
  <c r="T30" i="38" s="1"/>
  <c r="S17" i="38"/>
  <c r="S21" i="38" s="1"/>
  <c r="S30" i="38" s="1"/>
  <c r="R17" i="38"/>
  <c r="R21" i="38" s="1"/>
  <c r="R30" i="38" s="1"/>
  <c r="Q17" i="38"/>
  <c r="P17" i="38"/>
  <c r="O17" i="38"/>
  <c r="N17" i="38"/>
  <c r="M17" i="38"/>
  <c r="L17" i="38"/>
  <c r="K17" i="38"/>
  <c r="J17" i="38"/>
  <c r="I17" i="38"/>
  <c r="H17" i="38"/>
  <c r="G17" i="38"/>
  <c r="F17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F15" i="38"/>
  <c r="L9" i="38"/>
  <c r="L8" i="38"/>
  <c r="L7" i="38"/>
  <c r="R68" i="37"/>
  <c r="D68" i="37"/>
  <c r="F56" i="37"/>
  <c r="X52" i="37"/>
  <c r="X53" i="37" s="1"/>
  <c r="W52" i="37"/>
  <c r="W53" i="37" s="1"/>
  <c r="X51" i="37"/>
  <c r="W51" i="37"/>
  <c r="X50" i="37"/>
  <c r="W50" i="37"/>
  <c r="F43" i="37"/>
  <c r="U35" i="37"/>
  <c r="T35" i="37"/>
  <c r="S35" i="37"/>
  <c r="R35" i="37"/>
  <c r="Q35" i="37"/>
  <c r="P35" i="37"/>
  <c r="O35" i="37"/>
  <c r="N35" i="37"/>
  <c r="M35" i="37"/>
  <c r="L35" i="37"/>
  <c r="K35" i="37"/>
  <c r="J35" i="37"/>
  <c r="I35" i="37"/>
  <c r="H35" i="37"/>
  <c r="G35" i="37"/>
  <c r="F35" i="37"/>
  <c r="U34" i="37"/>
  <c r="T34" i="37"/>
  <c r="S34" i="37"/>
  <c r="R34" i="37"/>
  <c r="Q34" i="37"/>
  <c r="P34" i="37"/>
  <c r="O34" i="37"/>
  <c r="N34" i="37"/>
  <c r="M34" i="37"/>
  <c r="L34" i="37"/>
  <c r="K34" i="37"/>
  <c r="J34" i="37"/>
  <c r="I34" i="37"/>
  <c r="H34" i="37"/>
  <c r="G34" i="37"/>
  <c r="F34" i="37"/>
  <c r="U33" i="37"/>
  <c r="T33" i="37"/>
  <c r="S33" i="37"/>
  <c r="R33" i="37"/>
  <c r="Q33" i="37"/>
  <c r="P33" i="37"/>
  <c r="O33" i="37"/>
  <c r="N33" i="37"/>
  <c r="M33" i="37"/>
  <c r="L33" i="37"/>
  <c r="K33" i="37"/>
  <c r="J33" i="37"/>
  <c r="I33" i="37"/>
  <c r="H33" i="37"/>
  <c r="G33" i="37"/>
  <c r="F33" i="37"/>
  <c r="U25" i="37"/>
  <c r="U54" i="37" s="1"/>
  <c r="T25" i="37"/>
  <c r="T54" i="37" s="1"/>
  <c r="S25" i="37"/>
  <c r="R25" i="37"/>
  <c r="Q25" i="37"/>
  <c r="Q39" i="37" s="1"/>
  <c r="U19" i="37"/>
  <c r="U23" i="37" s="1"/>
  <c r="U32" i="37" s="1"/>
  <c r="T19" i="37"/>
  <c r="T23" i="37" s="1"/>
  <c r="T32" i="37" s="1"/>
  <c r="S19" i="37"/>
  <c r="S23" i="37" s="1"/>
  <c r="S32" i="37" s="1"/>
  <c r="R19" i="37"/>
  <c r="R23" i="37" s="1"/>
  <c r="R32" i="37" s="1"/>
  <c r="Q19" i="37"/>
  <c r="Q23" i="37" s="1"/>
  <c r="Q32" i="37" s="1"/>
  <c r="P19" i="37"/>
  <c r="O19" i="37"/>
  <c r="N19" i="37"/>
  <c r="M19" i="37"/>
  <c r="L19" i="37"/>
  <c r="K19" i="37"/>
  <c r="J19" i="37"/>
  <c r="I19" i="37"/>
  <c r="H19" i="37"/>
  <c r="G19" i="37"/>
  <c r="F19" i="37"/>
  <c r="U18" i="37"/>
  <c r="U22" i="37" s="1"/>
  <c r="U31" i="37" s="1"/>
  <c r="T18" i="37"/>
  <c r="T22" i="37" s="1"/>
  <c r="T31" i="37" s="1"/>
  <c r="S18" i="37"/>
  <c r="S22" i="37" s="1"/>
  <c r="S31" i="37" s="1"/>
  <c r="R18" i="37"/>
  <c r="R22" i="37" s="1"/>
  <c r="R31" i="37" s="1"/>
  <c r="Q18" i="37"/>
  <c r="Q22" i="37" s="1"/>
  <c r="Q31" i="37" s="1"/>
  <c r="P18" i="37"/>
  <c r="O18" i="37"/>
  <c r="N18" i="37"/>
  <c r="M18" i="37"/>
  <c r="L18" i="37"/>
  <c r="K18" i="37"/>
  <c r="J18" i="37"/>
  <c r="I18" i="37"/>
  <c r="H18" i="37"/>
  <c r="G18" i="37"/>
  <c r="F18" i="37"/>
  <c r="U17" i="37"/>
  <c r="U21" i="37" s="1"/>
  <c r="U30" i="37" s="1"/>
  <c r="T17" i="37"/>
  <c r="T21" i="37" s="1"/>
  <c r="T30" i="37" s="1"/>
  <c r="S17" i="37"/>
  <c r="S21" i="37" s="1"/>
  <c r="S30" i="37" s="1"/>
  <c r="R17" i="37"/>
  <c r="R21" i="37" s="1"/>
  <c r="R30" i="37" s="1"/>
  <c r="Q17" i="37"/>
  <c r="Q21" i="37" s="1"/>
  <c r="Q30" i="37" s="1"/>
  <c r="P17" i="37"/>
  <c r="O17" i="37"/>
  <c r="N17" i="37"/>
  <c r="M17" i="37"/>
  <c r="L17" i="37"/>
  <c r="K17" i="37"/>
  <c r="J17" i="37"/>
  <c r="I17" i="37"/>
  <c r="H17" i="37"/>
  <c r="G17" i="37"/>
  <c r="F17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H15" i="37"/>
  <c r="G15" i="37"/>
  <c r="F15" i="37"/>
  <c r="L9" i="37"/>
  <c r="L8" i="37"/>
  <c r="L7" i="37"/>
  <c r="D68" i="24"/>
  <c r="F36" i="38" l="1"/>
  <c r="F45" i="38" s="1"/>
  <c r="F58" i="38" s="1"/>
  <c r="J7" i="37"/>
  <c r="O21" i="37" s="1"/>
  <c r="O30" i="37" s="1"/>
  <c r="F24" i="37"/>
  <c r="J8" i="38"/>
  <c r="O22" i="38" s="1"/>
  <c r="O31" i="38" s="1"/>
  <c r="F24" i="38"/>
  <c r="J7" i="38"/>
  <c r="N21" i="38" s="1"/>
  <c r="N30" i="38" s="1"/>
  <c r="F36" i="37"/>
  <c r="F45" i="37" s="1"/>
  <c r="F58" i="37" s="1"/>
  <c r="F63" i="37" s="1"/>
  <c r="F64" i="37" s="1"/>
  <c r="Q50" i="37"/>
  <c r="U36" i="37"/>
  <c r="J8" i="37"/>
  <c r="P22" i="37" s="1"/>
  <c r="P31" i="37" s="1"/>
  <c r="J9" i="37"/>
  <c r="G23" i="37" s="1"/>
  <c r="G32" i="37" s="1"/>
  <c r="J9" i="38"/>
  <c r="Q23" i="38" s="1"/>
  <c r="Q32" i="38" s="1"/>
  <c r="Q41" i="37"/>
  <c r="R36" i="38"/>
  <c r="S36" i="38"/>
  <c r="Q47" i="37"/>
  <c r="Q42" i="37"/>
  <c r="Q48" i="37"/>
  <c r="Q49" i="37"/>
  <c r="T36" i="38"/>
  <c r="Q54" i="37"/>
  <c r="S36" i="37"/>
  <c r="Q55" i="37"/>
  <c r="U53" i="38"/>
  <c r="S54" i="38"/>
  <c r="T54" i="38"/>
  <c r="U54" i="38"/>
  <c r="S55" i="38"/>
  <c r="T55" i="38"/>
  <c r="U55" i="38"/>
  <c r="U36" i="38"/>
  <c r="R36" i="37"/>
  <c r="Q51" i="37"/>
  <c r="R47" i="38"/>
  <c r="R48" i="38"/>
  <c r="R49" i="38"/>
  <c r="R50" i="38"/>
  <c r="R42" i="38"/>
  <c r="S47" i="38"/>
  <c r="S48" i="38"/>
  <c r="S49" i="38"/>
  <c r="S50" i="38"/>
  <c r="R41" i="38"/>
  <c r="T49" i="38"/>
  <c r="R40" i="38"/>
  <c r="S41" i="38"/>
  <c r="T42" i="38"/>
  <c r="U47" i="38"/>
  <c r="U48" i="38"/>
  <c r="U49" i="38"/>
  <c r="U50" i="38"/>
  <c r="S51" i="38"/>
  <c r="R39" i="38"/>
  <c r="S40" i="38"/>
  <c r="T41" i="38"/>
  <c r="U42" i="38"/>
  <c r="T51" i="38"/>
  <c r="R52" i="38"/>
  <c r="R51" i="38"/>
  <c r="R38" i="38"/>
  <c r="S39" i="38"/>
  <c r="T40" i="38"/>
  <c r="U41" i="38"/>
  <c r="U51" i="38"/>
  <c r="S52" i="38"/>
  <c r="S38" i="38"/>
  <c r="T39" i="38"/>
  <c r="U40" i="38"/>
  <c r="T52" i="38"/>
  <c r="R53" i="38"/>
  <c r="S42" i="38"/>
  <c r="T47" i="38"/>
  <c r="T50" i="38"/>
  <c r="T38" i="38"/>
  <c r="U39" i="38"/>
  <c r="U52" i="38"/>
  <c r="T48" i="38"/>
  <c r="R54" i="38"/>
  <c r="Q36" i="37"/>
  <c r="R55" i="37"/>
  <c r="R54" i="37"/>
  <c r="R53" i="37"/>
  <c r="R49" i="37"/>
  <c r="R48" i="37"/>
  <c r="R38" i="37"/>
  <c r="R42" i="37"/>
  <c r="R50" i="37"/>
  <c r="R47" i="37"/>
  <c r="R52" i="37"/>
  <c r="R39" i="37"/>
  <c r="R40" i="37"/>
  <c r="R51" i="37"/>
  <c r="R41" i="37"/>
  <c r="T53" i="37"/>
  <c r="T38" i="37"/>
  <c r="T52" i="37"/>
  <c r="T39" i="37"/>
  <c r="T40" i="37"/>
  <c r="T49" i="37"/>
  <c r="T47" i="37"/>
  <c r="T51" i="37"/>
  <c r="T41" i="37"/>
  <c r="T42" i="37"/>
  <c r="T50" i="37"/>
  <c r="T48" i="37"/>
  <c r="S53" i="37"/>
  <c r="S38" i="37"/>
  <c r="S51" i="37"/>
  <c r="S41" i="37"/>
  <c r="S48" i="37"/>
  <c r="S52" i="37"/>
  <c r="S39" i="37"/>
  <c r="S42" i="37"/>
  <c r="S49" i="37"/>
  <c r="S40" i="37"/>
  <c r="S50" i="37"/>
  <c r="S47" i="37"/>
  <c r="U38" i="37"/>
  <c r="U52" i="37"/>
  <c r="U39" i="37"/>
  <c r="U40" i="37"/>
  <c r="U47" i="37"/>
  <c r="U51" i="37"/>
  <c r="U41" i="37"/>
  <c r="U42" i="37"/>
  <c r="U50" i="37"/>
  <c r="U49" i="37"/>
  <c r="U48" i="37"/>
  <c r="T55" i="37"/>
  <c r="U55" i="37"/>
  <c r="U53" i="37"/>
  <c r="P23" i="37"/>
  <c r="P32" i="37" s="1"/>
  <c r="T36" i="37"/>
  <c r="S55" i="37"/>
  <c r="P21" i="37"/>
  <c r="P30" i="37" s="1"/>
  <c r="S54" i="37"/>
  <c r="Q52" i="37"/>
  <c r="Q38" i="37"/>
  <c r="Q40" i="37"/>
  <c r="Q53" i="37"/>
  <c r="G33" i="24"/>
  <c r="G34" i="24"/>
  <c r="G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F35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F34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F33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Q22" i="38" l="1"/>
  <c r="Q31" i="38" s="1"/>
  <c r="I22" i="38"/>
  <c r="I31" i="38" s="1"/>
  <c r="P21" i="38"/>
  <c r="P30" i="38" s="1"/>
  <c r="M21" i="37"/>
  <c r="M30" i="37" s="1"/>
  <c r="N21" i="37"/>
  <c r="N30" i="37" s="1"/>
  <c r="F61" i="37"/>
  <c r="G60" i="37" s="1"/>
  <c r="M22" i="38"/>
  <c r="M31" i="38" s="1"/>
  <c r="K22" i="38"/>
  <c r="K31" i="38" s="1"/>
  <c r="L21" i="38"/>
  <c r="L30" i="38" s="1"/>
  <c r="H22" i="38"/>
  <c r="H31" i="38" s="1"/>
  <c r="K21" i="37"/>
  <c r="K30" i="37" s="1"/>
  <c r="P22" i="38"/>
  <c r="P31" i="38" s="1"/>
  <c r="J22" i="38"/>
  <c r="J31" i="38" s="1"/>
  <c r="Q21" i="38"/>
  <c r="Q30" i="38" s="1"/>
  <c r="Q36" i="38" s="1"/>
  <c r="J21" i="37"/>
  <c r="J30" i="37" s="1"/>
  <c r="M22" i="37"/>
  <c r="M31" i="37" s="1"/>
  <c r="L23" i="37"/>
  <c r="L32" i="37" s="1"/>
  <c r="I23" i="37"/>
  <c r="I32" i="37" s="1"/>
  <c r="H21" i="37"/>
  <c r="H30" i="37" s="1"/>
  <c r="G21" i="37"/>
  <c r="G30" i="37" s="1"/>
  <c r="O23" i="37"/>
  <c r="O32" i="37" s="1"/>
  <c r="W35" i="24"/>
  <c r="W34" i="24"/>
  <c r="W33" i="24"/>
  <c r="I21" i="37"/>
  <c r="I30" i="37" s="1"/>
  <c r="M21" i="38"/>
  <c r="M30" i="38" s="1"/>
  <c r="L21" i="37"/>
  <c r="L30" i="37" s="1"/>
  <c r="K22" i="37"/>
  <c r="K31" i="37" s="1"/>
  <c r="L22" i="38"/>
  <c r="L31" i="38" s="1"/>
  <c r="I22" i="37"/>
  <c r="I31" i="37" s="1"/>
  <c r="K21" i="38"/>
  <c r="K30" i="38" s="1"/>
  <c r="H22" i="37"/>
  <c r="H31" i="37" s="1"/>
  <c r="O21" i="38"/>
  <c r="O30" i="38" s="1"/>
  <c r="G22" i="37"/>
  <c r="G31" i="37" s="1"/>
  <c r="J22" i="37"/>
  <c r="J31" i="37" s="1"/>
  <c r="H23" i="37"/>
  <c r="H32" i="37" s="1"/>
  <c r="J23" i="37"/>
  <c r="J32" i="37" s="1"/>
  <c r="G21" i="38"/>
  <c r="G30" i="38" s="1"/>
  <c r="G22" i="38"/>
  <c r="G31" i="38" s="1"/>
  <c r="K23" i="37"/>
  <c r="K32" i="37" s="1"/>
  <c r="M23" i="37"/>
  <c r="M32" i="37" s="1"/>
  <c r="I21" i="38"/>
  <c r="I30" i="38" s="1"/>
  <c r="N23" i="37"/>
  <c r="N32" i="37" s="1"/>
  <c r="H23" i="38"/>
  <c r="H32" i="38" s="1"/>
  <c r="K23" i="38"/>
  <c r="K32" i="38" s="1"/>
  <c r="L22" i="37"/>
  <c r="L31" i="37" s="1"/>
  <c r="L23" i="38"/>
  <c r="L32" i="38" s="1"/>
  <c r="O23" i="38"/>
  <c r="O32" i="38" s="1"/>
  <c r="O22" i="37"/>
  <c r="O31" i="37" s="1"/>
  <c r="N22" i="38"/>
  <c r="N31" i="38" s="1"/>
  <c r="J21" i="38"/>
  <c r="J30" i="38" s="1"/>
  <c r="J23" i="38"/>
  <c r="J32" i="38" s="1"/>
  <c r="I23" i="38"/>
  <c r="I32" i="38" s="1"/>
  <c r="N22" i="37"/>
  <c r="N31" i="37" s="1"/>
  <c r="H21" i="38"/>
  <c r="H30" i="38" s="1"/>
  <c r="P23" i="38"/>
  <c r="P32" i="38" s="1"/>
  <c r="M23" i="38"/>
  <c r="M32" i="38" s="1"/>
  <c r="N23" i="38"/>
  <c r="N32" i="38" s="1"/>
  <c r="G23" i="38"/>
  <c r="G32" i="38" s="1"/>
  <c r="S43" i="38"/>
  <c r="S45" i="38" s="1"/>
  <c r="Q43" i="37"/>
  <c r="Q45" i="37" s="1"/>
  <c r="Q56" i="37"/>
  <c r="U43" i="38"/>
  <c r="U45" i="38" s="1"/>
  <c r="U43" i="37"/>
  <c r="U45" i="37" s="1"/>
  <c r="S56" i="37"/>
  <c r="U56" i="38"/>
  <c r="T43" i="38"/>
  <c r="T45" i="38" s="1"/>
  <c r="R56" i="38"/>
  <c r="T56" i="38"/>
  <c r="R43" i="38"/>
  <c r="R45" i="38" s="1"/>
  <c r="F63" i="38"/>
  <c r="F64" i="38" s="1"/>
  <c r="F61" i="38"/>
  <c r="G60" i="38" s="1"/>
  <c r="S56" i="38"/>
  <c r="T56" i="37"/>
  <c r="T43" i="37"/>
  <c r="T45" i="37" s="1"/>
  <c r="P25" i="37"/>
  <c r="S43" i="37"/>
  <c r="S45" i="37" s="1"/>
  <c r="U56" i="37"/>
  <c r="V54" i="37" s="1"/>
  <c r="R56" i="37"/>
  <c r="R43" i="37"/>
  <c r="R45" i="37" s="1"/>
  <c r="P36" i="37"/>
  <c r="J8" i="24"/>
  <c r="J7" i="24"/>
  <c r="F36" i="24"/>
  <c r="F45" i="24" s="1"/>
  <c r="F24" i="24"/>
  <c r="F58" i="24" l="1"/>
  <c r="X34" i="24"/>
  <c r="Y34" i="24"/>
  <c r="X35" i="24"/>
  <c r="Y35" i="24"/>
  <c r="X33" i="24"/>
  <c r="Y33" i="24"/>
  <c r="T58" i="37"/>
  <c r="T63" i="37" s="1"/>
  <c r="M36" i="37"/>
  <c r="P36" i="38"/>
  <c r="K36" i="37"/>
  <c r="L36" i="37"/>
  <c r="I36" i="37"/>
  <c r="L36" i="38"/>
  <c r="H36" i="37"/>
  <c r="M36" i="38"/>
  <c r="J36" i="37"/>
  <c r="O36" i="37"/>
  <c r="M25" i="37"/>
  <c r="M38" i="37" s="1"/>
  <c r="I25" i="37"/>
  <c r="I50" i="37" s="1"/>
  <c r="G36" i="37"/>
  <c r="G25" i="37"/>
  <c r="G54" i="37" s="1"/>
  <c r="H25" i="38"/>
  <c r="H51" i="38" s="1"/>
  <c r="K25" i="37"/>
  <c r="K53" i="37" s="1"/>
  <c r="N36" i="38"/>
  <c r="G36" i="38"/>
  <c r="J36" i="38"/>
  <c r="O36" i="38"/>
  <c r="N25" i="37"/>
  <c r="N48" i="37" s="1"/>
  <c r="J25" i="37"/>
  <c r="J50" i="37" s="1"/>
  <c r="K36" i="38"/>
  <c r="H25" i="37"/>
  <c r="H49" i="37" s="1"/>
  <c r="G24" i="37"/>
  <c r="H24" i="37" s="1"/>
  <c r="I24" i="37" s="1"/>
  <c r="J24" i="37" s="1"/>
  <c r="K24" i="37" s="1"/>
  <c r="L24" i="37" s="1"/>
  <c r="M24" i="37" s="1"/>
  <c r="N24" i="37" s="1"/>
  <c r="O24" i="37" s="1"/>
  <c r="P24" i="37" s="1"/>
  <c r="Q24" i="37" s="1"/>
  <c r="R24" i="37" s="1"/>
  <c r="S24" i="37" s="1"/>
  <c r="T24" i="37" s="1"/>
  <c r="U24" i="37" s="1"/>
  <c r="G25" i="38"/>
  <c r="G52" i="38" s="1"/>
  <c r="L25" i="38"/>
  <c r="L54" i="38" s="1"/>
  <c r="Q58" i="37"/>
  <c r="Q63" i="37" s="1"/>
  <c r="H36" i="38"/>
  <c r="G24" i="38"/>
  <c r="H24" i="38" s="1"/>
  <c r="I24" i="38" s="1"/>
  <c r="J24" i="38" s="1"/>
  <c r="K24" i="38" s="1"/>
  <c r="L24" i="38" s="1"/>
  <c r="M24" i="38" s="1"/>
  <c r="N24" i="38" s="1"/>
  <c r="O24" i="38" s="1"/>
  <c r="P24" i="38" s="1"/>
  <c r="Q24" i="38" s="1"/>
  <c r="R24" i="38" s="1"/>
  <c r="S24" i="38" s="1"/>
  <c r="T24" i="38" s="1"/>
  <c r="U24" i="38" s="1"/>
  <c r="N36" i="37"/>
  <c r="S58" i="38"/>
  <c r="S63" i="38" s="1"/>
  <c r="I36" i="38"/>
  <c r="K25" i="38"/>
  <c r="K55" i="38" s="1"/>
  <c r="O25" i="37"/>
  <c r="O38" i="37" s="1"/>
  <c r="Q25" i="38"/>
  <c r="Q47" i="38" s="1"/>
  <c r="P25" i="38"/>
  <c r="P55" i="38" s="1"/>
  <c r="I25" i="38"/>
  <c r="I54" i="38" s="1"/>
  <c r="J25" i="38"/>
  <c r="J53" i="38" s="1"/>
  <c r="L25" i="37"/>
  <c r="L55" i="37" s="1"/>
  <c r="M25" i="38"/>
  <c r="M55" i="38" s="1"/>
  <c r="N25" i="38"/>
  <c r="N39" i="38" s="1"/>
  <c r="U58" i="38"/>
  <c r="U63" i="38" s="1"/>
  <c r="O25" i="38"/>
  <c r="O54" i="38" s="1"/>
  <c r="R58" i="37"/>
  <c r="R63" i="37" s="1"/>
  <c r="V52" i="38"/>
  <c r="S58" i="37"/>
  <c r="S63" i="37" s="1"/>
  <c r="V49" i="38"/>
  <c r="V48" i="38"/>
  <c r="V47" i="37"/>
  <c r="V47" i="38"/>
  <c r="T58" i="38"/>
  <c r="V50" i="38"/>
  <c r="V51" i="38"/>
  <c r="R58" i="38"/>
  <c r="V53" i="38"/>
  <c r="V54" i="38"/>
  <c r="V55" i="38"/>
  <c r="P55" i="37"/>
  <c r="P54" i="37"/>
  <c r="P38" i="37"/>
  <c r="P40" i="37"/>
  <c r="P52" i="37"/>
  <c r="P41" i="37"/>
  <c r="P42" i="37"/>
  <c r="P53" i="37"/>
  <c r="P39" i="37"/>
  <c r="P51" i="37"/>
  <c r="P50" i="37"/>
  <c r="P49" i="37"/>
  <c r="P47" i="37"/>
  <c r="P48" i="37"/>
  <c r="V55" i="37"/>
  <c r="V52" i="37"/>
  <c r="V53" i="37"/>
  <c r="V48" i="37"/>
  <c r="V49" i="37"/>
  <c r="V51" i="37"/>
  <c r="V50" i="37"/>
  <c r="U58" i="37"/>
  <c r="F56" i="24"/>
  <c r="F43" i="24"/>
  <c r="L8" i="24"/>
  <c r="L9" i="24"/>
  <c r="Q22" i="24"/>
  <c r="Q31" i="24" s="1"/>
  <c r="R22" i="24"/>
  <c r="R31" i="24" s="1"/>
  <c r="S22" i="24"/>
  <c r="S31" i="24" s="1"/>
  <c r="T22" i="24"/>
  <c r="T31" i="24" s="1"/>
  <c r="U22" i="24"/>
  <c r="U31" i="24" s="1"/>
  <c r="Q21" i="24"/>
  <c r="Q30" i="24" s="1"/>
  <c r="R21" i="24"/>
  <c r="R30" i="24" s="1"/>
  <c r="S21" i="24"/>
  <c r="S30" i="24" s="1"/>
  <c r="T21" i="24"/>
  <c r="T30" i="24" s="1"/>
  <c r="U21" i="24"/>
  <c r="U30" i="24" s="1"/>
  <c r="F63" i="24" l="1"/>
  <c r="G53" i="38"/>
  <c r="J50" i="38"/>
  <c r="J40" i="37"/>
  <c r="G55" i="38"/>
  <c r="J55" i="37"/>
  <c r="I51" i="38"/>
  <c r="I53" i="38"/>
  <c r="I39" i="38"/>
  <c r="J51" i="37"/>
  <c r="I52" i="37"/>
  <c r="I42" i="37"/>
  <c r="J38" i="37"/>
  <c r="N49" i="37"/>
  <c r="J41" i="37"/>
  <c r="N47" i="37"/>
  <c r="N42" i="37"/>
  <c r="J52" i="37"/>
  <c r="N41" i="37"/>
  <c r="I38" i="37"/>
  <c r="J53" i="37"/>
  <c r="J54" i="37"/>
  <c r="N55" i="37"/>
  <c r="J48" i="37"/>
  <c r="N39" i="37"/>
  <c r="J47" i="37"/>
  <c r="N53" i="37"/>
  <c r="I55" i="38"/>
  <c r="N54" i="37"/>
  <c r="I52" i="38"/>
  <c r="J39" i="37"/>
  <c r="I40" i="37"/>
  <c r="J42" i="37"/>
  <c r="I41" i="37"/>
  <c r="H40" i="37"/>
  <c r="H55" i="37"/>
  <c r="M47" i="37"/>
  <c r="M42" i="37"/>
  <c r="H54" i="37"/>
  <c r="M51" i="37"/>
  <c r="M50" i="37"/>
  <c r="H52" i="37"/>
  <c r="I42" i="38"/>
  <c r="J49" i="37"/>
  <c r="M53" i="37"/>
  <c r="H41" i="37"/>
  <c r="M48" i="37"/>
  <c r="H51" i="37"/>
  <c r="M54" i="37"/>
  <c r="M55" i="37"/>
  <c r="H53" i="37"/>
  <c r="H50" i="37"/>
  <c r="I39" i="37"/>
  <c r="I53" i="37"/>
  <c r="I51" i="37"/>
  <c r="H42" i="37"/>
  <c r="H48" i="38"/>
  <c r="H39" i="38"/>
  <c r="M40" i="37"/>
  <c r="G47" i="38"/>
  <c r="N55" i="38"/>
  <c r="M41" i="37"/>
  <c r="G41" i="37"/>
  <c r="G48" i="38"/>
  <c r="L41" i="38"/>
  <c r="M49" i="37"/>
  <c r="G51" i="37"/>
  <c r="G42" i="38"/>
  <c r="L51" i="38"/>
  <c r="Q42" i="38"/>
  <c r="K40" i="38"/>
  <c r="Q55" i="38"/>
  <c r="L42" i="38"/>
  <c r="H40" i="38"/>
  <c r="F64" i="24"/>
  <c r="G39" i="37"/>
  <c r="K52" i="37"/>
  <c r="I55" i="37"/>
  <c r="G47" i="37"/>
  <c r="I47" i="37"/>
  <c r="H54" i="38"/>
  <c r="M47" i="38"/>
  <c r="I54" i="37"/>
  <c r="M42" i="38"/>
  <c r="I48" i="37"/>
  <c r="M39" i="37"/>
  <c r="G49" i="37"/>
  <c r="H55" i="38"/>
  <c r="M50" i="38"/>
  <c r="H53" i="38"/>
  <c r="G48" i="37"/>
  <c r="K54" i="37"/>
  <c r="I49" i="37"/>
  <c r="M52" i="37"/>
  <c r="G50" i="37"/>
  <c r="H52" i="38"/>
  <c r="K49" i="37"/>
  <c r="K51" i="37"/>
  <c r="G42" i="37"/>
  <c r="H38" i="38"/>
  <c r="Q40" i="38"/>
  <c r="K38" i="38"/>
  <c r="K48" i="38"/>
  <c r="O48" i="37"/>
  <c r="O42" i="37"/>
  <c r="K50" i="37"/>
  <c r="O47" i="37"/>
  <c r="N40" i="37"/>
  <c r="G40" i="37"/>
  <c r="H47" i="38"/>
  <c r="K51" i="38"/>
  <c r="M39" i="38"/>
  <c r="K47" i="38"/>
  <c r="K42" i="37"/>
  <c r="K48" i="37"/>
  <c r="O54" i="37"/>
  <c r="N38" i="37"/>
  <c r="H49" i="38"/>
  <c r="K49" i="38"/>
  <c r="K39" i="38"/>
  <c r="K38" i="37"/>
  <c r="O55" i="37"/>
  <c r="G53" i="37"/>
  <c r="H50" i="38"/>
  <c r="K50" i="38"/>
  <c r="Q51" i="38"/>
  <c r="N52" i="37"/>
  <c r="K41" i="37"/>
  <c r="K52" i="38"/>
  <c r="G38" i="37"/>
  <c r="H42" i="38"/>
  <c r="K39" i="37"/>
  <c r="O51" i="37"/>
  <c r="G52" i="37"/>
  <c r="H41" i="38"/>
  <c r="Q38" i="38"/>
  <c r="O49" i="37"/>
  <c r="K41" i="38"/>
  <c r="K40" i="37"/>
  <c r="O41" i="37"/>
  <c r="K55" i="37"/>
  <c r="O40" i="37"/>
  <c r="N51" i="37"/>
  <c r="G55" i="37"/>
  <c r="G49" i="38"/>
  <c r="P48" i="38"/>
  <c r="Q39" i="38"/>
  <c r="K47" i="37"/>
  <c r="O50" i="37"/>
  <c r="Q54" i="38"/>
  <c r="N50" i="37"/>
  <c r="G50" i="38"/>
  <c r="P50" i="38"/>
  <c r="Q41" i="38"/>
  <c r="N54" i="38"/>
  <c r="L50" i="38"/>
  <c r="O53" i="38"/>
  <c r="N53" i="38"/>
  <c r="M52" i="38"/>
  <c r="G41" i="38"/>
  <c r="M38" i="38"/>
  <c r="G51" i="38"/>
  <c r="L53" i="38"/>
  <c r="M48" i="38"/>
  <c r="G39" i="38"/>
  <c r="L48" i="38"/>
  <c r="M49" i="38"/>
  <c r="G40" i="38"/>
  <c r="L47" i="38"/>
  <c r="M41" i="38"/>
  <c r="H38" i="37"/>
  <c r="P39" i="38"/>
  <c r="L39" i="38"/>
  <c r="M40" i="38"/>
  <c r="H39" i="37"/>
  <c r="N47" i="38"/>
  <c r="L55" i="38"/>
  <c r="O48" i="38"/>
  <c r="L40" i="38"/>
  <c r="H47" i="37"/>
  <c r="G38" i="38"/>
  <c r="J47" i="38"/>
  <c r="N52" i="38"/>
  <c r="L38" i="38"/>
  <c r="O51" i="38"/>
  <c r="L52" i="38"/>
  <c r="H48" i="37"/>
  <c r="G54" i="38"/>
  <c r="J48" i="38"/>
  <c r="N38" i="38"/>
  <c r="L49" i="38"/>
  <c r="O40" i="38"/>
  <c r="J49" i="38"/>
  <c r="N42" i="38"/>
  <c r="O39" i="38"/>
  <c r="L49" i="37"/>
  <c r="P47" i="38"/>
  <c r="L40" i="37"/>
  <c r="I38" i="38"/>
  <c r="P49" i="38"/>
  <c r="L42" i="37"/>
  <c r="P42" i="38"/>
  <c r="L52" i="37"/>
  <c r="L39" i="37"/>
  <c r="J39" i="38"/>
  <c r="P41" i="38"/>
  <c r="J52" i="38"/>
  <c r="P51" i="38"/>
  <c r="J54" i="38"/>
  <c r="I41" i="38"/>
  <c r="P40" i="38"/>
  <c r="Q52" i="38"/>
  <c r="J55" i="38"/>
  <c r="I40" i="38"/>
  <c r="P52" i="38"/>
  <c r="Q53" i="38"/>
  <c r="L53" i="37"/>
  <c r="K42" i="38"/>
  <c r="J38" i="38"/>
  <c r="I47" i="38"/>
  <c r="P38" i="38"/>
  <c r="Q50" i="38"/>
  <c r="L47" i="37"/>
  <c r="O39" i="37"/>
  <c r="L38" i="37"/>
  <c r="K53" i="38"/>
  <c r="J42" i="38"/>
  <c r="I48" i="38"/>
  <c r="P53" i="38"/>
  <c r="Q48" i="38"/>
  <c r="L51" i="37"/>
  <c r="O53" i="37"/>
  <c r="O52" i="37"/>
  <c r="K54" i="38"/>
  <c r="J40" i="38"/>
  <c r="I49" i="38"/>
  <c r="P54" i="38"/>
  <c r="Q49" i="38"/>
  <c r="L50" i="37"/>
  <c r="L41" i="37"/>
  <c r="J41" i="38"/>
  <c r="I50" i="38"/>
  <c r="O52" i="38"/>
  <c r="N48" i="38"/>
  <c r="O49" i="38"/>
  <c r="N49" i="38"/>
  <c r="O55" i="38"/>
  <c r="N50" i="38"/>
  <c r="M53" i="38"/>
  <c r="O38" i="38"/>
  <c r="O42" i="38"/>
  <c r="N41" i="38"/>
  <c r="L48" i="37"/>
  <c r="N51" i="38"/>
  <c r="M51" i="38"/>
  <c r="O50" i="38"/>
  <c r="L54" i="37"/>
  <c r="J51" i="38"/>
  <c r="N40" i="38"/>
  <c r="M54" i="38"/>
  <c r="O41" i="38"/>
  <c r="O47" i="38"/>
  <c r="T63" i="38"/>
  <c r="R63" i="38"/>
  <c r="P56" i="37"/>
  <c r="U63" i="37"/>
  <c r="P43" i="37"/>
  <c r="P45" i="37" s="1"/>
  <c r="F61" i="24"/>
  <c r="J9" i="24"/>
  <c r="G21" i="24"/>
  <c r="G30" i="24" s="1"/>
  <c r="L7" i="24"/>
  <c r="J43" i="37" l="1"/>
  <c r="J45" i="37" s="1"/>
  <c r="I43" i="37"/>
  <c r="I45" i="37" s="1"/>
  <c r="J56" i="37"/>
  <c r="O43" i="37"/>
  <c r="O45" i="37" s="1"/>
  <c r="H43" i="37"/>
  <c r="H45" i="37" s="1"/>
  <c r="M43" i="37"/>
  <c r="M45" i="37" s="1"/>
  <c r="N43" i="37"/>
  <c r="N45" i="37" s="1"/>
  <c r="I56" i="37"/>
  <c r="K43" i="37"/>
  <c r="K45" i="37" s="1"/>
  <c r="M56" i="37"/>
  <c r="M58" i="37" s="1"/>
  <c r="H56" i="38"/>
  <c r="G56" i="37"/>
  <c r="Q43" i="38"/>
  <c r="Q45" i="38" s="1"/>
  <c r="K43" i="38"/>
  <c r="K45" i="38" s="1"/>
  <c r="I58" i="37"/>
  <c r="I63" i="37" s="1"/>
  <c r="K56" i="37"/>
  <c r="N56" i="37"/>
  <c r="H43" i="38"/>
  <c r="H45" i="38" s="1"/>
  <c r="G56" i="38"/>
  <c r="G43" i="37"/>
  <c r="G45" i="37" s="1"/>
  <c r="G43" i="38"/>
  <c r="G45" i="38" s="1"/>
  <c r="G60" i="24"/>
  <c r="M43" i="38"/>
  <c r="M45" i="38" s="1"/>
  <c r="O56" i="37"/>
  <c r="O58" i="37" s="1"/>
  <c r="L56" i="38"/>
  <c r="L43" i="38"/>
  <c r="L45" i="38" s="1"/>
  <c r="H56" i="37"/>
  <c r="H58" i="37" s="1"/>
  <c r="I43" i="38"/>
  <c r="I45" i="38" s="1"/>
  <c r="K56" i="38"/>
  <c r="L43" i="37"/>
  <c r="L45" i="37" s="1"/>
  <c r="P56" i="38"/>
  <c r="M56" i="38"/>
  <c r="P43" i="38"/>
  <c r="P45" i="38" s="1"/>
  <c r="Q56" i="38"/>
  <c r="I56" i="38"/>
  <c r="N56" i="38"/>
  <c r="J43" i="38"/>
  <c r="J45" i="38" s="1"/>
  <c r="O56" i="38"/>
  <c r="L56" i="37"/>
  <c r="O43" i="38"/>
  <c r="O45" i="38" s="1"/>
  <c r="N43" i="38"/>
  <c r="N45" i="38" s="1"/>
  <c r="J56" i="38"/>
  <c r="J58" i="37"/>
  <c r="J63" i="37" s="1"/>
  <c r="P58" i="37"/>
  <c r="S23" i="24"/>
  <c r="S32" i="24" s="1"/>
  <c r="S36" i="24" s="1"/>
  <c r="U23" i="24"/>
  <c r="U32" i="24" s="1"/>
  <c r="U36" i="24" s="1"/>
  <c r="T23" i="24"/>
  <c r="T32" i="24" s="1"/>
  <c r="T36" i="24" s="1"/>
  <c r="Q23" i="24"/>
  <c r="Q32" i="24" s="1"/>
  <c r="Q36" i="24" s="1"/>
  <c r="R23" i="24"/>
  <c r="R32" i="24" s="1"/>
  <c r="R36" i="24" s="1"/>
  <c r="I23" i="24"/>
  <c r="I32" i="24" s="1"/>
  <c r="N23" i="24"/>
  <c r="N32" i="24" s="1"/>
  <c r="J23" i="24"/>
  <c r="J32" i="24" s="1"/>
  <c r="L23" i="24"/>
  <c r="L32" i="24" s="1"/>
  <c r="G23" i="24"/>
  <c r="G32" i="24" s="1"/>
  <c r="H23" i="24"/>
  <c r="H32" i="24" s="1"/>
  <c r="K23" i="24"/>
  <c r="K32" i="24" s="1"/>
  <c r="M23" i="24"/>
  <c r="M32" i="24" s="1"/>
  <c r="O23" i="24"/>
  <c r="O32" i="24" s="1"/>
  <c r="P23" i="24"/>
  <c r="P32" i="24" s="1"/>
  <c r="K21" i="24"/>
  <c r="K30" i="24" s="1"/>
  <c r="L21" i="24"/>
  <c r="L30" i="24" s="1"/>
  <c r="M21" i="24"/>
  <c r="M30" i="24" s="1"/>
  <c r="I21" i="24"/>
  <c r="I30" i="24" s="1"/>
  <c r="H21" i="24"/>
  <c r="H30" i="24" s="1"/>
  <c r="W30" i="24" s="1"/>
  <c r="O21" i="24"/>
  <c r="O30" i="24" s="1"/>
  <c r="J21" i="24"/>
  <c r="J30" i="24" s="1"/>
  <c r="N21" i="24"/>
  <c r="N30" i="24" s="1"/>
  <c r="P21" i="24"/>
  <c r="P30" i="24" s="1"/>
  <c r="N22" i="24"/>
  <c r="N31" i="24" s="1"/>
  <c r="G22" i="24"/>
  <c r="G31" i="24" s="1"/>
  <c r="H22" i="24"/>
  <c r="H31" i="24" s="1"/>
  <c r="I22" i="24"/>
  <c r="I31" i="24" s="1"/>
  <c r="J22" i="24"/>
  <c r="J31" i="24" s="1"/>
  <c r="M22" i="24"/>
  <c r="M31" i="24" s="1"/>
  <c r="O22" i="24"/>
  <c r="O31" i="24" s="1"/>
  <c r="P22" i="24"/>
  <c r="P31" i="24" s="1"/>
  <c r="K22" i="24"/>
  <c r="K31" i="24" s="1"/>
  <c r="L22" i="24"/>
  <c r="L31" i="24" s="1"/>
  <c r="O58" i="38" l="1"/>
  <c r="K58" i="37"/>
  <c r="K63" i="37" s="1"/>
  <c r="L58" i="38"/>
  <c r="L63" i="38" s="1"/>
  <c r="P58" i="38"/>
  <c r="P63" i="38" s="1"/>
  <c r="N58" i="37"/>
  <c r="N63" i="37" s="1"/>
  <c r="Q58" i="38"/>
  <c r="Q63" i="38" s="1"/>
  <c r="H58" i="38"/>
  <c r="H63" i="38" s="1"/>
  <c r="G58" i="38"/>
  <c r="G58" i="37"/>
  <c r="N58" i="38"/>
  <c r="N63" i="38" s="1"/>
  <c r="G68" i="37"/>
  <c r="G69" i="37" s="1"/>
  <c r="K58" i="38"/>
  <c r="K63" i="38" s="1"/>
  <c r="I58" i="38"/>
  <c r="I63" i="38" s="1"/>
  <c r="M58" i="38"/>
  <c r="M63" i="38" s="1"/>
  <c r="G71" i="37"/>
  <c r="G72" i="37" s="1"/>
  <c r="W32" i="24"/>
  <c r="W31" i="24"/>
  <c r="G68" i="38"/>
  <c r="G69" i="38" s="1"/>
  <c r="D72" i="37"/>
  <c r="L58" i="37"/>
  <c r="L63" i="37" s="1"/>
  <c r="G71" i="38"/>
  <c r="G72" i="38" s="1"/>
  <c r="D72" i="38"/>
  <c r="J58" i="38"/>
  <c r="J63" i="38" s="1"/>
  <c r="O63" i="38"/>
  <c r="G61" i="38"/>
  <c r="H60" i="38" s="1"/>
  <c r="H61" i="38" s="1"/>
  <c r="I60" i="38" s="1"/>
  <c r="G63" i="38"/>
  <c r="G64" i="38" s="1"/>
  <c r="H64" i="38" s="1"/>
  <c r="P63" i="37"/>
  <c r="O63" i="37"/>
  <c r="G61" i="37"/>
  <c r="H60" i="37" s="1"/>
  <c r="H61" i="37" s="1"/>
  <c r="I60" i="37" s="1"/>
  <c r="I61" i="37" s="1"/>
  <c r="J60" i="37" s="1"/>
  <c r="J61" i="37" s="1"/>
  <c r="K60" i="37" s="1"/>
  <c r="K61" i="37" s="1"/>
  <c r="L60" i="37" s="1"/>
  <c r="G63" i="37"/>
  <c r="G64" i="37" s="1"/>
  <c r="M63" i="37"/>
  <c r="H63" i="37"/>
  <c r="O36" i="24"/>
  <c r="H36" i="24"/>
  <c r="M36" i="24"/>
  <c r="G36" i="24"/>
  <c r="T25" i="24"/>
  <c r="S25" i="24"/>
  <c r="U25" i="24"/>
  <c r="U49" i="24" s="1"/>
  <c r="R25" i="24"/>
  <c r="P36" i="24"/>
  <c r="Q25" i="24"/>
  <c r="N36" i="24"/>
  <c r="J36" i="24"/>
  <c r="I36" i="24"/>
  <c r="L36" i="24"/>
  <c r="K36" i="24"/>
  <c r="G25" i="24"/>
  <c r="H25" i="24"/>
  <c r="I25" i="24"/>
  <c r="J25" i="24"/>
  <c r="K25" i="24"/>
  <c r="L25" i="24"/>
  <c r="M25" i="24"/>
  <c r="N25" i="24"/>
  <c r="O25" i="24"/>
  <c r="P25" i="24"/>
  <c r="P42" i="24" s="1"/>
  <c r="G24" i="24"/>
  <c r="H24" i="24" s="1"/>
  <c r="I24" i="24" s="1"/>
  <c r="J24" i="24" s="1"/>
  <c r="K24" i="24" s="1"/>
  <c r="L24" i="24" s="1"/>
  <c r="M24" i="24" s="1"/>
  <c r="N24" i="24" s="1"/>
  <c r="O24" i="24" s="1"/>
  <c r="P24" i="24" s="1"/>
  <c r="H68" i="37" l="1"/>
  <c r="X31" i="24"/>
  <c r="Y31" i="24"/>
  <c r="X32" i="24"/>
  <c r="Y32" i="24"/>
  <c r="Y30" i="24"/>
  <c r="X30" i="24"/>
  <c r="W36" i="24"/>
  <c r="G74" i="37"/>
  <c r="G75" i="37" s="1"/>
  <c r="H71" i="37"/>
  <c r="D71" i="37"/>
  <c r="I64" i="38"/>
  <c r="J64" i="38" s="1"/>
  <c r="K64" i="38" s="1"/>
  <c r="L64" i="38" s="1"/>
  <c r="M64" i="38" s="1"/>
  <c r="N64" i="38" s="1"/>
  <c r="O64" i="38" s="1"/>
  <c r="P64" i="38" s="1"/>
  <c r="Q64" i="38" s="1"/>
  <c r="R64" i="38" s="1"/>
  <c r="S64" i="38" s="1"/>
  <c r="T64" i="38" s="1"/>
  <c r="U64" i="38" s="1"/>
  <c r="I61" i="38"/>
  <c r="J60" i="38" s="1"/>
  <c r="J61" i="38" s="1"/>
  <c r="K60" i="38" s="1"/>
  <c r="K61" i="38" s="1"/>
  <c r="L60" i="38" s="1"/>
  <c r="L61" i="38" s="1"/>
  <c r="M60" i="38" s="1"/>
  <c r="M61" i="38" s="1"/>
  <c r="N60" i="38" s="1"/>
  <c r="N61" i="38" s="1"/>
  <c r="O60" i="38" s="1"/>
  <c r="O61" i="38" s="1"/>
  <c r="P60" i="38" s="1"/>
  <c r="P61" i="38" s="1"/>
  <c r="Q60" i="38" s="1"/>
  <c r="Q61" i="38" s="1"/>
  <c r="R60" i="38" s="1"/>
  <c r="R61" i="38" s="1"/>
  <c r="S60" i="38" s="1"/>
  <c r="S61" i="38" s="1"/>
  <c r="T60" i="38" s="1"/>
  <c r="T61" i="38" s="1"/>
  <c r="U60" i="38" s="1"/>
  <c r="U61" i="38" s="1"/>
  <c r="D70" i="37"/>
  <c r="H68" i="38"/>
  <c r="H71" i="38"/>
  <c r="G74" i="38"/>
  <c r="G75" i="38" s="1"/>
  <c r="L61" i="37"/>
  <c r="M60" i="37" s="1"/>
  <c r="M61" i="37" s="1"/>
  <c r="N60" i="37" s="1"/>
  <c r="N61" i="37" s="1"/>
  <c r="O60" i="37" s="1"/>
  <c r="O61" i="37" s="1"/>
  <c r="P60" i="37" s="1"/>
  <c r="P61" i="37" s="1"/>
  <c r="Q60" i="37" s="1"/>
  <c r="Q61" i="37" s="1"/>
  <c r="R60" i="37" s="1"/>
  <c r="R61" i="37" s="1"/>
  <c r="S60" i="37" s="1"/>
  <c r="S61" i="37" s="1"/>
  <c r="T60" i="37" s="1"/>
  <c r="T61" i="37" s="1"/>
  <c r="U60" i="37" s="1"/>
  <c r="U61" i="37" s="1"/>
  <c r="D70" i="38"/>
  <c r="D71" i="38"/>
  <c r="H64" i="37"/>
  <c r="I64" i="37" s="1"/>
  <c r="J64" i="37" s="1"/>
  <c r="K64" i="37" s="1"/>
  <c r="L64" i="37" s="1"/>
  <c r="M64" i="37" s="1"/>
  <c r="N64" i="37" s="1"/>
  <c r="O64" i="37" s="1"/>
  <c r="P64" i="37" s="1"/>
  <c r="Q64" i="37" s="1"/>
  <c r="R64" i="37" s="1"/>
  <c r="S64" i="37" s="1"/>
  <c r="T64" i="37" s="1"/>
  <c r="U64" i="37" s="1"/>
  <c r="G41" i="24"/>
  <c r="G49" i="24"/>
  <c r="U55" i="24"/>
  <c r="U48" i="24"/>
  <c r="U52" i="24"/>
  <c r="U54" i="24"/>
  <c r="U38" i="24"/>
  <c r="U39" i="24"/>
  <c r="U41" i="24"/>
  <c r="U42" i="24"/>
  <c r="U47" i="24"/>
  <c r="U51" i="24"/>
  <c r="U40" i="24"/>
  <c r="U50" i="24"/>
  <c r="U53" i="24"/>
  <c r="S38" i="24"/>
  <c r="S40" i="24"/>
  <c r="S41" i="24"/>
  <c r="S47" i="24"/>
  <c r="S53" i="24"/>
  <c r="S54" i="24"/>
  <c r="S39" i="24"/>
  <c r="S48" i="24"/>
  <c r="S50" i="24"/>
  <c r="S51" i="24"/>
  <c r="S55" i="24"/>
  <c r="S42" i="24"/>
  <c r="S52" i="24"/>
  <c r="S49" i="24"/>
  <c r="T55" i="24"/>
  <c r="T50" i="24"/>
  <c r="T52" i="24"/>
  <c r="T38" i="24"/>
  <c r="T40" i="24"/>
  <c r="T47" i="24"/>
  <c r="T49" i="24"/>
  <c r="T54" i="24"/>
  <c r="T51" i="24"/>
  <c r="T39" i="24"/>
  <c r="T41" i="24"/>
  <c r="T42" i="24"/>
  <c r="T48" i="24"/>
  <c r="T53" i="24"/>
  <c r="Q52" i="24"/>
  <c r="Q38" i="24"/>
  <c r="Q47" i="24"/>
  <c r="Q53" i="24"/>
  <c r="Q50" i="24"/>
  <c r="Q39" i="24"/>
  <c r="Q54" i="24"/>
  <c r="Q48" i="24"/>
  <c r="Q49" i="24"/>
  <c r="Q40" i="24"/>
  <c r="Q41" i="24"/>
  <c r="Q42" i="24"/>
  <c r="Q55" i="24"/>
  <c r="Q51" i="24"/>
  <c r="R41" i="24"/>
  <c r="R53" i="24"/>
  <c r="R51" i="24"/>
  <c r="R55" i="24"/>
  <c r="R38" i="24"/>
  <c r="R39" i="24"/>
  <c r="R42" i="24"/>
  <c r="R48" i="24"/>
  <c r="R54" i="24"/>
  <c r="R47" i="24"/>
  <c r="R49" i="24"/>
  <c r="R52" i="24"/>
  <c r="R40" i="24"/>
  <c r="R50" i="24"/>
  <c r="I55" i="24"/>
  <c r="I54" i="24"/>
  <c r="G54" i="24"/>
  <c r="G55" i="24"/>
  <c r="P55" i="24"/>
  <c r="P54" i="24"/>
  <c r="H55" i="24"/>
  <c r="H54" i="24"/>
  <c r="N55" i="24"/>
  <c r="N54" i="24"/>
  <c r="L55" i="24"/>
  <c r="L54" i="24"/>
  <c r="K55" i="24"/>
  <c r="K54" i="24"/>
  <c r="O55" i="24"/>
  <c r="O54" i="24"/>
  <c r="M55" i="24"/>
  <c r="M54" i="24"/>
  <c r="J55" i="24"/>
  <c r="J54" i="24"/>
  <c r="G38" i="24"/>
  <c r="G39" i="24"/>
  <c r="G40" i="24"/>
  <c r="G42" i="24"/>
  <c r="G47" i="24"/>
  <c r="G48" i="24"/>
  <c r="G50" i="24"/>
  <c r="G51" i="24"/>
  <c r="G52" i="24"/>
  <c r="G53" i="24"/>
  <c r="I39" i="24"/>
  <c r="I40" i="24"/>
  <c r="I41" i="24"/>
  <c r="I42" i="24"/>
  <c r="I47" i="24"/>
  <c r="I48" i="24"/>
  <c r="I49" i="24"/>
  <c r="I38" i="24"/>
  <c r="I50" i="24"/>
  <c r="I51" i="24"/>
  <c r="I52" i="24"/>
  <c r="I53" i="24"/>
  <c r="O49" i="24"/>
  <c r="O50" i="24"/>
  <c r="O51" i="24"/>
  <c r="O52" i="24"/>
  <c r="O53" i="24"/>
  <c r="O38" i="24"/>
  <c r="O48" i="24"/>
  <c r="O39" i="24"/>
  <c r="O40" i="24"/>
  <c r="O42" i="24"/>
  <c r="O41" i="24"/>
  <c r="O47" i="24"/>
  <c r="L42" i="24"/>
  <c r="L47" i="24"/>
  <c r="L41" i="24"/>
  <c r="L48" i="24"/>
  <c r="L49" i="24"/>
  <c r="L50" i="24"/>
  <c r="L51" i="24"/>
  <c r="L39" i="24"/>
  <c r="L52" i="24"/>
  <c r="L53" i="24"/>
  <c r="L40" i="24"/>
  <c r="L38" i="24"/>
  <c r="H38" i="24"/>
  <c r="H39" i="24"/>
  <c r="H40" i="24"/>
  <c r="H41" i="24"/>
  <c r="H42" i="24"/>
  <c r="H47" i="24"/>
  <c r="H48" i="24"/>
  <c r="H49" i="24"/>
  <c r="H50" i="24"/>
  <c r="H51" i="24"/>
  <c r="H52" i="24"/>
  <c r="H53" i="24"/>
  <c r="P50" i="24"/>
  <c r="P51" i="24"/>
  <c r="P52" i="24"/>
  <c r="P53" i="24"/>
  <c r="P49" i="24"/>
  <c r="P38" i="24"/>
  <c r="P39" i="24"/>
  <c r="P40" i="24"/>
  <c r="P41" i="24"/>
  <c r="P47" i="24"/>
  <c r="P48" i="24"/>
  <c r="N48" i="24"/>
  <c r="N49" i="24"/>
  <c r="N50" i="24"/>
  <c r="N51" i="24"/>
  <c r="N52" i="24"/>
  <c r="N47" i="24"/>
  <c r="N53" i="24"/>
  <c r="N39" i="24"/>
  <c r="N38" i="24"/>
  <c r="N40" i="24"/>
  <c r="N41" i="24"/>
  <c r="N42" i="24"/>
  <c r="M47" i="24"/>
  <c r="M48" i="24"/>
  <c r="M49" i="24"/>
  <c r="M50" i="24"/>
  <c r="M40" i="24"/>
  <c r="M51" i="24"/>
  <c r="M52" i="24"/>
  <c r="M53" i="24"/>
  <c r="M42" i="24"/>
  <c r="M38" i="24"/>
  <c r="M39" i="24"/>
  <c r="M41" i="24"/>
  <c r="K41" i="24"/>
  <c r="K42" i="24"/>
  <c r="K47" i="24"/>
  <c r="K48" i="24"/>
  <c r="K49" i="24"/>
  <c r="K50" i="24"/>
  <c r="K51" i="24"/>
  <c r="K52" i="24"/>
  <c r="K53" i="24"/>
  <c r="K40" i="24"/>
  <c r="K38" i="24"/>
  <c r="K39" i="24"/>
  <c r="J40" i="24"/>
  <c r="J39" i="24"/>
  <c r="J41" i="24"/>
  <c r="J42" i="24"/>
  <c r="J47" i="24"/>
  <c r="J48" i="24"/>
  <c r="J38" i="24"/>
  <c r="J49" i="24"/>
  <c r="J50" i="24"/>
  <c r="J51" i="24"/>
  <c r="J52" i="24"/>
  <c r="J53" i="24"/>
  <c r="Q24" i="24"/>
  <c r="R24" i="24" s="1"/>
  <c r="S24" i="24" s="1"/>
  <c r="T24" i="24" s="1"/>
  <c r="U24" i="24" s="1"/>
  <c r="Y36" i="24" l="1"/>
  <c r="X36" i="24"/>
  <c r="W51" i="24"/>
  <c r="Y51" i="24" s="1"/>
  <c r="W41" i="24"/>
  <c r="W53" i="24"/>
  <c r="W52" i="24"/>
  <c r="Y52" i="24" s="1"/>
  <c r="Z36" i="24"/>
  <c r="Z33" i="24"/>
  <c r="Z34" i="24"/>
  <c r="Z35" i="24"/>
  <c r="Z30" i="24"/>
  <c r="W38" i="24"/>
  <c r="Z32" i="24"/>
  <c r="W49" i="24"/>
  <c r="Y49" i="24" s="1"/>
  <c r="W48" i="24"/>
  <c r="Y48" i="24" s="1"/>
  <c r="W47" i="24"/>
  <c r="W55" i="24"/>
  <c r="Y55" i="24" s="1"/>
  <c r="W42" i="24"/>
  <c r="W40" i="24"/>
  <c r="W54" i="24"/>
  <c r="Y54" i="24" s="1"/>
  <c r="Z31" i="24"/>
  <c r="W50" i="24"/>
  <c r="Y50" i="24" s="1"/>
  <c r="W39" i="24"/>
  <c r="T43" i="24"/>
  <c r="T45" i="24" s="1"/>
  <c r="U43" i="24"/>
  <c r="U45" i="24" s="1"/>
  <c r="U56" i="24"/>
  <c r="T56" i="24"/>
  <c r="S56" i="24"/>
  <c r="S43" i="24"/>
  <c r="S45" i="24" s="1"/>
  <c r="S58" i="24" s="1"/>
  <c r="R56" i="24"/>
  <c r="R43" i="24"/>
  <c r="R45" i="24" s="1"/>
  <c r="Q56" i="24"/>
  <c r="Q43" i="24"/>
  <c r="Q45" i="24" s="1"/>
  <c r="N43" i="24"/>
  <c r="N45" i="24" s="1"/>
  <c r="L43" i="24"/>
  <c r="L45" i="24" s="1"/>
  <c r="O56" i="24"/>
  <c r="G56" i="24"/>
  <c r="P43" i="24"/>
  <c r="P45" i="24" s="1"/>
  <c r="J56" i="24"/>
  <c r="I43" i="24"/>
  <c r="I45" i="24" s="1"/>
  <c r="K43" i="24"/>
  <c r="K45" i="24" s="1"/>
  <c r="L56" i="24"/>
  <c r="H43" i="24"/>
  <c r="H45" i="24" s="1"/>
  <c r="K56" i="24"/>
  <c r="P56" i="24"/>
  <c r="M56" i="24"/>
  <c r="I56" i="24"/>
  <c r="O43" i="24"/>
  <c r="O45" i="24" s="1"/>
  <c r="G43" i="24"/>
  <c r="J43" i="24"/>
  <c r="J45" i="24" s="1"/>
  <c r="H56" i="24"/>
  <c r="M43" i="24"/>
  <c r="M45" i="24" s="1"/>
  <c r="N56" i="24"/>
  <c r="V47" i="24" l="1"/>
  <c r="Y47" i="24"/>
  <c r="X47" i="24"/>
  <c r="V48" i="24"/>
  <c r="V70" i="24" s="1"/>
  <c r="W70" i="24" s="1"/>
  <c r="Y38" i="24"/>
  <c r="X38" i="24"/>
  <c r="Y41" i="24"/>
  <c r="X41" i="24"/>
  <c r="Y40" i="24"/>
  <c r="X40" i="24"/>
  <c r="Y39" i="24"/>
  <c r="X39" i="24"/>
  <c r="Y53" i="24"/>
  <c r="V50" i="24"/>
  <c r="Y42" i="24"/>
  <c r="X42" i="24"/>
  <c r="G45" i="24"/>
  <c r="W45" i="24" s="1"/>
  <c r="W43" i="24"/>
  <c r="X49" i="24"/>
  <c r="X50" i="24"/>
  <c r="X52" i="24"/>
  <c r="Z42" i="24"/>
  <c r="Z38" i="24"/>
  <c r="W56" i="24"/>
  <c r="Z47" i="24" s="1"/>
  <c r="X53" i="24"/>
  <c r="Q58" i="24"/>
  <c r="X54" i="24"/>
  <c r="Z41" i="24"/>
  <c r="X55" i="24"/>
  <c r="X48" i="24"/>
  <c r="M58" i="24"/>
  <c r="X51" i="24"/>
  <c r="R58" i="24"/>
  <c r="I58" i="24"/>
  <c r="I63" i="24" s="1"/>
  <c r="H58" i="24"/>
  <c r="H63" i="24" s="1"/>
  <c r="U58" i="24"/>
  <c r="L58" i="24"/>
  <c r="G71" i="24"/>
  <c r="D72" i="24"/>
  <c r="P58" i="24"/>
  <c r="N58" i="24"/>
  <c r="K58" i="24"/>
  <c r="J58" i="24"/>
  <c r="O58" i="24"/>
  <c r="T58" i="24"/>
  <c r="V51" i="24" l="1"/>
  <c r="V67" i="24" s="1"/>
  <c r="W67" i="24" s="1"/>
  <c r="G58" i="24"/>
  <c r="G68" i="24"/>
  <c r="H68" i="24" s="1"/>
  <c r="Z43" i="24"/>
  <c r="Y43" i="24"/>
  <c r="X43" i="24"/>
  <c r="Z53" i="24"/>
  <c r="Y56" i="24"/>
  <c r="V73" i="24"/>
  <c r="X45" i="24"/>
  <c r="Y45" i="24"/>
  <c r="Z40" i="24"/>
  <c r="X56" i="24"/>
  <c r="Z56" i="24"/>
  <c r="Z51" i="24"/>
  <c r="Z50" i="24"/>
  <c r="Z48" i="24"/>
  <c r="Z55" i="24"/>
  <c r="G69" i="24"/>
  <c r="Z52" i="24"/>
  <c r="Z49" i="24"/>
  <c r="Z54" i="24"/>
  <c r="Z39" i="24"/>
  <c r="G72" i="24"/>
  <c r="H71" i="24"/>
  <c r="G74" i="24"/>
  <c r="G75" i="24" s="1"/>
  <c r="G61" i="24"/>
  <c r="J63" i="24"/>
  <c r="W58" i="24" l="1"/>
  <c r="D71" i="24"/>
  <c r="G63" i="24"/>
  <c r="G64" i="24" s="1"/>
  <c r="H64" i="24" s="1"/>
  <c r="I64" i="24" s="1"/>
  <c r="D70" i="24"/>
  <c r="H60" i="24"/>
  <c r="J64" i="24"/>
  <c r="K63" i="24"/>
  <c r="K64" i="24" l="1"/>
  <c r="L63" i="24"/>
  <c r="L64" i="24" l="1"/>
  <c r="M63" i="24"/>
  <c r="H61" i="24"/>
  <c r="M64" i="24" l="1"/>
  <c r="I60" i="24"/>
  <c r="I61" i="24" s="1"/>
  <c r="N63" i="24"/>
  <c r="N64" i="24" l="1"/>
  <c r="J60" i="24"/>
  <c r="J61" i="24" s="1"/>
  <c r="O63" i="24"/>
  <c r="K60" i="24" l="1"/>
  <c r="K61" i="24" s="1"/>
  <c r="L60" i="24" s="1"/>
  <c r="L61" i="24" s="1"/>
  <c r="O64" i="24"/>
  <c r="P63" i="24"/>
  <c r="P64" i="24" l="1"/>
  <c r="M60" i="24"/>
  <c r="M61" i="24" s="1"/>
  <c r="N60" i="24" s="1"/>
  <c r="N61" i="24" s="1"/>
  <c r="O60" i="24" s="1"/>
  <c r="O61" i="24" s="1"/>
  <c r="P60" i="24" s="1"/>
  <c r="P61" i="24" s="1"/>
  <c r="Q60" i="24" s="1"/>
  <c r="Q63" i="24"/>
  <c r="Q64" i="24" l="1"/>
  <c r="R63" i="24"/>
  <c r="Q61" i="24"/>
  <c r="R60" i="24" s="1"/>
  <c r="R64" i="24" l="1"/>
  <c r="R61" i="24"/>
  <c r="S60" i="24" s="1"/>
  <c r="S63" i="24"/>
  <c r="S64" i="24" l="1"/>
  <c r="T63" i="24"/>
  <c r="S61" i="24"/>
  <c r="T60" i="24" s="1"/>
  <c r="T64" i="24" l="1"/>
  <c r="T61" i="24"/>
  <c r="U60" i="24" s="1"/>
  <c r="U63" i="24" l="1"/>
  <c r="U64" i="24" l="1"/>
  <c r="U61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628066-2FD9-4926-8F73-20F48C2934B5}" keepAlive="1" name="Consulta - CB_SMI_Celular" description="Conexión a la consulta 'CB_SMI_Celular' en el libro." type="5" refreshedVersion="8" background="1" saveData="1">
    <dbPr connection="Provider=Microsoft.Mashup.OleDb.1;Data Source=$Workbook$;Location=CB_SMI_Celular;Extended Properties=&quot;&quot;" command="SELECT * FROM [CB_SMI_Celular]"/>
  </connection>
  <connection id="2" xr16:uid="{CD4671CB-4487-4346-A134-68A5EE0FC5F3}" keepAlive="1" name="Consulta - CB_SMI_G3-PLC" description="Conexión a la consulta 'CB_SMI_G3-PLC' en el libro." type="5" refreshedVersion="8" background="1" saveData="1">
    <dbPr connection="Provider=Microsoft.Mashup.OleDb.1;Data Source=$Workbook$;Location=CB_SMI_G3-PLC;Extended Properties=&quot;&quot;" command="SELECT * FROM [CB_SMI_G3-PLC]"/>
  </connection>
  <connection id="3" xr16:uid="{0D19D73B-90E0-4AC6-8B7E-2A39200B19D2}" keepAlive="1" name="Consulta - CB_SMI_LoRa" description="Conexión a la consulta 'CB_SMI_LoRa' en el libro." type="5" refreshedVersion="8" background="1" saveData="1">
    <dbPr connection="Provider=Microsoft.Mashup.OleDb.1;Data Source=$Workbook$;Location=CB_SMI_LoRa;Extended Properties=&quot;&quot;" command="SELECT * FROM [CB_SMI_LoRa]"/>
  </connection>
  <connection id="4" xr16:uid="{B5E9FB8A-AB59-464B-8906-FA431F60AACB}" keepAlive="1" name="Consulta - CB_SMI_Mixto" description="Conexión a la consulta 'CB_SMI_Mixto' en el libro." type="5" refreshedVersion="8" background="1" saveData="1">
    <dbPr connection="Provider=Microsoft.Mashup.OleDb.1;Data Source=$Workbook$;Location=CB_SMI_Mixto;Extended Properties=&quot;&quot;" command="SELECT * FROM [CB_SMI_Mixto]"/>
  </connection>
  <connection id="5" xr16:uid="{557A6E04-034C-4043-856D-D9ABD5526AE2}" keepAlive="1" name="Consulta - CB_SMI_Mixto (2)" description="Conexión a la consulta 'CB_SMI_Mixto (2)' en el libro." type="5" refreshedVersion="8" background="1" saveData="1">
    <dbPr connection="Provider=Microsoft.Mashup.OleDb.1;Data Source=$Workbook$;Location=&quot;CB_SMI_Mixto (2)&quot;;Extended Properties=&quot;&quot;" command="SELECT * FROM [CB_SMI_Mixto (2)]"/>
  </connection>
  <connection id="6" xr16:uid="{678FF229-8571-42AB-AA47-77DC09FE6B15}" keepAlive="1" name="Consulta - CB_SMI_PLC" description="Conexión a la consulta 'CB_SMI_PLC' en el libro." type="5" refreshedVersion="8" background="1" saveData="1">
    <dbPr connection="Provider=Microsoft.Mashup.OleDb.1;Data Source=$Workbook$;Location=CB_SMI_PLC;Extended Properties=&quot;&quot;" command="SELECT * FROM [CB_SMI_PLC]"/>
  </connection>
  <connection id="7" xr16:uid="{2870F0F9-E98F-42C2-BAA3-23EC5F9F8353}" keepAlive="1" name="Consulta - CB_SMI_RF" description="Conexión a la consulta 'CB_SMI_RF' en el libro." type="5" refreshedVersion="8" background="1" saveData="1">
    <dbPr connection="Provider=Microsoft.Mashup.OleDb.1;Data Source=$Workbook$;Location=CB_SMI_RF;Extended Properties=&quot;&quot;" command="SELECT * FROM [CB_SMI_RF]"/>
  </connection>
</connections>
</file>

<file path=xl/sharedStrings.xml><?xml version="1.0" encoding="utf-8"?>
<sst xmlns="http://schemas.openxmlformats.org/spreadsheetml/2006/main" count="374" uniqueCount="173">
  <si>
    <t>Supuestos y consideraciones</t>
  </si>
  <si>
    <t>Posibles variables que definen a un escenario</t>
  </si>
  <si>
    <t>2) Tiempo de plazo para el despliegue.</t>
  </si>
  <si>
    <t>1) Extensión del despliegue (% de consumidores).</t>
  </si>
  <si>
    <t>3) Número de funcionalidades del Sistema de Medición Inteligente.</t>
  </si>
  <si>
    <t>4) Densidad de clientes en el despliegue (Urbano vs Rural).</t>
  </si>
  <si>
    <t>Variables</t>
  </si>
  <si>
    <t>Valor</t>
  </si>
  <si>
    <t>Escenario 0 (Caso Base, sin despliegue):</t>
  </si>
  <si>
    <t>Escenario 1:</t>
  </si>
  <si>
    <t>Parámetros relevantes del Sistema Eléctrico en Chile</t>
  </si>
  <si>
    <t>Parámetro</t>
  </si>
  <si>
    <t>Variación proyectada del consumo de energía</t>
  </si>
  <si>
    <t>Variación proyectada de los precios de la energía</t>
  </si>
  <si>
    <t>Transferencia de carga de punta</t>
  </si>
  <si>
    <t>Pérdidas eléctricas en niveles de transmisión y distribución</t>
  </si>
  <si>
    <t>Minutos no suministrados estimados</t>
  </si>
  <si>
    <t>Tasa de descuento</t>
  </si>
  <si>
    <t>Número de medidores inteligentes a instalar</t>
  </si>
  <si>
    <t>Costos de instalación del sistema de medición inteligente</t>
  </si>
  <si>
    <t>Vida útil del sistema de medición inteligente</t>
  </si>
  <si>
    <t>Costos de lectura de medidores</t>
  </si>
  <si>
    <t>Tasa de éxito de telecomunicación</t>
  </si>
  <si>
    <t>Tasa de inflación</t>
  </si>
  <si>
    <t>Reducción de costos asociada a la madurez tecnológica</t>
  </si>
  <si>
    <t>Calendario de implementación</t>
  </si>
  <si>
    <t>Costos de carbono</t>
  </si>
  <si>
    <t>Porcentaje de medidores ubicados en zonas rurales vs urbanas</t>
  </si>
  <si>
    <t>Unidad</t>
  </si>
  <si>
    <t>%</t>
  </si>
  <si>
    <t>Cantidad</t>
  </si>
  <si>
    <t>Valor de Energía No Suministrada; valor del suministro</t>
  </si>
  <si>
    <t>$/kWh</t>
  </si>
  <si>
    <t>$</t>
  </si>
  <si>
    <t>Costos de hardware (p. ej, medidor inteligente, módem GPRS/PLC, etc.)</t>
  </si>
  <si>
    <t>Años</t>
  </si>
  <si>
    <t>$/año</t>
  </si>
  <si>
    <t>Cantidad/año</t>
  </si>
  <si>
    <t>$/ton</t>
  </si>
  <si>
    <t>Comentario</t>
  </si>
  <si>
    <t>Tecnología</t>
  </si>
  <si>
    <t>Supuestos y Consideraciones</t>
  </si>
  <si>
    <t>Dólar</t>
  </si>
  <si>
    <t>UF</t>
  </si>
  <si>
    <t>Vida útil del proyecto</t>
  </si>
  <si>
    <t>años</t>
  </si>
  <si>
    <t>Periodo</t>
  </si>
  <si>
    <t>Año</t>
  </si>
  <si>
    <t>Escenario de implementación</t>
  </si>
  <si>
    <t>Densidad de clientes</t>
  </si>
  <si>
    <t>Alta</t>
  </si>
  <si>
    <t>Media</t>
  </si>
  <si>
    <t>Baja</t>
  </si>
  <si>
    <t>Muy Baja</t>
  </si>
  <si>
    <t>Extremadamente Baja</t>
  </si>
  <si>
    <t>UM 1F</t>
  </si>
  <si>
    <t>UM 3F Directa</t>
  </si>
  <si>
    <t>UM 3F Indirecta</t>
  </si>
  <si>
    <t>DCU</t>
  </si>
  <si>
    <t>SyM Equipos</t>
  </si>
  <si>
    <t>Flujo</t>
  </si>
  <si>
    <t>Concepto</t>
  </si>
  <si>
    <t>Periodo 0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</si>
  <si>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</si>
  <si>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</si>
  <si>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</si>
  <si>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</si>
  <si>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</si>
  <si>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</si>
  <si>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</si>
  <si>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</si>
  <si>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</si>
  <si>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</si>
  <si>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</si>
  <si>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</si>
  <si>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Periodo 13</t>
  </si>
  <si>
    <t>Periodo 14</t>
  </si>
  <si>
    <t>Periodo 15</t>
  </si>
  <si>
    <t>Inversión SGO [USD]</t>
  </si>
  <si>
    <t>Operación Comunicaciones [USD/año]</t>
  </si>
  <si>
    <t>Operación Comunicaciones DCU-SGO [USD/año]</t>
  </si>
  <si>
    <t>Operación SGO [USD/año]</t>
  </si>
  <si>
    <t>Soporte y Mantenimiento Equipos [USD/año]</t>
  </si>
  <si>
    <t>Ahorro en lectura pedestre [USD/año]</t>
  </si>
  <si>
    <t>Ahorro corte y reposición remoto [USD/año]</t>
  </si>
  <si>
    <t>Ahorro reducción de PNT [USD/año]</t>
  </si>
  <si>
    <t>Ahorro por compensación evitada [USD/año]</t>
  </si>
  <si>
    <t>Ahorro reducción del consumo [USD/año]</t>
  </si>
  <si>
    <t>Ahorro reducción emisiones CO2 [USD/año]</t>
  </si>
  <si>
    <t>Ahorro atención al cliente [USD/año]</t>
  </si>
  <si>
    <t>Ahorro por inversión evitada [USD/año]</t>
  </si>
  <si>
    <t>Cantidad UM 1F</t>
  </si>
  <si>
    <t>Cantidad UM 3F Directa</t>
  </si>
  <si>
    <t>Cantidad UM 3F Indirecta</t>
  </si>
  <si>
    <t>Despliegue</t>
  </si>
  <si>
    <t>Meta de despligue</t>
  </si>
  <si>
    <t>UM/año</t>
  </si>
  <si>
    <t>% de avance</t>
  </si>
  <si>
    <t>Flujo Acumulado</t>
  </si>
  <si>
    <t>VAN</t>
  </si>
  <si>
    <t>TIR</t>
  </si>
  <si>
    <t>Energía facturada anual [MWh/año]</t>
  </si>
  <si>
    <t>UM faltantes por instalar</t>
  </si>
  <si>
    <t>UM 1F [N° Equipos]</t>
  </si>
  <si>
    <t>UM 3F Directa [N° Equipos]</t>
  </si>
  <si>
    <t>UM 3F Indirecta [N° Equipos]</t>
  </si>
  <si>
    <t>VI [MUSD]</t>
  </si>
  <si>
    <t>COMA [MUSD]</t>
  </si>
  <si>
    <t>Beneficios [MUSD]</t>
  </si>
  <si>
    <t>Despligue SMI Chile</t>
  </si>
  <si>
    <t>Datos de despliegue</t>
  </si>
  <si>
    <t>VI Total:</t>
  </si>
  <si>
    <t>Flujo de caja [MUSD]</t>
  </si>
  <si>
    <t>UM 1F instalados</t>
  </si>
  <si>
    <t>UM 3F Directa instalados</t>
  </si>
  <si>
    <t>UM 3F Indirecta instalados</t>
  </si>
  <si>
    <t>Objetivo de despligue UM 1F</t>
  </si>
  <si>
    <t>Objetivo de despligue UM 3F Directa</t>
  </si>
  <si>
    <t>Objetivo de despligue UM 3F Indirecta</t>
  </si>
  <si>
    <t>COMA Total:</t>
  </si>
  <si>
    <t>Beneficios Total:</t>
  </si>
  <si>
    <t>Cantidad DCU</t>
  </si>
  <si>
    <t>Inversión UM 1F [USD/equipo]</t>
  </si>
  <si>
    <t>Inversión UM 3F Directa [USD/equipo]</t>
  </si>
  <si>
    <t>Inversión UM 3F Indirecta [USD/equipo]</t>
  </si>
  <si>
    <t>Inversión DCU [USD/equipo]</t>
  </si>
  <si>
    <t>Energía Facturada anual [GWh]</t>
  </si>
  <si>
    <t>Ahorro por gestión del consumo [USD/año]</t>
  </si>
  <si>
    <t>Inversión MDMS [USD]</t>
  </si>
  <si>
    <t>Operación MDMS [USD/año]</t>
  </si>
  <si>
    <t>MDMS</t>
  </si>
  <si>
    <t>Operación MDMS</t>
  </si>
  <si>
    <t>$/USD</t>
  </si>
  <si>
    <t>$/UF</t>
  </si>
  <si>
    <t>G3-PLC</t>
  </si>
  <si>
    <t>RF-Mesh</t>
  </si>
  <si>
    <t>LoRa</t>
  </si>
  <si>
    <t>Operación HES</t>
  </si>
  <si>
    <t>HES</t>
  </si>
  <si>
    <t>B/C</t>
  </si>
  <si>
    <t>Operación Comunicaciones UM - HES</t>
  </si>
  <si>
    <t>Operación Comunicaciones DCU - HES</t>
  </si>
  <si>
    <t>Flujo del periodo anterior</t>
  </si>
  <si>
    <t>Flujo descontado (6%)</t>
  </si>
  <si>
    <t>Flujo Acumulado descontado (6%)</t>
  </si>
  <si>
    <t>1) Ahorro de lectura pedestre</t>
  </si>
  <si>
    <t>2) Corte y Reposición remoto</t>
  </si>
  <si>
    <t>3) Reducción de Pérdidas No Técnicas</t>
  </si>
  <si>
    <t>4) Reducción del tiempo de respuesta ante Fallas</t>
  </si>
  <si>
    <t>5) Reducción del costo de la energía</t>
  </si>
  <si>
    <t>6) Reducción del consumo de Clientes Finales</t>
  </si>
  <si>
    <t>7) Reducción de emisiones de CO2</t>
  </si>
  <si>
    <t>8) Reducción servicio Atención al Cliente</t>
  </si>
  <si>
    <t>9) Reducción en Inversión de infraestructura de red</t>
  </si>
  <si>
    <t>Costos Totales (VI + COMA)</t>
  </si>
  <si>
    <t>Tasa</t>
  </si>
  <si>
    <t>Anualidad</t>
  </si>
  <si>
    <t>VAN (Costos)</t>
  </si>
  <si>
    <t>VAN (Beneficios)</t>
  </si>
  <si>
    <t>Factor</t>
  </si>
  <si>
    <t>Anualidad (Costos)</t>
  </si>
  <si>
    <t>Anualidad (Beneficios)</t>
  </si>
  <si>
    <t>1) Lectura remota</t>
  </si>
  <si>
    <t>4) Reducción del Tiempo de Respuesta ante Fallas</t>
  </si>
  <si>
    <t>5) Reducción del Precio de la Energía</t>
  </si>
  <si>
    <t>6) Reducción del Consumo de Clientes Finales</t>
  </si>
  <si>
    <t>7) Reducción de Emisiones de CO2</t>
  </si>
  <si>
    <t>8) Reducción del Servicio Atención al Cliente</t>
  </si>
  <si>
    <t>9) Reducción en Inversión de Infraestructura de Red</t>
  </si>
  <si>
    <t>Participación %</t>
  </si>
  <si>
    <t>VAN [MUSD]</t>
  </si>
  <si>
    <t>AVAN [MUSD]</t>
  </si>
  <si>
    <t>VAN [USD/# Clientes]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</si>
</sst>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&quot;$&quot;\-#,##0.00"/>
    <numFmt numFmtId="42" formatCode="_ &quot;$&quot;* #,##0_ ;_ &quot;$&quot;* \-#,##0_ ;_ &quot;$&quot;* &quot;-&quot;_ ;_ @_ "/>
    <numFmt numFmtId="41" formatCode="_ * #,##0_ ;_ * \-#,##0_ ;_ * &quot;-&quot;_ ;_ @_ "/>
    <numFmt numFmtId="164" formatCode="_ &quot;$&quot;* #,##0.00_ ;_ &quot;$&quot;* \-#,##0.00_ ;_ &quot;$&quot;* &quot;-&quot;_ ;_ @_ "/>
    <numFmt numFmtId="165" formatCode="_ &quot;$&quot;* #,##0.0000_ ;_ &quot;$&quot;* \-#,##0.0000_ ;_ &quot;$&quot;* &quot;-&quot;_ ;_ @_ "/>
    <numFmt numFmtId="166" formatCode="_ &quot;$&quot;* #,##0.0000_ ;_ &quot;$&quot;* \-#,##0.0000_ ;_ &quot;$&quot;* &quot;-&quot;????_ ;_ @_ "/>
    <numFmt numFmtId="167" formatCode="_ * #,##0.0_ ;_ * \-#,##0.0_ ;_ * &quot;-&quot;_ ;_ @_ "/>
    <numFmt numFmtId="168" formatCode="&quot;$&quot;#,##0.0000;[Red]&quot;$&quot;\-#,##0.0000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0AFA0"/>
        <bgColor indexed="64"/>
      </patternFill>
    </fill>
    <fill>
      <patternFill patternType="solid">
        <fgColor rgb="FFF5E4DF"/>
        <bgColor indexed="64"/>
      </patternFill>
    </fill>
    <fill>
      <patternFill patternType="solid">
        <fgColor rgb="FFE8EB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6EBF6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3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/>
    <xf numFmtId="41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left"/>
    </xf>
    <xf numFmtId="166" fontId="0" fillId="0" borderId="0" xfId="0" applyNumberFormat="1"/>
    <xf numFmtId="1" fontId="0" fillId="0" borderId="1" xfId="0" applyNumberFormat="1" applyBorder="1" applyAlignment="1">
      <alignment horizontal="center" vertical="center"/>
    </xf>
    <xf numFmtId="10" fontId="0" fillId="0" borderId="0" xfId="0" applyNumberFormat="1"/>
    <xf numFmtId="165" fontId="0" fillId="0" borderId="1" xfId="1" applyNumberFormat="1" applyFont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vertical="center"/>
    </xf>
    <xf numFmtId="1" fontId="0" fillId="0" borderId="2" xfId="2" applyNumberFormat="1" applyFont="1" applyBorder="1" applyAlignment="1">
      <alignment horizontal="center" vertical="center"/>
    </xf>
    <xf numFmtId="0" fontId="0" fillId="0" borderId="2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165" fontId="0" fillId="3" borderId="1" xfId="1" applyNumberFormat="1" applyFont="1" applyFill="1" applyBorder="1"/>
    <xf numFmtId="165" fontId="0" fillId="6" borderId="1" xfId="1" applyNumberFormat="1" applyFont="1" applyFill="1" applyBorder="1"/>
    <xf numFmtId="0" fontId="0" fillId="7" borderId="1" xfId="0" applyFill="1" applyBorder="1" applyAlignment="1">
      <alignment horizontal="center"/>
    </xf>
    <xf numFmtId="9" fontId="0" fillId="7" borderId="3" xfId="2" applyFont="1" applyFill="1" applyBorder="1" applyAlignment="1">
      <alignment horizontal="center" vertical="center"/>
    </xf>
    <xf numFmtId="9" fontId="0" fillId="7" borderId="1" xfId="2" applyFont="1" applyFill="1" applyBorder="1" applyAlignment="1">
      <alignment horizontal="center"/>
    </xf>
    <xf numFmtId="1" fontId="0" fillId="7" borderId="1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0" fillId="2" borderId="1" xfId="0" applyFill="1" applyBorder="1"/>
    <xf numFmtId="164" fontId="0" fillId="7" borderId="1" xfId="1" applyNumberFormat="1" applyFont="1" applyFill="1" applyBorder="1" applyAlignment="1"/>
    <xf numFmtId="165" fontId="0" fillId="7" borderId="1" xfId="1" applyNumberFormat="1" applyFont="1" applyFill="1" applyBorder="1"/>
    <xf numFmtId="0" fontId="4" fillId="0" borderId="0" xfId="0" applyFont="1"/>
    <xf numFmtId="14" fontId="0" fillId="2" borderId="1" xfId="0" applyNumberFormat="1" applyFill="1" applyBorder="1" applyAlignment="1">
      <alignment horizontal="center" vertical="center"/>
    </xf>
    <xf numFmtId="9" fontId="0" fillId="0" borderId="0" xfId="2" applyFont="1"/>
    <xf numFmtId="42" fontId="0" fillId="7" borderId="1" xfId="1" applyFont="1" applyFill="1" applyBorder="1"/>
    <xf numFmtId="41" fontId="0" fillId="0" borderId="0" xfId="4" applyFont="1"/>
    <xf numFmtId="167" fontId="0" fillId="0" borderId="0" xfId="4" applyNumberFormat="1" applyFont="1"/>
    <xf numFmtId="165" fontId="0" fillId="9" borderId="1" xfId="1" applyNumberFormat="1" applyFont="1" applyFill="1" applyBorder="1"/>
    <xf numFmtId="8" fontId="0" fillId="0" borderId="0" xfId="0" applyNumberFormat="1"/>
    <xf numFmtId="9" fontId="0" fillId="0" borderId="0" xfId="0" applyNumberFormat="1"/>
    <xf numFmtId="168" fontId="0" fillId="0" borderId="0" xfId="0" applyNumberFormat="1"/>
    <xf numFmtId="0" fontId="0" fillId="0" borderId="13" xfId="0" applyBorder="1" applyAlignment="1">
      <alignment horizontal="center" vertical="center"/>
    </xf>
    <xf numFmtId="0" fontId="0" fillId="0" borderId="13" xfId="0" applyBorder="1"/>
    <xf numFmtId="164" fontId="0" fillId="7" borderId="1" xfId="1" applyNumberFormat="1" applyFont="1" applyFill="1" applyBorder="1"/>
    <xf numFmtId="0" fontId="8" fillId="2" borderId="4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7" borderId="1" xfId="0" applyFill="1" applyBorder="1" applyAlignment="1">
      <alignment horizontal="center"/>
    </xf>
    <xf numFmtId="0" fontId="7" fillId="2" borderId="5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7" fillId="5" borderId="5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7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4" xfId="0" applyBorder="1"/>
    <xf numFmtId="0" fontId="0" fillId="0" borderId="1" xfId="0" applyBorder="1"/>
    <xf numFmtId="0" fontId="7" fillId="2" borderId="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5" borderId="4" xfId="0" applyFont="1" applyFill="1" applyBorder="1" applyAlignment="1">
      <alignment horizontal="center" vertical="center"/>
    </xf>
    <xf numFmtId="0" fontId="0" fillId="7" borderId="1" xfId="0" applyFill="1" applyBorder="1"/>
    <xf numFmtId="0" fontId="8" fillId="8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/>
  </cellXfs>
  <cellStyles count="5">
    <cellStyle name="Millares [0]" xfId="4" builtinId="6"/>
    <cellStyle name="Moneda [0]" xfId="1" builtinId="7"/>
    <cellStyle name="Normal" xfId="0" builtinId="0"/>
    <cellStyle name="Normal 2" xfId="3" xr:uid="{3DAECE70-E36A-454A-A902-4D6EC52CC3B0}"/>
    <cellStyle name="Porcentaje" xfId="2" builtinId="5"/>
  </cellStyles>
  <dxfs count="1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numFmt numFmtId="0" formatCode="General"/>
    </dxf>
  </dxfs>
  <tableStyles count="0" defaultTableStyle="TableStyleMedium2" defaultPivotStyle="PivotStyleLight16"/>
  <colors>
    <mruColors>
      <color rgb="FFE0AFA0"/>
      <color rgb="FFE6EBF6"/>
      <color rgb="FFE8EBF0"/>
      <color rgb="FFD8BEEC"/>
      <color rgb="FFC7A1E3"/>
      <color rgb="FFD5B8EA"/>
      <color rgb="FFF5E4DF"/>
      <color rgb="FFF2DDD6"/>
      <color rgb="FFEDD2C9"/>
      <color rgb="FFCF86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2000"/>
              <a:t>Participación</a:t>
            </a:r>
            <a:r>
              <a:rPr lang="es-CL" sz="2000" baseline="0"/>
              <a:t> % de los Beneficios</a:t>
            </a:r>
            <a:endParaRPr lang="es-CL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8F-4C28-8B49-FC9242A83C5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8F-4C28-8B49-FC9242A83C5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8F-4C28-8B49-FC9242A83C5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371-4956-AAF3-7DE4A5B49C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8F-4C28-8B49-FC9242A83C5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8F-4C28-8B49-FC9242A83C5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8F-4C28-8B49-FC9242A83C5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8F-4C28-8B49-FC9242A83C5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8F-4C28-8B49-FC9242A83C5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'Flujo de Caja SMI Mixto 10 años'!$C$47:$E$55</c:f>
              <c:strCache>
                <c:ptCount val="9"/>
                <c:pt idx="0">
                  <c:v>1) Lectura remota</c:v>
                </c:pt>
                <c:pt idx="1">
                  <c:v>2) Corte y Reposición remoto</c:v>
                </c:pt>
                <c:pt idx="2">
                  <c:v>3) Reducción de Pérdidas No Técnicas</c:v>
                </c:pt>
                <c:pt idx="3">
                  <c:v>4) Reducción del Tiempo de Respuesta ante Fallas</c:v>
                </c:pt>
                <c:pt idx="4">
                  <c:v>5) Reducción del Precio de la Energía</c:v>
                </c:pt>
                <c:pt idx="5">
                  <c:v>6) Reducción del Consumo de Clientes Finales</c:v>
                </c:pt>
                <c:pt idx="6">
                  <c:v>7) Reducción de Emisiones de CO2</c:v>
                </c:pt>
                <c:pt idx="7">
                  <c:v>8) Reducción del Servicio Atención al Cliente</c:v>
                </c:pt>
                <c:pt idx="8">
                  <c:v>9) Reducción en Inversión de Infraestructura de Red</c:v>
                </c:pt>
              </c:strCache>
            </c:strRef>
          </c:cat>
          <c:val>
            <c:numRef>
              <c:f>'Flujo de Caja SMI Mixto 10 años'!$Z$47:$Z$55</c:f>
              <c:numCache>
                <c:formatCode>0%</c:formatCode>
                <c:ptCount val="9"/>
                <c:pt idx="0">
                  <c:v>0.11760179168739598</c:v>
                </c:pt>
                <c:pt idx="1">
                  <c:v>1.1396716294676992E-2</c:v>
                </c:pt>
                <c:pt idx="2">
                  <c:v>0.50509013689375182</c:v>
                </c:pt>
                <c:pt idx="3">
                  <c:v>7.5106992436392407E-3</c:v>
                </c:pt>
                <c:pt idx="4">
                  <c:v>0.12799413800823836</c:v>
                </c:pt>
                <c:pt idx="5">
                  <c:v>5.2200932560015935E-2</c:v>
                </c:pt>
                <c:pt idx="6">
                  <c:v>8.5720538543005764E-2</c:v>
                </c:pt>
                <c:pt idx="7">
                  <c:v>3.8655247106064182E-2</c:v>
                </c:pt>
                <c:pt idx="8">
                  <c:v>5.3829799663211719E-2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1-4956-AAF3-7DE4A5B49C8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459575540644331"/>
          <c:y val="0.14804174990610766"/>
          <c:w val="0.35405299276797153"/>
          <c:h val="0.79061967172068925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0" i="1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Flujos Anuales Proyecto SMI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'Flujo de Caja SMI Mixto 10 años'!$F$28:$U$28</c:f>
              <c:numCache>
                <c:formatCode>General</c:formatCode>
                <c:ptCount val="1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</c:numCache>
            </c:numRef>
          </c:cat>
          <c:val>
            <c:numRef>
              <c:f>'Flujo de Caja SMI Mixto 10 años'!$F$58:$U$58</c:f>
              <c:numCache>
                <c:formatCode>_ "$"* #,##0.00_ ;_ "$"* \-#,##0.00_ ;_ "$"* "-"_ ;_ @_ </c:formatCode>
                <c:ptCount val="16"/>
                <c:pt idx="0">
                  <c:v>-203.13261980837729</c:v>
                </c:pt>
                <c:pt idx="1">
                  <c:v>-140.59577308234444</c:v>
                </c:pt>
                <c:pt idx="2">
                  <c:v>-123.48775322679515</c:v>
                </c:pt>
                <c:pt idx="3">
                  <c:v>-105.62850143686489</c:v>
                </c:pt>
                <c:pt idx="4">
                  <c:v>-87.098748649411831</c:v>
                </c:pt>
                <c:pt idx="5">
                  <c:v>-67.898544384579083</c:v>
                </c:pt>
                <c:pt idx="6">
                  <c:v>-48.040760927758072</c:v>
                </c:pt>
                <c:pt idx="7">
                  <c:v>-27.514043255531419</c:v>
                </c:pt>
                <c:pt idx="8">
                  <c:v>-6.233316527496612</c:v>
                </c:pt>
                <c:pt idx="9">
                  <c:v>15.613880098260836</c:v>
                </c:pt>
                <c:pt idx="10">
                  <c:v>38.118373243106078</c:v>
                </c:pt>
                <c:pt idx="11">
                  <c:v>178.08646926937266</c:v>
                </c:pt>
                <c:pt idx="12">
                  <c:v>184.07215930311685</c:v>
                </c:pt>
                <c:pt idx="13">
                  <c:v>190.18361772946693</c:v>
                </c:pt>
                <c:pt idx="14">
                  <c:v>196.43437056768641</c:v>
                </c:pt>
                <c:pt idx="15">
                  <c:v>202.8380019203438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9-48CE-90CD-5C322872B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198959"/>
        <c:axId val="1297207119"/>
      </c:barChart>
      <c:catAx>
        <c:axId val="129719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97207119"/>
        <c:crosses val="autoZero"/>
        <c:auto val="1"/>
        <c:lblAlgn val="ctr"/>
        <c:lblOffset val="100"/>
        <c:noMultiLvlLbl val="0"/>
      </c:catAx>
      <c:valAx>
        <c:axId val="129720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[MUSD]</a:t>
                </a:r>
              </a:p>
            </c:rich>
          </c:tx>
          <c:layout>
            <c:manualLayout>
              <c:xMode val="edge"/>
              <c:yMode val="edge"/>
              <c:x val="1.6604396547854436E-2"/>
              <c:y val="0.452754073705204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_ &quot;$&quot;* #,##0.00_ ;_ &quot;$&quot;* \-#,##0.00_ ;_ &quot;$&quot;* &quot;-&quot;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9719895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Participación</a:t>
            </a:r>
            <a:r>
              <a:rPr lang="es-CL" baseline="0"/>
              <a:t> % de los Beneficios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688-4F7D-A055-61FC40EDAE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688-4F7D-A055-61FC40EDAE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688-4F7D-A055-61FC40EDAE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688-4F7D-A055-61FC40EDAE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688-4F7D-A055-61FC40EDAE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688-4F7D-A055-61FC40EDAE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688-4F7D-A055-61FC40EDAE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688-4F7D-A055-61FC40EDAE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688-4F7D-A055-61FC40EDAE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'Flujo de Caja SMI Mixto 9 años'!$C$47:$E$55</c:f>
              <c:strCache>
                <c:ptCount val="9"/>
                <c:pt idx="0">
                  <c:v>1) Ahorro de lectura pedestre</c:v>
                </c:pt>
                <c:pt idx="1">
                  <c:v>2) Corte y Reposición remoto</c:v>
                </c:pt>
                <c:pt idx="2">
                  <c:v>3) Reducción de Pérdidas No Técnicas</c:v>
                </c:pt>
                <c:pt idx="3">
                  <c:v>4) Reducción del tiempo de respuesta ante Fallas</c:v>
                </c:pt>
                <c:pt idx="4">
                  <c:v>5) Reducción del costo de la energía</c:v>
                </c:pt>
                <c:pt idx="5">
                  <c:v>6) Reducción del consumo de Clientes Finales</c:v>
                </c:pt>
                <c:pt idx="6">
                  <c:v>7) Reducción de emisiones de CO2</c:v>
                </c:pt>
                <c:pt idx="7">
                  <c:v>8) Reducción servicio Atención al Cliente</c:v>
                </c:pt>
                <c:pt idx="8">
                  <c:v>9) Reducción en Inversión de infraestructura de red</c:v>
                </c:pt>
              </c:strCache>
            </c:strRef>
          </c:cat>
          <c:val>
            <c:numRef>
              <c:f>'Flujo de Caja SMI Mixto 9 años'!$U$47:$U$55</c:f>
              <c:numCache>
                <c:formatCode>_ "$"* #,##0.0000_ ;_ "$"* \-#,##0.0000_ ;_ "$"* "-"_ ;_ @_ </c:formatCode>
                <c:ptCount val="9"/>
                <c:pt idx="0">
                  <c:v>36.614733096600006</c:v>
                </c:pt>
                <c:pt idx="1">
                  <c:v>3.5529678607499999</c:v>
                </c:pt>
                <c:pt idx="2">
                  <c:v>171.34508278892898</c:v>
                </c:pt>
                <c:pt idx="3">
                  <c:v>2.1406327572880208</c:v>
                </c:pt>
                <c:pt idx="4">
                  <c:v>43.420301786911608</c:v>
                </c:pt>
                <c:pt idx="5">
                  <c:v>17.708469157925212</c:v>
                </c:pt>
                <c:pt idx="6">
                  <c:v>29.204692362853109</c:v>
                </c:pt>
                <c:pt idx="7">
                  <c:v>12.030634605000001</c:v>
                </c:pt>
                <c:pt idx="8">
                  <c:v>15.5949417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88-4F7D-A055-61FC40EDAED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9066272965879267E-2"/>
          <c:y val="0.71257423207486392"/>
          <c:w val="0.90186745406824143"/>
          <c:h val="0.25962848859778814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'Flujo de Caja SMI Mixto 9 años'!$F$28:$U$28</c:f>
              <c:numCache>
                <c:formatCode>General</c:formatCode>
                <c:ptCount val="1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</c:numCache>
            </c:numRef>
          </c:cat>
          <c:val>
            <c:numRef>
              <c:f>'Flujo de Caja SMI Mixto 9 años'!$F$58:$U$58</c:f>
              <c:numCache>
                <c:formatCode>_ "$"* #,##0.0000_ ;_ "$"* \-#,##0.0000_ ;_ "$"* "-"_ ;_ @_ </c:formatCode>
                <c:ptCount val="16"/>
                <c:pt idx="0">
                  <c:v>-203.13261980837729</c:v>
                </c:pt>
                <c:pt idx="1">
                  <c:v>-153.9298550852908</c:v>
                </c:pt>
                <c:pt idx="2">
                  <c:v>-135.19016576704178</c:v>
                </c:pt>
                <c:pt idx="3">
                  <c:v>-115.62767880341303</c:v>
                </c:pt>
                <c:pt idx="4">
                  <c:v>-95.330850387104462</c:v>
                </c:pt>
                <c:pt idx="5">
                  <c:v>-74.299720472687994</c:v>
                </c:pt>
                <c:pt idx="6">
                  <c:v>-52.548339532730949</c:v>
                </c:pt>
                <c:pt idx="7">
                  <c:v>-30.064273550286629</c:v>
                </c:pt>
                <c:pt idx="8">
                  <c:v>-6.7544015113492435</c:v>
                </c:pt>
                <c:pt idx="9">
                  <c:v>17.175922353547037</c:v>
                </c:pt>
                <c:pt idx="10">
                  <c:v>172.24919664731527</c:v>
                </c:pt>
                <c:pt idx="11">
                  <c:v>178.08646926937266</c:v>
                </c:pt>
                <c:pt idx="12">
                  <c:v>184.07215930311685</c:v>
                </c:pt>
                <c:pt idx="13">
                  <c:v>190.18361772946693</c:v>
                </c:pt>
                <c:pt idx="14">
                  <c:v>196.43437056768641</c:v>
                </c:pt>
                <c:pt idx="15">
                  <c:v>202.8380019203438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1-4DF4-9912-6422D5A43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198959"/>
        <c:axId val="1297207119"/>
      </c:barChart>
      <c:catAx>
        <c:axId val="129719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97207119"/>
        <c:crosses val="autoZero"/>
        <c:auto val="1"/>
        <c:lblAlgn val="ctr"/>
        <c:lblOffset val="100"/>
        <c:noMultiLvlLbl val="0"/>
      </c:catAx>
      <c:valAx>
        <c:axId val="129720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$&quot;* #,##0.0000_ ;_ &quot;$&quot;* \-#,##0.0000_ ;_ &quot;$&quot;* &quot;-&quot;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97198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Participación</a:t>
            </a:r>
            <a:r>
              <a:rPr lang="es-CL" baseline="0"/>
              <a:t> % de los Beneficios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241-43C0-A8AE-EC7C976F5D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241-43C0-A8AE-EC7C976F5D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241-43C0-A8AE-EC7C976F5D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241-43C0-A8AE-EC7C976F5D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241-43C0-A8AE-EC7C976F5D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241-43C0-A8AE-EC7C976F5D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241-43C0-A8AE-EC7C976F5D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241-43C0-A8AE-EC7C976F5D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241-43C0-A8AE-EC7C976F5D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'Flujo de Caja SMI Mixto 11 años'!$C$47:$E$55</c:f>
              <c:strCache>
                <c:ptCount val="9"/>
                <c:pt idx="0">
                  <c:v>1) Ahorro de lectura pedestre</c:v>
                </c:pt>
                <c:pt idx="1">
                  <c:v>2) Corte y Reposición remoto</c:v>
                </c:pt>
                <c:pt idx="2">
                  <c:v>3) Reducción de Pérdidas No Técnicas</c:v>
                </c:pt>
                <c:pt idx="3">
                  <c:v>4) Reducción del tiempo de respuesta ante Fallas</c:v>
                </c:pt>
                <c:pt idx="4">
                  <c:v>5) Reducción del costo de la energía</c:v>
                </c:pt>
                <c:pt idx="5">
                  <c:v>6) Reducción del consumo de Clientes Finales</c:v>
                </c:pt>
                <c:pt idx="6">
                  <c:v>7) Reducción de emisiones de CO2</c:v>
                </c:pt>
                <c:pt idx="7">
                  <c:v>8) Reducción servicio Atención al Cliente</c:v>
                </c:pt>
                <c:pt idx="8">
                  <c:v>9) Reducción en Inversión de infraestructura de red</c:v>
                </c:pt>
              </c:strCache>
            </c:strRef>
          </c:cat>
          <c:val>
            <c:numRef>
              <c:f>'Flujo de Caja SMI Mixto 11 años'!$U$47:$U$55</c:f>
              <c:numCache>
                <c:formatCode>_ "$"* #,##0.0000_ ;_ "$"* \-#,##0.0000_ ;_ "$"* "-"_ ;_ @_ </c:formatCode>
                <c:ptCount val="9"/>
                <c:pt idx="0">
                  <c:v>36.614733096600006</c:v>
                </c:pt>
                <c:pt idx="1">
                  <c:v>3.5529678607499999</c:v>
                </c:pt>
                <c:pt idx="2">
                  <c:v>171.34508278892898</c:v>
                </c:pt>
                <c:pt idx="3">
                  <c:v>2.1406327572880208</c:v>
                </c:pt>
                <c:pt idx="4">
                  <c:v>43.420301786911608</c:v>
                </c:pt>
                <c:pt idx="5">
                  <c:v>17.708469157925212</c:v>
                </c:pt>
                <c:pt idx="6">
                  <c:v>29.204692362853109</c:v>
                </c:pt>
                <c:pt idx="7">
                  <c:v>12.030634605000001</c:v>
                </c:pt>
                <c:pt idx="8">
                  <c:v>15.5949417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241-43C0-A8AE-EC7C976F5DD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9066272965879267E-2"/>
          <c:y val="0.71257423207486392"/>
          <c:w val="0.90186745406824143"/>
          <c:h val="0.25962848859778814"/>
        </c:manualLayout>
      </c:layout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'Flujo de Caja SMI Mixto 11 años'!$F$28:$U$28</c:f>
              <c:numCache>
                <c:formatCode>General</c:formatCode>
                <c:ptCount val="1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</c:numCache>
            </c:numRef>
          </c:cat>
          <c:val>
            <c:numRef>
              <c:f>'Flujo de Caja SMI Mixto 11 años'!$F$58:$U$58</c:f>
              <c:numCache>
                <c:formatCode>_ "$"* #,##0.0000_ ;_ "$"* \-#,##0.0000_ ;_ "$"* "-"_ ;_ @_ </c:formatCode>
                <c:ptCount val="16"/>
                <c:pt idx="0">
                  <c:v>-203.13261980837729</c:v>
                </c:pt>
                <c:pt idx="1">
                  <c:v>-129.71162765644158</c:v>
                </c:pt>
                <c:pt idx="2">
                  <c:v>-113.93512075011388</c:v>
                </c:pt>
                <c:pt idx="3">
                  <c:v>-97.465782811999844</c:v>
                </c:pt>
                <c:pt idx="4">
                  <c:v>-80.378039692277795</c:v>
                </c:pt>
                <c:pt idx="5">
                  <c:v>-62.671948874285164</c:v>
                </c:pt>
                <c:pt idx="6">
                  <c:v>-44.359422809489132</c:v>
                </c:pt>
                <c:pt idx="7">
                  <c:v>-25.429985820577258</c:v>
                </c:pt>
                <c:pt idx="8">
                  <c:v>-5.8051297951712684</c:v>
                </c:pt>
                <c:pt idx="9">
                  <c:v>14.3421448548265</c:v>
                </c:pt>
                <c:pt idx="10">
                  <c:v>35.095617516077823</c:v>
                </c:pt>
                <c:pt idx="11">
                  <c:v>56.431029428989092</c:v>
                </c:pt>
                <c:pt idx="12">
                  <c:v>184.07215930311685</c:v>
                </c:pt>
                <c:pt idx="13">
                  <c:v>190.18361772946693</c:v>
                </c:pt>
                <c:pt idx="14">
                  <c:v>196.43437056768641</c:v>
                </c:pt>
                <c:pt idx="15">
                  <c:v>202.8380019203438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2-449A-AA9D-175A274C7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7198959"/>
        <c:axId val="1297207119"/>
      </c:barChart>
      <c:catAx>
        <c:axId val="129719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97207119"/>
        <c:crosses val="autoZero"/>
        <c:auto val="1"/>
        <c:lblAlgn val="ctr"/>
        <c:lblOffset val="100"/>
        <c:noMultiLvlLbl val="0"/>
      </c:catAx>
      <c:valAx>
        <c:axId val="129720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$&quot;* #,##0.0000_ ;_ &quot;$&quot;* \-#,##0.0000_ ;_ &quot;$&quot;* &quot;-&quot;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97198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27</xdr:col>
      <xdr:colOff>20731</xdr:colOff>
      <xdr:row>40</xdr:row>
      <xdr:rowOff>39766</xdr:rowOff>
    </xdr:from>
    <xdr:to>
      <xdr:col>35</xdr:col>
      <xdr:colOff>352214</xdr:colOff>
      <xdr:row>65</xdr:row>
      <xdr:rowOff>94202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D29A63C-D874-F88F-F059-27CF935B3323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1906</xdr:colOff>
      <xdr:row>66</xdr:row>
      <xdr:rowOff>173563</xdr:rowOff>
    </xdr:from>
    <xdr:to>
      <xdr:col>14</xdr:col>
      <xdr:colOff>523874</xdr:colOff>
      <xdr:row>82</xdr:row>
      <xdr:rowOff>23812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5D02DB4-9107-5B9E-37DF-9B92690F47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745695</xdr:colOff>
      <xdr:row>39</xdr:row>
      <xdr:rowOff>172484</xdr:rowOff>
    </xdr:from>
    <xdr:to>
      <xdr:col>31</xdr:col>
      <xdr:colOff>555327</xdr:colOff>
      <xdr:row>60</xdr:row>
      <xdr:rowOff>18804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5EEC1C-A777-41C0-BCB9-82EB58CC1941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1905</xdr:colOff>
      <xdr:row>66</xdr:row>
      <xdr:rowOff>169755</xdr:rowOff>
    </xdr:from>
    <xdr:to>
      <xdr:col>14</xdr:col>
      <xdr:colOff>412750</xdr:colOff>
      <xdr:row>84</xdr:row>
      <xdr:rowOff>21166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4CA7F2A-C76C-42C4-A1E6-D8D040A750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745695</xdr:colOff>
      <xdr:row>39</xdr:row>
      <xdr:rowOff>172484</xdr:rowOff>
    </xdr:from>
    <xdr:to>
      <xdr:col>31</xdr:col>
      <xdr:colOff>555327</xdr:colOff>
      <xdr:row>60</xdr:row>
      <xdr:rowOff>18804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B957AA-98BF-4A6A-B700-C40B9452591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1905</xdr:colOff>
      <xdr:row>66</xdr:row>
      <xdr:rowOff>169755</xdr:rowOff>
    </xdr:from>
    <xdr:to>
      <xdr:col>14</xdr:col>
      <xdr:colOff>412750</xdr:colOff>
      <xdr:row>84</xdr:row>
      <xdr:rowOff>21166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F65AAC-61F6-4418-8FE8-555334174F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0414D0C5-566C-4741-B0D6-5CA705C9DA84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FF880D-4AE5-45A5-8F17-8B94EC637B64}" name="CB_SMI_Mixto__2" displayName="CB_SMI_Mixto__2" ref="A1:Q26" tableType="queryTable" totalsRowShown="0">
  <autoFilter ref="A1:Q26" xr:uid="{D1FF880D-4AE5-45A5-8F17-8B94EC637B64}"/>
  <tableColumns count="17">
    <tableColumn id="1" xr3:uid="{04BBF2EF-A9D1-4BCC-A323-9B5EA437B359}" uniqueName="1" name="Concepto" queryTableFieldId="1" dataDxfId="18"/>
    <tableColumn id="2" xr3:uid="{0157CAC0-2764-45DA-A9E5-65B4769F80EA}" uniqueName="2" name="Periodo 0" queryTableFieldId="2"/>
    <tableColumn id="3" xr3:uid="{FAB33A1C-55F6-46E3-9100-916FE1702857}" uniqueName="3" name="Periodo 1" queryTableFieldId="3"/>
    <tableColumn id="4" xr3:uid="{19C50E89-DBB6-4B6E-8DA5-103E8C7C81EE}" uniqueName="4" name="Periodo 2" queryTableFieldId="4"/>
    <tableColumn id="5" xr3:uid="{EB84D782-0D88-4A9B-AF39-55BF7BC030D7}" uniqueName="5" name="Periodo 3" queryTableFieldId="5"/>
    <tableColumn id="6" xr3:uid="{02E7F3E0-4C66-4369-861C-4348EE4B8731}" uniqueName="6" name="Periodo 4" queryTableFieldId="6"/>
    <tableColumn id="7" xr3:uid="{2DF0DFFB-E64A-43A3-9B55-EF48BAE633B0}" uniqueName="7" name="Periodo 5" queryTableFieldId="7"/>
    <tableColumn id="8" xr3:uid="{AB4DD9D4-CD1B-4313-B5C0-CDE5EBFAB7B7}" uniqueName="8" name="Periodo 6" queryTableFieldId="8"/>
    <tableColumn id="9" xr3:uid="{2C7A8D7E-9059-4169-B4B9-D88916BC3FC0}" uniqueName="9" name="Periodo 7" queryTableFieldId="9"/>
    <tableColumn id="10" xr3:uid="{21DC0546-2A11-49B8-9A3B-B9547FE70BED}" uniqueName="10" name="Periodo 8" queryTableFieldId="10"/>
    <tableColumn id="11" xr3:uid="{A8C3C112-0631-4253-A044-DB429A371785}" uniqueName="11" name="Periodo 9" queryTableFieldId="11"/>
    <tableColumn id="12" xr3:uid="{A07E8C83-4FF2-4226-A06B-65E803B9699E}" uniqueName="12" name="Periodo 10" queryTableFieldId="12"/>
    <tableColumn id="13" xr3:uid="{C2317413-A6BA-4671-B749-CEC443687C16}" uniqueName="13" name="Periodo 11" queryTableFieldId="13"/>
    <tableColumn id="14" xr3:uid="{89676E43-EFA3-419B-B2FE-6C28CE524D69}" uniqueName="14" name="Periodo 12" queryTableFieldId="14"/>
    <tableColumn id="15" xr3:uid="{29609199-9287-4BD1-8EC8-1F2FE3D210A5}" uniqueName="15" name="Periodo 13" queryTableFieldId="15"/>
    <tableColumn id="16" xr3:uid="{815644D1-BB22-4D7E-ADB6-8041E8386BDA}" uniqueName="16" name="Periodo 14" queryTableFieldId="16"/>
    <tableColumn id="17" xr3:uid="{32B0B7D2-1BE4-4337-BE15-13DD941D02A6}" uniqueName="17" name="Periodo 15" queryTableFieldId="1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D9367-59C2-4303-9B74-3CC9CEDA46C6}">
  <dimension ref="B2:S23"/>
  <sheetViews>
    <sheetView workbookViewId="0">
      <selection activeCell="E27" sqref="E27"/>
    </sheetView>
  </sheetViews>
  <sheetFormatPr baseColWidth="10" defaultRowHeight="14.4" x14ac:dyDescent="0.3"/>
  <cols>
    <col min="17" max="17" width="12.6640625" bestFit="1" customWidth="1"/>
  </cols>
  <sheetData>
    <row r="2" spans="2:19" ht="23.4" x14ac:dyDescent="0.45">
      <c r="B2" s="88" t="s">
        <v>0</v>
      </c>
      <c r="C2" s="88"/>
      <c r="D2" s="88"/>
      <c r="E2" s="88"/>
    </row>
    <row r="4" spans="2:19" ht="15.6" x14ac:dyDescent="0.3">
      <c r="B4" s="89" t="s">
        <v>1</v>
      </c>
      <c r="C4" s="89"/>
      <c r="D4" s="89"/>
      <c r="E4" s="89"/>
      <c r="F4" s="2"/>
      <c r="G4" s="2"/>
      <c r="K4" s="89" t="s">
        <v>10</v>
      </c>
      <c r="L4" s="89"/>
      <c r="M4" s="89"/>
      <c r="N4" s="89"/>
      <c r="O4" s="89"/>
    </row>
    <row r="5" spans="2:19" x14ac:dyDescent="0.3">
      <c r="B5" s="90" t="s">
        <v>3</v>
      </c>
      <c r="C5" s="90"/>
      <c r="D5" s="90"/>
      <c r="E5" s="90"/>
      <c r="F5" s="90"/>
      <c r="G5" s="90"/>
      <c r="K5" s="91" t="s">
        <v>11</v>
      </c>
      <c r="L5" s="91"/>
      <c r="Q5" s="1" t="s">
        <v>28</v>
      </c>
      <c r="R5" s="1" t="s">
        <v>7</v>
      </c>
      <c r="S5" s="1" t="s">
        <v>39</v>
      </c>
    </row>
    <row r="6" spans="2:19" x14ac:dyDescent="0.3">
      <c r="B6" s="90" t="s">
        <v>2</v>
      </c>
      <c r="C6" s="90"/>
      <c r="D6" s="90"/>
      <c r="E6" s="90"/>
      <c r="F6" s="90"/>
      <c r="G6" s="90"/>
      <c r="K6" s="92" t="s">
        <v>12</v>
      </c>
      <c r="L6" s="92"/>
      <c r="M6" s="92"/>
      <c r="N6" s="92"/>
      <c r="O6" s="92"/>
      <c r="P6" s="92"/>
      <c r="Q6" s="1" t="s">
        <v>29</v>
      </c>
    </row>
    <row r="7" spans="2:19" x14ac:dyDescent="0.3">
      <c r="B7" s="90" t="s">
        <v>4</v>
      </c>
      <c r="C7" s="90"/>
      <c r="D7" s="90"/>
      <c r="E7" s="90"/>
      <c r="F7" s="90"/>
      <c r="G7" s="90"/>
      <c r="K7" s="92" t="s">
        <v>13</v>
      </c>
      <c r="L7" s="92"/>
      <c r="M7" s="92"/>
      <c r="N7" s="92"/>
      <c r="O7" s="92"/>
      <c r="P7" s="92"/>
      <c r="Q7" s="1" t="s">
        <v>29</v>
      </c>
    </row>
    <row r="8" spans="2:19" x14ac:dyDescent="0.3">
      <c r="B8" s="90" t="s">
        <v>5</v>
      </c>
      <c r="C8" s="90"/>
      <c r="D8" s="90"/>
      <c r="E8" s="90"/>
      <c r="F8" s="90"/>
      <c r="G8" s="90"/>
      <c r="K8" s="92" t="s">
        <v>14</v>
      </c>
      <c r="L8" s="92"/>
      <c r="M8" s="92"/>
      <c r="N8" s="92"/>
      <c r="O8" s="92"/>
      <c r="P8" s="92"/>
      <c r="Q8" s="1" t="s">
        <v>29</v>
      </c>
    </row>
    <row r="9" spans="2:19" x14ac:dyDescent="0.3">
      <c r="K9" s="92" t="s">
        <v>15</v>
      </c>
      <c r="L9" s="92"/>
      <c r="M9" s="92"/>
      <c r="N9" s="92"/>
      <c r="O9" s="92"/>
      <c r="P9" s="92"/>
      <c r="Q9" s="1" t="s">
        <v>29</v>
      </c>
    </row>
    <row r="10" spans="2:19" x14ac:dyDescent="0.3">
      <c r="K10" s="92" t="s">
        <v>16</v>
      </c>
      <c r="L10" s="92"/>
      <c r="M10" s="92"/>
      <c r="N10" s="92"/>
      <c r="O10" s="92"/>
      <c r="P10" s="92"/>
      <c r="Q10" s="1" t="s">
        <v>30</v>
      </c>
    </row>
    <row r="11" spans="2:19" x14ac:dyDescent="0.3">
      <c r="B11" s="90" t="s">
        <v>8</v>
      </c>
      <c r="C11" s="90"/>
      <c r="D11" s="90"/>
      <c r="E11" s="90"/>
      <c r="K11" s="92" t="s">
        <v>31</v>
      </c>
      <c r="L11" s="92"/>
      <c r="M11" s="92"/>
      <c r="N11" s="92"/>
      <c r="O11" s="92"/>
      <c r="P11" s="92"/>
      <c r="Q11" s="1" t="s">
        <v>32</v>
      </c>
    </row>
    <row r="12" spans="2:19" x14ac:dyDescent="0.3">
      <c r="B12" s="91" t="s">
        <v>6</v>
      </c>
      <c r="C12" s="91"/>
      <c r="H12" s="1" t="s">
        <v>7</v>
      </c>
      <c r="K12" s="92" t="s">
        <v>17</v>
      </c>
      <c r="L12" s="92"/>
      <c r="M12" s="92"/>
      <c r="N12" s="92"/>
      <c r="O12" s="92"/>
      <c r="P12" s="92"/>
      <c r="Q12" s="1" t="s">
        <v>29</v>
      </c>
    </row>
    <row r="13" spans="2:19" x14ac:dyDescent="0.3">
      <c r="B13" s="90" t="s">
        <v>3</v>
      </c>
      <c r="C13" s="90"/>
      <c r="D13" s="90"/>
      <c r="E13" s="90"/>
      <c r="F13" s="90"/>
      <c r="G13" s="90"/>
      <c r="H13" s="3">
        <v>0</v>
      </c>
      <c r="K13" s="92" t="s">
        <v>34</v>
      </c>
      <c r="L13" s="92"/>
      <c r="M13" s="92"/>
      <c r="N13" s="92"/>
      <c r="O13" s="92"/>
      <c r="P13" s="92"/>
      <c r="Q13" s="1" t="s">
        <v>33</v>
      </c>
    </row>
    <row r="14" spans="2:19" x14ac:dyDescent="0.3">
      <c r="B14" s="90" t="s">
        <v>2</v>
      </c>
      <c r="C14" s="90"/>
      <c r="D14" s="90"/>
      <c r="E14" s="90"/>
      <c r="F14" s="90"/>
      <c r="G14" s="90"/>
      <c r="H14" s="1">
        <v>2030</v>
      </c>
      <c r="K14" s="92" t="s">
        <v>18</v>
      </c>
      <c r="L14" s="92"/>
      <c r="M14" s="92"/>
      <c r="N14" s="92"/>
      <c r="O14" s="92"/>
      <c r="P14" s="92"/>
      <c r="Q14" s="1" t="s">
        <v>30</v>
      </c>
    </row>
    <row r="15" spans="2:19" x14ac:dyDescent="0.3">
      <c r="B15" s="90" t="s">
        <v>4</v>
      </c>
      <c r="C15" s="90"/>
      <c r="D15" s="90"/>
      <c r="E15" s="90"/>
      <c r="F15" s="90"/>
      <c r="G15" s="90"/>
      <c r="H15" s="1">
        <v>0</v>
      </c>
      <c r="K15" s="92" t="s">
        <v>19</v>
      </c>
      <c r="L15" s="92"/>
      <c r="M15" s="92"/>
      <c r="N15" s="92"/>
      <c r="O15" s="92"/>
      <c r="P15" s="92"/>
      <c r="Q15" s="1" t="s">
        <v>33</v>
      </c>
    </row>
    <row r="16" spans="2:19" x14ac:dyDescent="0.3">
      <c r="K16" s="92" t="s">
        <v>20</v>
      </c>
      <c r="L16" s="92"/>
      <c r="M16" s="92"/>
      <c r="N16" s="92"/>
      <c r="O16" s="92"/>
      <c r="P16" s="92"/>
      <c r="Q16" s="1" t="s">
        <v>35</v>
      </c>
    </row>
    <row r="17" spans="2:17" x14ac:dyDescent="0.3">
      <c r="K17" s="92" t="s">
        <v>21</v>
      </c>
      <c r="L17" s="92"/>
      <c r="M17" s="92"/>
      <c r="N17" s="92"/>
      <c r="O17" s="92"/>
      <c r="P17" s="92"/>
      <c r="Q17" s="1" t="s">
        <v>36</v>
      </c>
    </row>
    <row r="18" spans="2:17" x14ac:dyDescent="0.3">
      <c r="B18" t="s">
        <v>9</v>
      </c>
      <c r="K18" s="92" t="s">
        <v>22</v>
      </c>
      <c r="L18" s="92"/>
      <c r="M18" s="92"/>
      <c r="N18" s="92"/>
      <c r="O18" s="92"/>
      <c r="P18" s="92"/>
      <c r="Q18" s="1" t="s">
        <v>29</v>
      </c>
    </row>
    <row r="19" spans="2:17" x14ac:dyDescent="0.3">
      <c r="B19" s="91" t="s">
        <v>6</v>
      </c>
      <c r="C19" s="91"/>
      <c r="H19" s="1" t="s">
        <v>7</v>
      </c>
      <c r="K19" s="92" t="s">
        <v>23</v>
      </c>
      <c r="L19" s="92"/>
      <c r="M19" s="92"/>
      <c r="N19" s="92"/>
      <c r="O19" s="92"/>
      <c r="P19" s="92"/>
      <c r="Q19" s="1" t="s">
        <v>29</v>
      </c>
    </row>
    <row r="20" spans="2:17" x14ac:dyDescent="0.3">
      <c r="B20" s="90" t="s">
        <v>3</v>
      </c>
      <c r="C20" s="90"/>
      <c r="D20" s="90"/>
      <c r="E20" s="90"/>
      <c r="F20" s="90"/>
      <c r="G20" s="90"/>
      <c r="H20" s="3">
        <v>0.8</v>
      </c>
      <c r="K20" s="92" t="s">
        <v>24</v>
      </c>
      <c r="L20" s="92"/>
      <c r="M20" s="92"/>
      <c r="N20" s="92"/>
      <c r="O20" s="92"/>
      <c r="P20" s="92"/>
      <c r="Q20" s="1" t="s">
        <v>29</v>
      </c>
    </row>
    <row r="21" spans="2:17" x14ac:dyDescent="0.3">
      <c r="B21" s="90" t="s">
        <v>2</v>
      </c>
      <c r="C21" s="90"/>
      <c r="D21" s="90"/>
      <c r="E21" s="90"/>
      <c r="F21" s="90"/>
      <c r="G21" s="90"/>
      <c r="H21" s="1">
        <v>2030</v>
      </c>
      <c r="K21" s="92" t="s">
        <v>25</v>
      </c>
      <c r="L21" s="92"/>
      <c r="M21" s="92"/>
      <c r="N21" s="92"/>
      <c r="O21" s="92"/>
      <c r="P21" s="92"/>
      <c r="Q21" s="1" t="s">
        <v>37</v>
      </c>
    </row>
    <row r="22" spans="2:17" x14ac:dyDescent="0.3">
      <c r="B22" s="90" t="s">
        <v>4</v>
      </c>
      <c r="C22" s="90"/>
      <c r="D22" s="90"/>
      <c r="E22" s="90"/>
      <c r="F22" s="90"/>
      <c r="G22" s="90"/>
      <c r="H22" s="1">
        <v>10</v>
      </c>
      <c r="K22" s="92" t="s">
        <v>27</v>
      </c>
      <c r="L22" s="92"/>
      <c r="M22" s="92"/>
      <c r="N22" s="92"/>
      <c r="O22" s="92"/>
      <c r="P22" s="92"/>
      <c r="Q22" s="1" t="s">
        <v>29</v>
      </c>
    </row>
    <row r="23" spans="2:17" x14ac:dyDescent="0.3">
      <c r="K23" s="92" t="s">
        <v>26</v>
      </c>
      <c r="L23" s="92"/>
      <c r="M23" s="92"/>
      <c r="N23" s="92"/>
      <c r="O23" s="92"/>
      <c r="P23" s="92"/>
      <c r="Q23" s="1" t="s">
        <v>38</v>
      </c>
    </row>
  </sheetData>
  <mergeCells count="35">
    <mergeCell ref="K23:P23"/>
    <mergeCell ref="K5:L5"/>
    <mergeCell ref="K15:P15"/>
    <mergeCell ref="K16:P16"/>
    <mergeCell ref="K17:P17"/>
    <mergeCell ref="K18:P18"/>
    <mergeCell ref="K19:P19"/>
    <mergeCell ref="K20:P20"/>
    <mergeCell ref="K9:P9"/>
    <mergeCell ref="K10:P10"/>
    <mergeCell ref="K11:P11"/>
    <mergeCell ref="K12:P12"/>
    <mergeCell ref="K13:P13"/>
    <mergeCell ref="K14:P14"/>
    <mergeCell ref="B22:G22"/>
    <mergeCell ref="B11:E11"/>
    <mergeCell ref="B12:C12"/>
    <mergeCell ref="B19:C19"/>
    <mergeCell ref="K4:O4"/>
    <mergeCell ref="K6:P6"/>
    <mergeCell ref="K7:P7"/>
    <mergeCell ref="K8:P8"/>
    <mergeCell ref="B13:G13"/>
    <mergeCell ref="B14:G14"/>
    <mergeCell ref="B15:G15"/>
    <mergeCell ref="B20:G20"/>
    <mergeCell ref="B21:G21"/>
    <mergeCell ref="B8:G8"/>
    <mergeCell ref="K21:P21"/>
    <mergeCell ref="K22:P22"/>
    <mergeCell ref="B2:E2"/>
    <mergeCell ref="B4:E4"/>
    <mergeCell ref="B5:G5"/>
    <mergeCell ref="B6:G6"/>
    <mergeCell ref="B7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BD770-0A93-468E-9B48-D5FD7160D4AE}">
  <sheetPr>
    <tabColor theme="4" tint="-0.249977111117893"/>
  </sheetPr>
  <dimension ref="A1:Q26"/>
  <sheetViews>
    <sheetView zoomScale="80" zoomScaleNormal="80" workbookViewId="0">
      <selection activeCell="E18" sqref="E18"/>
    </sheetView>
  </sheetViews>
  <sheetFormatPr baseColWidth="10" defaultRowHeight="14.4" x14ac:dyDescent="0.3"/>
  <cols>
    <col min="1" max="1" width="47.109375" bestFit="1" customWidth="1"/>
    <col min="2" max="11" width="12.6640625" bestFit="1" customWidth="1"/>
    <col min="12" max="17" width="13" bestFit="1" customWidth="1"/>
  </cols>
  <sheetData>
    <row r="1" spans="1:17" x14ac:dyDescent="0.3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  <c r="O1" t="s">
        <v>75</v>
      </c>
      <c r="P1" t="s">
        <v>76</v>
      </c>
      <c r="Q1" t="s">
        <v>77</v>
      </c>
    </row>
    <row r="2" spans="1:17" x14ac:dyDescent="0.3">
      <c r="A2" t="s">
        <v>101</v>
      </c>
      <c r="B2">
        <v>34765766.042480066</v>
      </c>
      <c r="C2">
        <v>35815692.176962957</v>
      </c>
      <c r="D2">
        <v>36897326.080707237</v>
      </c>
      <c r="E2">
        <v>38011625.328344598</v>
      </c>
      <c r="F2">
        <v>39159576.413260609</v>
      </c>
      <c r="G2">
        <v>40342195.620941088</v>
      </c>
      <c r="H2">
        <v>41560529.928693503</v>
      </c>
      <c r="I2">
        <v>42815657.932540037</v>
      </c>
      <c r="J2">
        <v>44108690.802102759</v>
      </c>
      <c r="K2">
        <v>45440773.264326259</v>
      </c>
      <c r="L2">
        <v>46813084.616908908</v>
      </c>
      <c r="M2">
        <v>48226839.77233956</v>
      </c>
      <c r="N2">
        <v>49683290.333464213</v>
      </c>
      <c r="O2">
        <v>51183725.701534837</v>
      </c>
      <c r="P2">
        <v>52729474.217721187</v>
      </c>
      <c r="Q2">
        <v>54321904.339096367</v>
      </c>
    </row>
    <row r="3" spans="1:17" x14ac:dyDescent="0.3">
      <c r="A3" t="s">
        <v>91</v>
      </c>
      <c r="B3">
        <v>7706817</v>
      </c>
      <c r="C3">
        <v>113821</v>
      </c>
      <c r="D3">
        <v>115591</v>
      </c>
      <c r="E3">
        <v>117376</v>
      </c>
      <c r="F3">
        <v>119200</v>
      </c>
      <c r="G3">
        <v>121056</v>
      </c>
      <c r="H3">
        <v>122935</v>
      </c>
      <c r="I3">
        <v>124861</v>
      </c>
      <c r="J3">
        <v>126789</v>
      </c>
      <c r="K3">
        <v>128764</v>
      </c>
      <c r="L3">
        <v>130761</v>
      </c>
      <c r="M3">
        <v>132814</v>
      </c>
      <c r="N3">
        <v>134885</v>
      </c>
      <c r="O3">
        <v>136990</v>
      </c>
      <c r="P3">
        <v>139136</v>
      </c>
      <c r="Q3">
        <v>141300</v>
      </c>
    </row>
    <row r="4" spans="1:17" x14ac:dyDescent="0.3">
      <c r="A4" t="s">
        <v>92</v>
      </c>
      <c r="B4">
        <v>56511</v>
      </c>
      <c r="C4">
        <v>514</v>
      </c>
      <c r="D4">
        <v>519</v>
      </c>
      <c r="E4">
        <v>528</v>
      </c>
      <c r="F4">
        <v>539</v>
      </c>
      <c r="G4">
        <v>549</v>
      </c>
      <c r="H4">
        <v>558</v>
      </c>
      <c r="I4">
        <v>564</v>
      </c>
      <c r="J4">
        <v>570</v>
      </c>
      <c r="K4">
        <v>576</v>
      </c>
      <c r="L4">
        <v>589</v>
      </c>
      <c r="M4">
        <v>594</v>
      </c>
      <c r="N4">
        <v>602</v>
      </c>
      <c r="O4">
        <v>612</v>
      </c>
      <c r="P4">
        <v>621</v>
      </c>
      <c r="Q4">
        <v>632</v>
      </c>
    </row>
    <row r="5" spans="1:17" x14ac:dyDescent="0.3">
      <c r="A5" t="s">
        <v>93</v>
      </c>
      <c r="B5">
        <v>216250</v>
      </c>
      <c r="C5">
        <v>739</v>
      </c>
      <c r="D5">
        <v>739</v>
      </c>
      <c r="E5">
        <v>744</v>
      </c>
      <c r="F5">
        <v>746</v>
      </c>
      <c r="G5">
        <v>755</v>
      </c>
      <c r="H5">
        <v>755</v>
      </c>
      <c r="I5">
        <v>760</v>
      </c>
      <c r="J5">
        <v>762</v>
      </c>
      <c r="K5">
        <v>762</v>
      </c>
      <c r="L5">
        <v>762</v>
      </c>
      <c r="M5">
        <v>767</v>
      </c>
      <c r="N5">
        <v>773</v>
      </c>
      <c r="O5">
        <v>779</v>
      </c>
      <c r="P5">
        <v>785</v>
      </c>
      <c r="Q5">
        <v>793</v>
      </c>
    </row>
    <row r="6" spans="1:17" x14ac:dyDescent="0.3">
      <c r="A6" t="s">
        <v>121</v>
      </c>
      <c r="B6">
        <v>56029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122</v>
      </c>
      <c r="B7">
        <v>151.735926839987</v>
      </c>
      <c r="C7">
        <v>152.19490237158999</v>
      </c>
      <c r="D7">
        <v>152.20096812867419</v>
      </c>
      <c r="E7">
        <v>152.21104706672551</v>
      </c>
      <c r="F7">
        <v>152.21367751227029</v>
      </c>
      <c r="G7">
        <v>152.22117841128551</v>
      </c>
      <c r="H7">
        <v>152.23289867654799</v>
      </c>
      <c r="I7">
        <v>152.24040959691251</v>
      </c>
      <c r="J7">
        <v>152.2437709874275</v>
      </c>
      <c r="K7">
        <v>152.25390659155639</v>
      </c>
      <c r="L7">
        <v>152.2581760634682</v>
      </c>
      <c r="M7">
        <v>152.26724176066051</v>
      </c>
      <c r="N7">
        <v>152.2768336515029</v>
      </c>
      <c r="O7">
        <v>152.28357046535859</v>
      </c>
      <c r="P7">
        <v>152.29025701543731</v>
      </c>
      <c r="Q7">
        <v>152.29635756476199</v>
      </c>
    </row>
    <row r="8" spans="1:17" x14ac:dyDescent="0.3">
      <c r="A8" t="s">
        <v>123</v>
      </c>
      <c r="B8">
        <v>354.3784008925856</v>
      </c>
      <c r="C8">
        <v>344.45070010975309</v>
      </c>
      <c r="D8">
        <v>344.34523077680461</v>
      </c>
      <c r="E8">
        <v>344.69062315132231</v>
      </c>
      <c r="F8">
        <v>344.75088161605908</v>
      </c>
      <c r="G8">
        <v>344.8292920914638</v>
      </c>
      <c r="H8">
        <v>344.9253002246798</v>
      </c>
      <c r="I8">
        <v>344.91390755147518</v>
      </c>
      <c r="J8">
        <v>344.90290399288472</v>
      </c>
      <c r="K8">
        <v>344.86492177593448</v>
      </c>
      <c r="L8">
        <v>344.71965397851869</v>
      </c>
      <c r="M8">
        <v>344.78239216093101</v>
      </c>
      <c r="N8">
        <v>344.73572637417573</v>
      </c>
      <c r="O8">
        <v>344.75551502341438</v>
      </c>
      <c r="P8">
        <v>344.89291402829178</v>
      </c>
      <c r="Q8">
        <v>344.84226929637941</v>
      </c>
    </row>
    <row r="9" spans="1:17" x14ac:dyDescent="0.3">
      <c r="A9" t="s">
        <v>124</v>
      </c>
      <c r="B9">
        <v>789.05571586619294</v>
      </c>
      <c r="C9">
        <v>747.92134588801321</v>
      </c>
      <c r="D9">
        <v>747.92134588801321</v>
      </c>
      <c r="E9">
        <v>747.80119560213757</v>
      </c>
      <c r="F9">
        <v>747.88710906365588</v>
      </c>
      <c r="G9">
        <v>748.10317321685682</v>
      </c>
      <c r="H9">
        <v>748.10317321685682</v>
      </c>
      <c r="I9">
        <v>748.14818490654272</v>
      </c>
      <c r="J9">
        <v>748.06798494615794</v>
      </c>
      <c r="K9">
        <v>748.06798494615794</v>
      </c>
      <c r="L9">
        <v>748.06798494615794</v>
      </c>
      <c r="M9">
        <v>748.11281522714216</v>
      </c>
      <c r="N9">
        <v>748.1980607324864</v>
      </c>
      <c r="O9">
        <v>748.20207663216615</v>
      </c>
      <c r="P9">
        <v>748.1267255158657</v>
      </c>
      <c r="Q9">
        <v>747.97569402705108</v>
      </c>
    </row>
    <row r="10" spans="1:17" x14ac:dyDescent="0.3">
      <c r="A10" t="s">
        <v>125</v>
      </c>
      <c r="B10">
        <v>815.57703771558965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78</v>
      </c>
      <c r="B11">
        <v>146433235.87799999</v>
      </c>
      <c r="C11">
        <v>2111722.9739999999</v>
      </c>
      <c r="D11">
        <v>2144295.9989999998</v>
      </c>
      <c r="E11">
        <v>2177309.4479999999</v>
      </c>
      <c r="F11">
        <v>2211020.2349999999</v>
      </c>
      <c r="G11">
        <v>2245428.36</v>
      </c>
      <c r="H11">
        <v>2280075.047999999</v>
      </c>
      <c r="I11">
        <v>2315620.9350000001</v>
      </c>
      <c r="J11">
        <v>2351148.4709999999</v>
      </c>
      <c r="K11">
        <v>2387501.8020000001</v>
      </c>
      <c r="L11">
        <v>2424387.3119999999</v>
      </c>
      <c r="M11">
        <v>2462245.4249999998</v>
      </c>
      <c r="N11">
        <v>2500507.2599999998</v>
      </c>
      <c r="O11">
        <v>2539429.7310000001</v>
      </c>
      <c r="P11">
        <v>2579086.2420000001</v>
      </c>
      <c r="Q11">
        <v>2619146.4750000001</v>
      </c>
    </row>
    <row r="12" spans="1:17" x14ac:dyDescent="0.3">
      <c r="A12" t="s">
        <v>128</v>
      </c>
      <c r="B12">
        <v>11003418.08421053</v>
      </c>
      <c r="C12">
        <v>158680.9894736842</v>
      </c>
      <c r="D12">
        <v>161128.62105263161</v>
      </c>
      <c r="E12">
        <v>163609.34736842109</v>
      </c>
      <c r="F12">
        <v>166142.4736842105</v>
      </c>
      <c r="G12">
        <v>168728</v>
      </c>
      <c r="H12">
        <v>171331.45263157901</v>
      </c>
      <c r="I12">
        <v>174002.4736842105</v>
      </c>
      <c r="J12">
        <v>176672.1157894737</v>
      </c>
      <c r="K12">
        <v>179403.81052631579</v>
      </c>
      <c r="L12">
        <v>182175.49473684211</v>
      </c>
      <c r="M12">
        <v>185020.26315789469</v>
      </c>
      <c r="N12">
        <v>187895.36842105261</v>
      </c>
      <c r="O12">
        <v>190820.1157894737</v>
      </c>
      <c r="P12">
        <v>193800.02105263161</v>
      </c>
      <c r="Q12">
        <v>196810.26315789469</v>
      </c>
    </row>
    <row r="13" spans="1:17" x14ac:dyDescent="0.3">
      <c r="A13" t="s">
        <v>79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80</v>
      </c>
      <c r="B14">
        <v>987928.11874583072</v>
      </c>
      <c r="C14">
        <v>988397.43162108085</v>
      </c>
      <c r="D14">
        <v>988896.16410940641</v>
      </c>
      <c r="E14">
        <v>989410.30687124771</v>
      </c>
      <c r="F14">
        <v>989940.56037358264</v>
      </c>
      <c r="G14">
        <v>990484.12274849927</v>
      </c>
      <c r="H14">
        <v>991047.99866577727</v>
      </c>
      <c r="I14">
        <v>991630.08672448318</v>
      </c>
      <c r="J14">
        <v>992234.5897264845</v>
      </c>
      <c r="K14">
        <v>992843.29553035367</v>
      </c>
      <c r="L14">
        <v>993451.30086724507</v>
      </c>
      <c r="M14">
        <v>994089.42628418957</v>
      </c>
      <c r="N14">
        <v>994742.96197464992</v>
      </c>
      <c r="O14">
        <v>995413.30887258193</v>
      </c>
      <c r="P14">
        <v>996096.26417611772</v>
      </c>
      <c r="Q14">
        <v>996789.02601734502</v>
      </c>
    </row>
    <row r="15" spans="1:17" x14ac:dyDescent="0.3">
      <c r="A15" t="s">
        <v>81</v>
      </c>
      <c r="B15">
        <v>63719512.114743173</v>
      </c>
      <c r="C15">
        <v>64638415.236824557</v>
      </c>
      <c r="D15">
        <v>65571492.308205478</v>
      </c>
      <c r="E15">
        <v>66518934.976651117</v>
      </c>
      <c r="F15">
        <v>67481046.684456319</v>
      </c>
      <c r="G15">
        <v>68458130.873915955</v>
      </c>
      <c r="H15">
        <v>69450291.354236171</v>
      </c>
      <c r="I15">
        <v>70457919.406270862</v>
      </c>
      <c r="J15">
        <v>71481007.04469648</v>
      </c>
      <c r="K15">
        <v>72519913.60907273</v>
      </c>
      <c r="L15">
        <v>73574870.673782527</v>
      </c>
      <c r="M15">
        <v>74646301.460974008</v>
      </c>
      <c r="N15">
        <v>75734381.647765189</v>
      </c>
      <c r="O15">
        <v>76839398.705803886</v>
      </c>
      <c r="P15">
        <v>77961672.048032045</v>
      </c>
      <c r="Q15">
        <v>79101377.35156773</v>
      </c>
    </row>
    <row r="16" spans="1:17" x14ac:dyDescent="0.3">
      <c r="A16" t="s">
        <v>129</v>
      </c>
      <c r="B16">
        <v>9043591.7296315767</v>
      </c>
      <c r="C16">
        <v>9174009.9390526321</v>
      </c>
      <c r="D16">
        <v>9306439.8307105247</v>
      </c>
      <c r="E16">
        <v>9440908.6048157886</v>
      </c>
      <c r="F16">
        <v>9577459.3283684216</v>
      </c>
      <c r="G16">
        <v>9716135.06836842</v>
      </c>
      <c r="H16">
        <v>9856950.5582631566</v>
      </c>
      <c r="I16">
        <v>9999961.3318157885</v>
      </c>
      <c r="J16">
        <v>10145166.25568421</v>
      </c>
      <c r="K16">
        <v>10292616.33026316</v>
      </c>
      <c r="L16">
        <v>10442344.42247368</v>
      </c>
      <c r="M16">
        <v>10594410.59944737</v>
      </c>
      <c r="N16">
        <v>10748839.794710521</v>
      </c>
      <c r="O16">
        <v>10905672.808578949</v>
      </c>
      <c r="P16">
        <v>11064954.97473684</v>
      </c>
      <c r="Q16">
        <v>11226711.226710521</v>
      </c>
    </row>
    <row r="17" spans="1:17" x14ac:dyDescent="0.3">
      <c r="A17" t="s">
        <v>82</v>
      </c>
      <c r="B17">
        <v>9910635.876000002</v>
      </c>
      <c r="C17">
        <v>10053557.784</v>
      </c>
      <c r="D17">
        <v>10198684.242000001</v>
      </c>
      <c r="E17">
        <v>10346045.058</v>
      </c>
      <c r="F17">
        <v>10495687.427999999</v>
      </c>
      <c r="G17">
        <v>10647658.548</v>
      </c>
      <c r="H17">
        <v>10801974.563999999</v>
      </c>
      <c r="I17">
        <v>10958696.334000001</v>
      </c>
      <c r="J17">
        <v>11117822.616</v>
      </c>
      <c r="K17">
        <v>11279409.300000001</v>
      </c>
      <c r="L17">
        <v>11443492.403999999</v>
      </c>
      <c r="M17">
        <v>11610137.754000001</v>
      </c>
      <c r="N17">
        <v>11779372.674000001</v>
      </c>
      <c r="O17">
        <v>11951241.876</v>
      </c>
      <c r="P17">
        <v>12125795.039999999</v>
      </c>
      <c r="Q17">
        <v>12303059.49</v>
      </c>
    </row>
    <row r="18" spans="1:17" x14ac:dyDescent="0.3">
      <c r="A18" t="s">
        <v>83</v>
      </c>
      <c r="B18">
        <v>29328497.723999999</v>
      </c>
      <c r="C18">
        <v>29763086.730599999</v>
      </c>
      <c r="D18">
        <v>30204690.7788</v>
      </c>
      <c r="E18">
        <v>30653156.4036</v>
      </c>
      <c r="F18">
        <v>31108554.517200001</v>
      </c>
      <c r="G18">
        <v>31571178.7302</v>
      </c>
      <c r="H18">
        <v>32041048.479600001</v>
      </c>
      <c r="I18">
        <v>32518040.761799999</v>
      </c>
      <c r="J18">
        <v>33002768.1708</v>
      </c>
      <c r="K18">
        <v>33495107.380800001</v>
      </c>
      <c r="L18">
        <v>33994935.216600001</v>
      </c>
      <c r="M18">
        <v>34502614.504199997</v>
      </c>
      <c r="N18">
        <v>35018359.464599997</v>
      </c>
      <c r="O18">
        <v>35542353.721800007</v>
      </c>
      <c r="P18">
        <v>36074364.2082</v>
      </c>
      <c r="Q18">
        <v>36614733.096600004</v>
      </c>
    </row>
    <row r="19" spans="1:17" x14ac:dyDescent="0.3">
      <c r="A19" t="s">
        <v>84</v>
      </c>
      <c r="B19">
        <v>2842917.253794</v>
      </c>
      <c r="C19">
        <v>2884885.939152</v>
      </c>
      <c r="D19">
        <v>2927517.1507259998</v>
      </c>
      <c r="E19">
        <v>2970810.1540080011</v>
      </c>
      <c r="F19">
        <v>3014771.1923159999</v>
      </c>
      <c r="G19">
        <v>3059420.097366001</v>
      </c>
      <c r="H19">
        <v>3104760.9089520001</v>
      </c>
      <c r="I19">
        <v>3150799.5031380001</v>
      </c>
      <c r="J19">
        <v>3197564.892990001</v>
      </c>
      <c r="K19">
        <v>3245057.8130160002</v>
      </c>
      <c r="L19">
        <v>3293279.364978001</v>
      </c>
      <c r="M19">
        <v>3342254.5221480001</v>
      </c>
      <c r="N19">
        <v>3391998.7091939999</v>
      </c>
      <c r="O19">
        <v>3444800.7489479999</v>
      </c>
      <c r="P19">
        <v>3498452.1998999999</v>
      </c>
      <c r="Q19">
        <v>3552967.86075</v>
      </c>
    </row>
    <row r="20" spans="1:17" x14ac:dyDescent="0.3">
      <c r="A20" t="s">
        <v>85</v>
      </c>
      <c r="B20">
        <v>109660055.7959816</v>
      </c>
      <c r="C20">
        <v>112971789.4810202</v>
      </c>
      <c r="D20">
        <v>116383537.52334701</v>
      </c>
      <c r="E20">
        <v>119898320.35655209</v>
      </c>
      <c r="F20">
        <v>123519249.63132</v>
      </c>
      <c r="G20">
        <v>127249530.9701858</v>
      </c>
      <c r="H20">
        <v>131092466.8054855</v>
      </c>
      <c r="I20">
        <v>135051459.30301109</v>
      </c>
      <c r="J20">
        <v>139130013.3739621</v>
      </c>
      <c r="K20">
        <v>143331739.77785569</v>
      </c>
      <c r="L20">
        <v>147660358.31914699</v>
      </c>
      <c r="M20">
        <v>152119701.14038521</v>
      </c>
      <c r="N20">
        <v>156713716.1148248</v>
      </c>
      <c r="O20">
        <v>161446470.3414925</v>
      </c>
      <c r="P20">
        <v>166322153.74580559</v>
      </c>
      <c r="Q20">
        <v>171345082.78892899</v>
      </c>
    </row>
    <row r="21" spans="1:17" x14ac:dyDescent="0.3">
      <c r="A21" t="s">
        <v>86</v>
      </c>
      <c r="B21">
        <v>2140632.757288021</v>
      </c>
      <c r="C21">
        <v>2140632.757288021</v>
      </c>
      <c r="D21">
        <v>2140632.757288021</v>
      </c>
      <c r="E21">
        <v>2140632.757288021</v>
      </c>
      <c r="F21">
        <v>2140632.757288021</v>
      </c>
      <c r="G21">
        <v>2140632.757288021</v>
      </c>
      <c r="H21">
        <v>2140632.757288021</v>
      </c>
      <c r="I21">
        <v>2140632.757288021</v>
      </c>
      <c r="J21">
        <v>2140632.757288021</v>
      </c>
      <c r="K21">
        <v>2140632.757288021</v>
      </c>
      <c r="L21">
        <v>2140632.757288021</v>
      </c>
      <c r="M21">
        <v>2140632.757288021</v>
      </c>
      <c r="N21">
        <v>2140632.757288021</v>
      </c>
      <c r="O21">
        <v>2140632.757288021</v>
      </c>
      <c r="P21">
        <v>2140632.757288021</v>
      </c>
      <c r="Q21">
        <v>2140632.757288021</v>
      </c>
    </row>
    <row r="22" spans="1:17" x14ac:dyDescent="0.3">
      <c r="A22" t="s">
        <v>127</v>
      </c>
      <c r="B22">
        <v>27788791.12916531</v>
      </c>
      <c r="C22">
        <v>28628012.621266112</v>
      </c>
      <c r="D22">
        <v>29492578.602428339</v>
      </c>
      <c r="E22">
        <v>30383254.476221681</v>
      </c>
      <c r="F22">
        <v>31300828.761403579</v>
      </c>
      <c r="G22">
        <v>32246113.789997961</v>
      </c>
      <c r="H22">
        <v>33219946.4264559</v>
      </c>
      <c r="I22">
        <v>34223188.808534868</v>
      </c>
      <c r="J22">
        <v>35256729.110552616</v>
      </c>
      <c r="K22">
        <v>36321482.329691313</v>
      </c>
      <c r="L22">
        <v>37418391.09604799</v>
      </c>
      <c r="M22">
        <v>38548426.507148638</v>
      </c>
      <c r="N22">
        <v>39712588.987664543</v>
      </c>
      <c r="O22">
        <v>40911909.175091997</v>
      </c>
      <c r="P22">
        <v>42147448.83217977</v>
      </c>
      <c r="Q22">
        <v>43420301.786911607</v>
      </c>
    </row>
    <row r="23" spans="1:17" x14ac:dyDescent="0.3">
      <c r="A23" t="s">
        <v>87</v>
      </c>
      <c r="B23">
        <v>11333337.87180597</v>
      </c>
      <c r="C23">
        <v>11675604.675534509</v>
      </c>
      <c r="D23">
        <v>12028207.936735651</v>
      </c>
      <c r="E23">
        <v>12391459.816425061</v>
      </c>
      <c r="F23">
        <v>12765681.902881101</v>
      </c>
      <c r="G23">
        <v>13151205.496348109</v>
      </c>
      <c r="H23">
        <v>13548371.902337819</v>
      </c>
      <c r="I23">
        <v>13957532.733788431</v>
      </c>
      <c r="J23">
        <v>14379050.222348841</v>
      </c>
      <c r="K23">
        <v>14813297.53906377</v>
      </c>
      <c r="L23">
        <v>15260659.124743501</v>
      </c>
      <c r="M23">
        <v>15721531.03031075</v>
      </c>
      <c r="N23">
        <v>16196321.267426141</v>
      </c>
      <c r="O23">
        <v>16685450.169702411</v>
      </c>
      <c r="P23">
        <v>17189350.764827419</v>
      </c>
      <c r="Q23">
        <v>17708469.157925211</v>
      </c>
    </row>
    <row r="24" spans="1:17" x14ac:dyDescent="0.3">
      <c r="A24" t="s">
        <v>88</v>
      </c>
      <c r="B24">
        <v>15059297.098782919</v>
      </c>
      <c r="C24">
        <v>16365930.202074969</v>
      </c>
      <c r="D24">
        <v>17605311.81183121</v>
      </c>
      <c r="E24">
        <v>18787950.45164559</v>
      </c>
      <c r="F24">
        <v>19920331.043655042</v>
      </c>
      <c r="G24">
        <v>21004021.850075651</v>
      </c>
      <c r="H24">
        <v>22020444.111150589</v>
      </c>
      <c r="I24">
        <v>22999172.32468145</v>
      </c>
      <c r="J24">
        <v>23932493.371293422</v>
      </c>
      <c r="K24">
        <v>24808160.14691899</v>
      </c>
      <c r="L24">
        <v>25649117.9741886</v>
      </c>
      <c r="M24">
        <v>26438330.813938659</v>
      </c>
      <c r="N24">
        <v>27203655.796077229</v>
      </c>
      <c r="O24">
        <v>27905835.559449151</v>
      </c>
      <c r="P24">
        <v>28570861.076024611</v>
      </c>
      <c r="Q24">
        <v>29204692.36285311</v>
      </c>
    </row>
    <row r="25" spans="1:17" x14ac:dyDescent="0.3">
      <c r="A25" t="s">
        <v>89</v>
      </c>
      <c r="B25">
        <v>9645454.5262200013</v>
      </c>
      <c r="C25">
        <v>9787845.9537599999</v>
      </c>
      <c r="D25">
        <v>9932485.2013799995</v>
      </c>
      <c r="E25">
        <v>10079369.777039999</v>
      </c>
      <c r="F25">
        <v>10228520.863080001</v>
      </c>
      <c r="G25">
        <v>10380005.744580001</v>
      </c>
      <c r="H25">
        <v>10533838.127760001</v>
      </c>
      <c r="I25">
        <v>10690037.94894</v>
      </c>
      <c r="J25">
        <v>10848703.6437</v>
      </c>
      <c r="K25">
        <v>11009837.704080001</v>
      </c>
      <c r="L25">
        <v>11173443.868140001</v>
      </c>
      <c r="M25">
        <v>11339606.86524</v>
      </c>
      <c r="N25">
        <v>11508379.02822</v>
      </c>
      <c r="O25">
        <v>11679797.737679999</v>
      </c>
      <c r="P25">
        <v>11853867.977700001</v>
      </c>
      <c r="Q25">
        <v>12030634.605</v>
      </c>
    </row>
    <row r="26" spans="1:17" x14ac:dyDescent="0.3">
      <c r="A26" t="s">
        <v>90</v>
      </c>
      <c r="B26">
        <v>14938964.625</v>
      </c>
      <c r="C26">
        <v>14949967.425000001</v>
      </c>
      <c r="D26">
        <v>14961276.375</v>
      </c>
      <c r="E26">
        <v>15126163.725</v>
      </c>
      <c r="F26">
        <v>15161638.425000001</v>
      </c>
      <c r="G26">
        <v>15184728.375</v>
      </c>
      <c r="H26">
        <v>15201352.5</v>
      </c>
      <c r="I26">
        <v>15217575.975</v>
      </c>
      <c r="J26">
        <v>15343356.975</v>
      </c>
      <c r="K26">
        <v>15375860.550000001</v>
      </c>
      <c r="L26">
        <v>15401599.574999999</v>
      </c>
      <c r="M26">
        <v>15427400.775</v>
      </c>
      <c r="N26">
        <v>15457995.6</v>
      </c>
      <c r="O26">
        <v>15503510.175000001</v>
      </c>
      <c r="P26">
        <v>15549158.775</v>
      </c>
      <c r="Q26">
        <v>15594941.699999999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5955-6A86-4C2F-B370-4F14B1D3A643}">
  <sheetPr>
    <tabColor theme="4" tint="-0.249977111117893"/>
  </sheetPr>
  <dimension ref="B2:Z75"/>
  <sheetViews>
    <sheetView tabSelected="1" topLeftCell="A45" zoomScale="80" zoomScaleNormal="80" workbookViewId="0">
      <selection activeCell="U75" sqref="U75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6640625" customWidth="1"/>
    <col min="7" max="11" width="12" bestFit="1" customWidth="1"/>
    <col min="12" max="21" width="12.5546875" bestFit="1" customWidth="1"/>
    <col min="23" max="23" width="12.6640625" bestFit="1" customWidth="1"/>
    <col min="24" max="24" width="13.77734375" bestFit="1" customWidth="1"/>
    <col min="25" max="25" width="21.109375" bestFit="1" customWidth="1"/>
    <col min="26" max="26" width="15.5546875" bestFit="1" customWidth="1"/>
  </cols>
  <sheetData>
    <row r="2" spans="2:21" ht="18.600000000000001" thickBot="1" x14ac:dyDescent="0.4">
      <c r="B2" s="78" t="s">
        <v>48</v>
      </c>
      <c r="C2" s="78"/>
      <c r="D2" s="78"/>
      <c r="E2" s="78"/>
      <c r="G2" s="78" t="s">
        <v>41</v>
      </c>
      <c r="H2" s="78"/>
      <c r="I2" s="78"/>
      <c r="J2" s="78"/>
      <c r="K2" s="78"/>
      <c r="M2" s="30"/>
      <c r="N2" s="30"/>
      <c r="O2" s="30"/>
      <c r="P2" s="30"/>
      <c r="Q2" s="30"/>
    </row>
    <row r="3" spans="2:21" ht="15" customHeight="1" x14ac:dyDescent="0.35">
      <c r="G3" s="5"/>
      <c r="H3" s="5"/>
      <c r="I3" s="5"/>
      <c r="J3" s="5"/>
    </row>
    <row r="4" spans="2:21" x14ac:dyDescent="0.3">
      <c r="B4" s="51" t="s">
        <v>49</v>
      </c>
      <c r="C4" s="51"/>
      <c r="D4" s="51" t="s">
        <v>40</v>
      </c>
      <c r="E4" s="51"/>
      <c r="G4" s="51" t="s">
        <v>17</v>
      </c>
      <c r="H4" s="51"/>
      <c r="I4" s="51"/>
      <c r="J4" s="19">
        <v>0.06</v>
      </c>
      <c r="K4" s="17" t="s">
        <v>29</v>
      </c>
      <c r="L4" s="47"/>
      <c r="M4" s="47"/>
      <c r="N4" s="47"/>
      <c r="O4" s="47"/>
      <c r="P4" s="47"/>
      <c r="R4" s="27" t="s">
        <v>42</v>
      </c>
      <c r="S4" s="28">
        <v>959.36</v>
      </c>
      <c r="T4" s="21" t="s">
        <v>132</v>
      </c>
      <c r="U4" s="31">
        <v>45946</v>
      </c>
    </row>
    <row r="5" spans="2:21" x14ac:dyDescent="0.3">
      <c r="B5" s="47" t="s">
        <v>50</v>
      </c>
      <c r="C5" s="47"/>
      <c r="D5" s="47" t="s">
        <v>134</v>
      </c>
      <c r="E5" s="47"/>
      <c r="G5" s="51" t="s">
        <v>44</v>
      </c>
      <c r="H5" s="51"/>
      <c r="I5" s="51"/>
      <c r="J5" s="20">
        <v>15</v>
      </c>
      <c r="K5" s="21" t="s">
        <v>45</v>
      </c>
      <c r="L5" s="81"/>
      <c r="M5" s="81"/>
      <c r="N5" s="81"/>
      <c r="O5" s="81"/>
      <c r="P5" s="81"/>
      <c r="R5" s="27" t="s">
        <v>43</v>
      </c>
      <c r="S5" s="28">
        <v>39521.26</v>
      </c>
      <c r="T5" s="21" t="s">
        <v>133</v>
      </c>
      <c r="U5" s="31">
        <v>45946</v>
      </c>
    </row>
    <row r="6" spans="2:21" x14ac:dyDescent="0.3">
      <c r="B6" s="47" t="s">
        <v>51</v>
      </c>
      <c r="C6" s="47"/>
      <c r="D6" s="47" t="s">
        <v>134</v>
      </c>
      <c r="E6" s="47"/>
      <c r="G6" s="84" t="s">
        <v>95</v>
      </c>
      <c r="H6" s="84"/>
      <c r="I6" s="84"/>
      <c r="J6" s="21">
        <v>10</v>
      </c>
      <c r="K6" s="21" t="s">
        <v>45</v>
      </c>
      <c r="L6" s="81"/>
      <c r="M6" s="81"/>
      <c r="N6" s="81"/>
      <c r="O6" s="81"/>
      <c r="P6" s="81"/>
    </row>
    <row r="7" spans="2:21" x14ac:dyDescent="0.3">
      <c r="B7" s="47" t="s">
        <v>52</v>
      </c>
      <c r="C7" s="47"/>
      <c r="D7" s="47" t="s">
        <v>135</v>
      </c>
      <c r="E7" s="47"/>
      <c r="G7" s="84" t="s">
        <v>116</v>
      </c>
      <c r="H7" s="84"/>
      <c r="I7" s="84"/>
      <c r="J7" s="22">
        <f>(SUMIF($F$12:$U$12,"&lt;="&amp;$J$6,$F$17:$U$17)) / ($J$6)</f>
        <v>892797.1</v>
      </c>
      <c r="K7" s="21" t="s">
        <v>96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47" t="s">
        <v>53</v>
      </c>
      <c r="C8" s="47"/>
      <c r="D8" s="47" t="s">
        <v>136</v>
      </c>
      <c r="E8" s="47"/>
      <c r="G8" s="84" t="s">
        <v>117</v>
      </c>
      <c r="H8" s="84"/>
      <c r="I8" s="84"/>
      <c r="J8" s="22">
        <f>(SUMIF($F$12:$U$12,"&lt;="&amp;$J$6,$F$18:$U$18)) / ($J$6)</f>
        <v>6201.7</v>
      </c>
      <c r="K8" s="21" t="s">
        <v>96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47" t="s">
        <v>54</v>
      </c>
      <c r="C9" s="47"/>
      <c r="D9" s="47" t="s">
        <v>136</v>
      </c>
      <c r="E9" s="47"/>
      <c r="G9" s="84" t="s">
        <v>118</v>
      </c>
      <c r="H9" s="84"/>
      <c r="I9" s="84"/>
      <c r="J9" s="22">
        <f>(SUMIF($F$12:$U$12,"&lt;="&amp;$J$6,$F$19:$U$19)) / ($J$6)</f>
        <v>22377.4</v>
      </c>
      <c r="K9" s="21" t="s">
        <v>96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64" t="s">
        <v>109</v>
      </c>
      <c r="C12" s="64"/>
      <c r="D12" s="64"/>
      <c r="E12" s="23" t="s">
        <v>46</v>
      </c>
      <c r="F12" s="25">
        <v>0</v>
      </c>
      <c r="G12" s="25">
        <v>1</v>
      </c>
      <c r="H12" s="25">
        <v>2</v>
      </c>
      <c r="I12" s="25">
        <v>3</v>
      </c>
      <c r="J12" s="25">
        <v>4</v>
      </c>
      <c r="K12" s="25">
        <v>5</v>
      </c>
      <c r="L12" s="25">
        <v>6</v>
      </c>
      <c r="M12" s="25">
        <v>7</v>
      </c>
      <c r="N12" s="25">
        <v>8</v>
      </c>
      <c r="O12" s="25">
        <v>9</v>
      </c>
      <c r="P12" s="25">
        <v>10</v>
      </c>
      <c r="Q12" s="25">
        <v>11</v>
      </c>
      <c r="R12" s="25">
        <v>12</v>
      </c>
      <c r="S12" s="25">
        <v>13</v>
      </c>
      <c r="T12" s="25">
        <v>14</v>
      </c>
      <c r="U12" s="25">
        <v>15</v>
      </c>
    </row>
    <row r="13" spans="2:21" x14ac:dyDescent="0.3">
      <c r="B13" s="65"/>
      <c r="C13" s="65"/>
      <c r="D13" s="65"/>
      <c r="E13" s="24" t="s">
        <v>47</v>
      </c>
      <c r="F13" s="26">
        <v>2025</v>
      </c>
      <c r="G13" s="26">
        <v>2026</v>
      </c>
      <c r="H13" s="26">
        <v>2027</v>
      </c>
      <c r="I13" s="26">
        <v>2028</v>
      </c>
      <c r="J13" s="26">
        <v>2029</v>
      </c>
      <c r="K13" s="26">
        <v>2030</v>
      </c>
      <c r="L13" s="26">
        <v>2031</v>
      </c>
      <c r="M13" s="26">
        <v>2032</v>
      </c>
      <c r="N13" s="26">
        <v>2033</v>
      </c>
      <c r="O13" s="26">
        <v>2034</v>
      </c>
      <c r="P13" s="26">
        <v>2035</v>
      </c>
      <c r="Q13" s="26">
        <v>2036</v>
      </c>
      <c r="R13" s="26">
        <v>2037</v>
      </c>
      <c r="S13" s="26">
        <v>2038</v>
      </c>
      <c r="T13" s="26">
        <v>2039</v>
      </c>
      <c r="U13" s="26">
        <v>2040</v>
      </c>
    </row>
    <row r="14" spans="2:21" x14ac:dyDescent="0.3"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</row>
    <row r="15" spans="2:21" x14ac:dyDescent="0.3">
      <c r="B15" s="48" t="s">
        <v>110</v>
      </c>
      <c r="C15" s="52" t="s">
        <v>126</v>
      </c>
      <c r="D15" s="53"/>
      <c r="E15" s="53"/>
      <c r="F15" s="4">
        <f>CB_SMI_Mixto!B2/1000</f>
        <v>34765.766042480063</v>
      </c>
      <c r="G15" s="4">
        <f>CB_SMI_Mixto!C2/1000</f>
        <v>35815.692176962955</v>
      </c>
      <c r="H15" s="4">
        <f>CB_SMI_Mixto!D2/1000</f>
        <v>36897.326080707237</v>
      </c>
      <c r="I15" s="4">
        <f>CB_SMI_Mixto!E2/1000</f>
        <v>38011.625328344599</v>
      </c>
      <c r="J15" s="4">
        <f>CB_SMI_Mixto!F2/1000</f>
        <v>39159.576413260605</v>
      </c>
      <c r="K15" s="4">
        <f>CB_SMI_Mixto!G2/1000</f>
        <v>40342.195620941086</v>
      </c>
      <c r="L15" s="4">
        <f>CB_SMI_Mixto!H2/1000</f>
        <v>41560.529928693504</v>
      </c>
      <c r="M15" s="4">
        <f>CB_SMI_Mixto!I2/1000</f>
        <v>42815.657932540038</v>
      </c>
      <c r="N15" s="4">
        <f>CB_SMI_Mixto!J2/1000</f>
        <v>44108.690802102763</v>
      </c>
      <c r="O15" s="4">
        <f>CB_SMI_Mixto!K2/1000</f>
        <v>45440.773264326257</v>
      </c>
      <c r="P15" s="4">
        <f>CB_SMI_Mixto!L2/1000</f>
        <v>46813.084616908905</v>
      </c>
      <c r="Q15" s="4">
        <f>CB_SMI_Mixto!M2/1000</f>
        <v>48226.839772339561</v>
      </c>
      <c r="R15" s="4">
        <f>CB_SMI_Mixto!N2/1000</f>
        <v>49683.290333464211</v>
      </c>
      <c r="S15" s="4">
        <f>CB_SMI_Mixto!O2/1000</f>
        <v>51183.725701534837</v>
      </c>
      <c r="T15" s="4">
        <f>CB_SMI_Mixto!P2/1000</f>
        <v>52729.474217721188</v>
      </c>
      <c r="U15" s="4">
        <f>CB_SMI_Mixto!Q2/1000</f>
        <v>54321.904339096371</v>
      </c>
    </row>
    <row r="16" spans="2:21" x14ac:dyDescent="0.3">
      <c r="B16" s="49"/>
      <c r="C16" s="54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</row>
    <row r="17" spans="2:26" x14ac:dyDescent="0.3">
      <c r="B17" s="49"/>
      <c r="C17" s="66" t="s">
        <v>103</v>
      </c>
      <c r="D17" s="67"/>
      <c r="E17" s="67"/>
      <c r="F17" s="13">
        <f>CB_SMI_Mixto!B3</f>
        <v>7706817</v>
      </c>
      <c r="G17" s="13">
        <f>CB_SMI_Mixto!C3</f>
        <v>113821</v>
      </c>
      <c r="H17" s="13">
        <f>CB_SMI_Mixto!D3</f>
        <v>115591</v>
      </c>
      <c r="I17" s="13">
        <f>CB_SMI_Mixto!E3</f>
        <v>117376</v>
      </c>
      <c r="J17" s="13">
        <f>CB_SMI_Mixto!F3</f>
        <v>119200</v>
      </c>
      <c r="K17" s="13">
        <f>CB_SMI_Mixto!G3</f>
        <v>121056</v>
      </c>
      <c r="L17" s="13">
        <f>CB_SMI_Mixto!H3</f>
        <v>122935</v>
      </c>
      <c r="M17" s="13">
        <f>CB_SMI_Mixto!I3</f>
        <v>124861</v>
      </c>
      <c r="N17" s="13">
        <f>CB_SMI_Mixto!J3</f>
        <v>126789</v>
      </c>
      <c r="O17" s="13">
        <f>CB_SMI_Mixto!K3</f>
        <v>128764</v>
      </c>
      <c r="P17" s="13">
        <f>CB_SMI_Mixto!L3</f>
        <v>130761</v>
      </c>
      <c r="Q17" s="13">
        <f>CB_SMI_Mixto!M3</f>
        <v>132814</v>
      </c>
      <c r="R17" s="13">
        <f>CB_SMI_Mixto!N3</f>
        <v>134885</v>
      </c>
      <c r="S17" s="13">
        <f>CB_SMI_Mixto!O3</f>
        <v>136990</v>
      </c>
      <c r="T17" s="13">
        <f>CB_SMI_Mixto!P3</f>
        <v>139136</v>
      </c>
      <c r="U17" s="13">
        <f>CB_SMI_Mixto!Q3</f>
        <v>141300</v>
      </c>
    </row>
    <row r="18" spans="2:26" x14ac:dyDescent="0.3">
      <c r="B18" s="49"/>
      <c r="C18" s="66" t="s">
        <v>104</v>
      </c>
      <c r="D18" s="67"/>
      <c r="E18" s="67"/>
      <c r="F18" s="13">
        <f>CB_SMI_Mixto!B4</f>
        <v>56511</v>
      </c>
      <c r="G18" s="13">
        <f>CB_SMI_Mixto!C4</f>
        <v>514</v>
      </c>
      <c r="H18" s="13">
        <f>CB_SMI_Mixto!D4</f>
        <v>519</v>
      </c>
      <c r="I18" s="13">
        <f>CB_SMI_Mixto!E4</f>
        <v>528</v>
      </c>
      <c r="J18" s="13">
        <f>CB_SMI_Mixto!F4</f>
        <v>539</v>
      </c>
      <c r="K18" s="13">
        <f>CB_SMI_Mixto!G4</f>
        <v>549</v>
      </c>
      <c r="L18" s="13">
        <f>CB_SMI_Mixto!H4</f>
        <v>558</v>
      </c>
      <c r="M18" s="13">
        <f>CB_SMI_Mixto!I4</f>
        <v>564</v>
      </c>
      <c r="N18" s="13">
        <f>CB_SMI_Mixto!J4</f>
        <v>570</v>
      </c>
      <c r="O18" s="13">
        <f>CB_SMI_Mixto!K4</f>
        <v>576</v>
      </c>
      <c r="P18" s="13">
        <f>CB_SMI_Mixto!L4</f>
        <v>589</v>
      </c>
      <c r="Q18" s="13">
        <f>CB_SMI_Mixto!M4</f>
        <v>594</v>
      </c>
      <c r="R18" s="13">
        <f>CB_SMI_Mixto!N4</f>
        <v>602</v>
      </c>
      <c r="S18" s="13">
        <f>CB_SMI_Mixto!O4</f>
        <v>612</v>
      </c>
      <c r="T18" s="13">
        <f>CB_SMI_Mixto!P4</f>
        <v>621</v>
      </c>
      <c r="U18" s="13">
        <f>CB_SMI_Mixto!Q4</f>
        <v>632</v>
      </c>
    </row>
    <row r="19" spans="2:26" x14ac:dyDescent="0.3">
      <c r="B19" s="50"/>
      <c r="C19" s="66" t="s">
        <v>105</v>
      </c>
      <c r="D19" s="67"/>
      <c r="E19" s="67"/>
      <c r="F19" s="14">
        <f>CB_SMI_Mixto!B5</f>
        <v>216250</v>
      </c>
      <c r="G19" s="14">
        <f>CB_SMI_Mixto!C5</f>
        <v>739</v>
      </c>
      <c r="H19" s="14">
        <f>CB_SMI_Mixto!D5</f>
        <v>739</v>
      </c>
      <c r="I19" s="14">
        <f>CB_SMI_Mixto!E5</f>
        <v>744</v>
      </c>
      <c r="J19" s="14">
        <f>CB_SMI_Mixto!F5</f>
        <v>746</v>
      </c>
      <c r="K19" s="14">
        <f>CB_SMI_Mixto!G5</f>
        <v>755</v>
      </c>
      <c r="L19" s="14">
        <f>CB_SMI_Mixto!H5</f>
        <v>755</v>
      </c>
      <c r="M19" s="14">
        <f>CB_SMI_Mixto!I5</f>
        <v>760</v>
      </c>
      <c r="N19" s="14">
        <f>CB_SMI_Mixto!J5</f>
        <v>762</v>
      </c>
      <c r="O19" s="14">
        <f>CB_SMI_Mixto!K5</f>
        <v>762</v>
      </c>
      <c r="P19" s="14">
        <f>CB_SMI_Mixto!L5</f>
        <v>762</v>
      </c>
      <c r="Q19" s="14">
        <f>CB_SMI_Mixto!M5</f>
        <v>767</v>
      </c>
      <c r="R19" s="14">
        <f>CB_SMI_Mixto!N5</f>
        <v>773</v>
      </c>
      <c r="S19" s="14">
        <f>CB_SMI_Mixto!O5</f>
        <v>779</v>
      </c>
      <c r="T19" s="14">
        <f>CB_SMI_Mixto!P5</f>
        <v>785</v>
      </c>
      <c r="U19" s="14">
        <f>CB_SMI_Mixto!Q5</f>
        <v>793</v>
      </c>
    </row>
    <row r="20" spans="2:26" x14ac:dyDescent="0.3">
      <c r="B20" s="11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</row>
    <row r="21" spans="2:26" x14ac:dyDescent="0.3">
      <c r="B21" s="85" t="s">
        <v>94</v>
      </c>
      <c r="C21" s="69" t="s">
        <v>113</v>
      </c>
      <c r="D21" s="70"/>
      <c r="E21" s="70"/>
      <c r="F21" s="10">
        <v>0</v>
      </c>
      <c r="G21" s="12">
        <f>IF(G$12&lt;=$J$6,$J7,G17)</f>
        <v>892797.1</v>
      </c>
      <c r="H21" s="12">
        <f t="shared" ref="H21:U21" si="1">IF(H$12&lt;=$J$6,$J7,H17)</f>
        <v>892797.1</v>
      </c>
      <c r="I21" s="12">
        <f t="shared" si="1"/>
        <v>892797.1</v>
      </c>
      <c r="J21" s="12">
        <f t="shared" si="1"/>
        <v>892797.1</v>
      </c>
      <c r="K21" s="12">
        <f t="shared" si="1"/>
        <v>892797.1</v>
      </c>
      <c r="L21" s="12">
        <f t="shared" si="1"/>
        <v>892797.1</v>
      </c>
      <c r="M21" s="12">
        <f t="shared" si="1"/>
        <v>892797.1</v>
      </c>
      <c r="N21" s="12">
        <f t="shared" si="1"/>
        <v>892797.1</v>
      </c>
      <c r="O21" s="12">
        <f t="shared" si="1"/>
        <v>892797.1</v>
      </c>
      <c r="P21" s="12">
        <f t="shared" si="1"/>
        <v>892797.1</v>
      </c>
      <c r="Q21" s="12">
        <f t="shared" si="1"/>
        <v>132814</v>
      </c>
      <c r="R21" s="12">
        <f t="shared" si="1"/>
        <v>134885</v>
      </c>
      <c r="S21" s="12">
        <f t="shared" si="1"/>
        <v>136990</v>
      </c>
      <c r="T21" s="12">
        <f t="shared" si="1"/>
        <v>139136</v>
      </c>
      <c r="U21" s="12">
        <f t="shared" si="1"/>
        <v>141300</v>
      </c>
    </row>
    <row r="22" spans="2:26" x14ac:dyDescent="0.3">
      <c r="B22" s="86"/>
      <c r="C22" s="69" t="s">
        <v>114</v>
      </c>
      <c r="D22" s="70"/>
      <c r="E22" s="70"/>
      <c r="F22" s="10">
        <v>0</v>
      </c>
      <c r="G22" s="12">
        <f>IF(G$12&lt;=$J$6,$J8,G18)</f>
        <v>6201.7</v>
      </c>
      <c r="H22" s="12">
        <f t="shared" ref="H22:U22" si="2">IF(H$12&lt;=$J$6,$J8,H18)</f>
        <v>6201.7</v>
      </c>
      <c r="I22" s="12">
        <f t="shared" si="2"/>
        <v>6201.7</v>
      </c>
      <c r="J22" s="12">
        <f t="shared" si="2"/>
        <v>6201.7</v>
      </c>
      <c r="K22" s="12">
        <f t="shared" si="2"/>
        <v>6201.7</v>
      </c>
      <c r="L22" s="12">
        <f t="shared" si="2"/>
        <v>6201.7</v>
      </c>
      <c r="M22" s="12">
        <f t="shared" si="2"/>
        <v>6201.7</v>
      </c>
      <c r="N22" s="12">
        <f>IF(N$12&lt;=$J$6,$J8,N18)</f>
        <v>6201.7</v>
      </c>
      <c r="O22" s="12">
        <f t="shared" si="2"/>
        <v>6201.7</v>
      </c>
      <c r="P22" s="12">
        <f t="shared" si="2"/>
        <v>6201.7</v>
      </c>
      <c r="Q22" s="12">
        <f t="shared" si="2"/>
        <v>594</v>
      </c>
      <c r="R22" s="12">
        <f t="shared" si="2"/>
        <v>602</v>
      </c>
      <c r="S22" s="12">
        <f t="shared" si="2"/>
        <v>612</v>
      </c>
      <c r="T22" s="12">
        <f t="shared" si="2"/>
        <v>621</v>
      </c>
      <c r="U22" s="12">
        <f t="shared" si="2"/>
        <v>632</v>
      </c>
    </row>
    <row r="23" spans="2:26" x14ac:dyDescent="0.3">
      <c r="B23" s="86"/>
      <c r="C23" s="69" t="s">
        <v>115</v>
      </c>
      <c r="D23" s="70"/>
      <c r="E23" s="70"/>
      <c r="F23" s="10">
        <v>0</v>
      </c>
      <c r="G23" s="12">
        <f>IF(G$12&lt;=$J$6,$J9,G19)</f>
        <v>22377.4</v>
      </c>
      <c r="H23" s="12">
        <f t="shared" ref="H23:U23" si="3">IF(H$12&lt;=$J$6,$J9,H19)</f>
        <v>22377.4</v>
      </c>
      <c r="I23" s="12">
        <f t="shared" si="3"/>
        <v>22377.4</v>
      </c>
      <c r="J23" s="12">
        <f t="shared" si="3"/>
        <v>22377.4</v>
      </c>
      <c r="K23" s="12">
        <f t="shared" si="3"/>
        <v>22377.4</v>
      </c>
      <c r="L23" s="12">
        <f t="shared" si="3"/>
        <v>22377.4</v>
      </c>
      <c r="M23" s="12">
        <f t="shared" si="3"/>
        <v>22377.4</v>
      </c>
      <c r="N23" s="12">
        <f t="shared" si="3"/>
        <v>22377.4</v>
      </c>
      <c r="O23" s="12">
        <f t="shared" si="3"/>
        <v>22377.4</v>
      </c>
      <c r="P23" s="12">
        <f t="shared" si="3"/>
        <v>22377.4</v>
      </c>
      <c r="Q23" s="12">
        <f t="shared" si="3"/>
        <v>767</v>
      </c>
      <c r="R23" s="12">
        <f t="shared" si="3"/>
        <v>773</v>
      </c>
      <c r="S23" s="12">
        <f t="shared" si="3"/>
        <v>779</v>
      </c>
      <c r="T23" s="12">
        <f t="shared" si="3"/>
        <v>785</v>
      </c>
      <c r="U23" s="12">
        <f t="shared" si="3"/>
        <v>793</v>
      </c>
    </row>
    <row r="24" spans="2:26" x14ac:dyDescent="0.3">
      <c r="B24" s="86"/>
      <c r="C24" s="54" t="s">
        <v>102</v>
      </c>
      <c r="D24" s="55"/>
      <c r="E24" s="55"/>
      <c r="F24" s="4">
        <f>SUM(F17:F19)</f>
        <v>7979578</v>
      </c>
      <c r="G24" s="7">
        <f>SUM(F24,G17:G19)-SUM(G21:G23)</f>
        <v>7173275.7999999998</v>
      </c>
      <c r="H24" s="7">
        <f t="shared" ref="H24:U24" si="4">SUM(G24,H17:H19)-SUM(H21:H23)</f>
        <v>6368748.5999999996</v>
      </c>
      <c r="I24" s="7">
        <f t="shared" si="4"/>
        <v>5566020.3999999994</v>
      </c>
      <c r="J24" s="7">
        <f t="shared" si="4"/>
        <v>4765129.1999999993</v>
      </c>
      <c r="K24" s="7">
        <f t="shared" si="4"/>
        <v>3966112.9999999991</v>
      </c>
      <c r="L24" s="7">
        <f t="shared" si="4"/>
        <v>3168984.7999999989</v>
      </c>
      <c r="M24" s="7">
        <f t="shared" si="4"/>
        <v>2373793.5999999987</v>
      </c>
      <c r="N24" s="7">
        <f t="shared" si="4"/>
        <v>1580538.3999999987</v>
      </c>
      <c r="O24" s="7">
        <f>SUM(N24,O17:O19)-SUM(O21:O23)</f>
        <v>789264.19999999879</v>
      </c>
      <c r="P24" s="7">
        <f>SUM(O24,P17:P19)-SUM(P21:P23)</f>
        <v>-1.1641532182693481E-9</v>
      </c>
      <c r="Q24" s="7">
        <f>SUM(P24,Q17:Q19)-SUM(Q21:Q23)</f>
        <v>-1.1641532182693481E-9</v>
      </c>
      <c r="R24" s="7">
        <f t="shared" si="4"/>
        <v>-1.1641532182693481E-9</v>
      </c>
      <c r="S24" s="7">
        <f t="shared" si="4"/>
        <v>-1.1641532182693481E-9</v>
      </c>
      <c r="T24" s="7">
        <f t="shared" si="4"/>
        <v>-1.1641532182693481E-9</v>
      </c>
      <c r="U24" s="7">
        <f t="shared" si="4"/>
        <v>-1.1641532182693481E-9</v>
      </c>
    </row>
    <row r="25" spans="2:26" x14ac:dyDescent="0.3">
      <c r="B25" s="87"/>
      <c r="C25" s="68" t="s">
        <v>97</v>
      </c>
      <c r="D25" s="68"/>
      <c r="E25" s="68"/>
      <c r="F25" s="18">
        <v>0</v>
      </c>
      <c r="G25" s="18">
        <f>IF(G$12&lt;=$J$6,SUM($F$21:G23)/SUM($F$17:G19),1)</f>
        <v>0.1138253009517889</v>
      </c>
      <c r="H25" s="18">
        <f>IF(H$12&lt;=$J$6,SUM($F$21:H23)/SUM($F$17:H19),1)</f>
        <v>0.22441115211457682</v>
      </c>
      <c r="I25" s="18">
        <f>IF(I$12&lt;=$J$6,SUM($F$21:I23)/SUM($F$17:I19),1)</f>
        <v>0.33182222790972887</v>
      </c>
      <c r="J25" s="18">
        <f>IF(J$12&lt;=$J$6,SUM($F$21:J23)/SUM($F$17:J19),1)</f>
        <v>0.43612169217126195</v>
      </c>
      <c r="K25" s="18">
        <f>IF(K$12&lt;=$J$6,SUM($F$21:K23)/SUM($F$17:K19),1)</f>
        <v>0.5373713080867667</v>
      </c>
      <c r="L25" s="18">
        <f>IF(L$12&lt;=$J$6,SUM($F$21:L23)/SUM($F$17:L19),1)</f>
        <v>0.63563336515184965</v>
      </c>
      <c r="M25" s="18">
        <f>IF(M$12&lt;=$J$6,SUM($F$21:M23)/SUM($F$17:M19),1)</f>
        <v>0.73096693608957186</v>
      </c>
      <c r="N25" s="18">
        <f>IF(N$12&lt;=$J$6,SUM($F$21:N23)/SUM($F$17:N19),1)</f>
        <v>0.82343406972738165</v>
      </c>
      <c r="O25" s="18">
        <f>IF(O$12&lt;=$J$6,SUM($F$21:O23)/SUM($F$17:O19),1)</f>
        <v>0.91309242263245149</v>
      </c>
      <c r="P25" s="18">
        <f>IF(P$12&lt;=$J$6,SUM($F$21:P23)/SUM($F$17:P19),1)</f>
        <v>0.99999999999999944</v>
      </c>
      <c r="Q25" s="18">
        <f>IF(Q$12&lt;=$J$6,SUM($F$21:Q23)/SUM($F$17:Q19),1)</f>
        <v>1</v>
      </c>
      <c r="R25" s="18">
        <f>IF(R$12&lt;=$J$6,SUM($F$21:R23)/SUM($F$17:R19),1)</f>
        <v>1</v>
      </c>
      <c r="S25" s="18">
        <f>IF(S$12&lt;=$J$6,SUM($F$21:S23)/SUM($F$17:S19),1)</f>
        <v>1</v>
      </c>
      <c r="T25" s="18">
        <f>IF(T$12&lt;=$J$6,SUM($F$21:T23)/SUM($F$17:T19),1)</f>
        <v>1</v>
      </c>
      <c r="U25" s="18">
        <f>IF(U$12&lt;=$J$6,SUM($F$21:U23)/SUM($F$17:U19),1)</f>
        <v>1</v>
      </c>
    </row>
    <row r="26" spans="2:26" ht="28.2" customHeight="1" x14ac:dyDescent="0.3"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</row>
    <row r="27" spans="2:26" x14ac:dyDescent="0.3">
      <c r="B27" s="72" t="s">
        <v>112</v>
      </c>
      <c r="C27" s="73"/>
      <c r="D27" s="74"/>
      <c r="E27" s="23" t="s">
        <v>46</v>
      </c>
      <c r="F27" s="25">
        <v>0</v>
      </c>
      <c r="G27" s="25">
        <v>1</v>
      </c>
      <c r="H27" s="25">
        <v>2</v>
      </c>
      <c r="I27" s="25">
        <v>3</v>
      </c>
      <c r="J27" s="25">
        <v>4</v>
      </c>
      <c r="K27" s="25">
        <v>5</v>
      </c>
      <c r="L27" s="25">
        <v>6</v>
      </c>
      <c r="M27" s="25">
        <v>7</v>
      </c>
      <c r="N27" s="25">
        <v>8</v>
      </c>
      <c r="O27" s="25">
        <v>9</v>
      </c>
      <c r="P27" s="25">
        <v>10</v>
      </c>
      <c r="Q27" s="25">
        <v>11</v>
      </c>
      <c r="R27" s="25">
        <v>12</v>
      </c>
      <c r="S27" s="25">
        <v>13</v>
      </c>
      <c r="T27" s="25">
        <v>14</v>
      </c>
      <c r="U27" s="25">
        <v>15</v>
      </c>
    </row>
    <row r="28" spans="2:26" x14ac:dyDescent="0.3">
      <c r="B28" s="75"/>
      <c r="C28" s="76"/>
      <c r="D28" s="77"/>
      <c r="E28" s="24" t="s">
        <v>47</v>
      </c>
      <c r="F28" s="26">
        <v>2025</v>
      </c>
      <c r="G28" s="26">
        <v>2026</v>
      </c>
      <c r="H28" s="26">
        <v>2027</v>
      </c>
      <c r="I28" s="26">
        <v>2028</v>
      </c>
      <c r="J28" s="26">
        <v>2029</v>
      </c>
      <c r="K28" s="26">
        <v>2030</v>
      </c>
      <c r="L28" s="26">
        <v>2031</v>
      </c>
      <c r="M28" s="26">
        <v>2032</v>
      </c>
      <c r="N28" s="26">
        <v>2033</v>
      </c>
      <c r="O28" s="26">
        <v>2034</v>
      </c>
      <c r="P28" s="26">
        <v>2035</v>
      </c>
      <c r="Q28" s="26">
        <v>2036</v>
      </c>
      <c r="R28" s="26">
        <v>2037</v>
      </c>
      <c r="S28" s="26">
        <v>2038</v>
      </c>
      <c r="T28" s="26">
        <v>2039</v>
      </c>
      <c r="U28" s="26">
        <v>2040</v>
      </c>
      <c r="W28" s="40" t="s">
        <v>170</v>
      </c>
      <c r="X28" s="40" t="s">
        <v>171</v>
      </c>
      <c r="Y28" s="1" t="s">
        <v>172</v>
      </c>
      <c r="Z28" s="41" t="s">
        <v>169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6" t="s">
        <v>106</v>
      </c>
      <c r="C30" s="45" t="s">
        <v>55</v>
      </c>
      <c r="D30" s="46"/>
      <c r="E30" s="46"/>
      <c r="F30" s="9">
        <v>0</v>
      </c>
      <c r="G30" s="9">
        <f>((-CB_SMI_Mixto!C7)*G21)/1000000</f>
        <v>-135.87916747213868</v>
      </c>
      <c r="H30" s="9">
        <f>((-CB_SMI_Mixto!D7)*H21)/1000000</f>
        <v>-135.88458296247273</v>
      </c>
      <c r="I30" s="9">
        <f>((-CB_SMI_Mixto!E7)*I21)/1000000</f>
        <v>-135.89358140913603</v>
      </c>
      <c r="J30" s="9">
        <f>((-CB_SMI_Mixto!F7)*J21)/1000000</f>
        <v>-135.89592986329012</v>
      </c>
      <c r="K30" s="9">
        <f>((-CB_SMI_Mixto!G7)*K21)/1000000</f>
        <v>-135.9026266441783</v>
      </c>
      <c r="L30" s="9">
        <f>((-CB_SMI_Mixto!H7)*L21)/1000000</f>
        <v>-135.91309046301589</v>
      </c>
      <c r="M30" s="9">
        <f>((-CB_SMI_Mixto!I7)*M21)/1000000</f>
        <v>-135.91979619093567</v>
      </c>
      <c r="N30" s="9">
        <f>((-CB_SMI_Mixto!J7)*N21)/1000000</f>
        <v>-135.92279723063939</v>
      </c>
      <c r="O30" s="9">
        <f>((-CB_SMI_Mixto!K7)*O21)/1000000</f>
        <v>-135.93184626861242</v>
      </c>
      <c r="P30" s="9">
        <f>((-CB_SMI_Mixto!L7)*P21)/1000000</f>
        <v>-135.93565804075382</v>
      </c>
      <c r="Q30" s="9">
        <f>((-CB_SMI_Mixto!M7)*Q21)/1000000</f>
        <v>-20.223221447200366</v>
      </c>
      <c r="R30" s="9">
        <f>((-CB_SMI_Mixto!N7)*R21)/1000000</f>
        <v>-20.539860707082969</v>
      </c>
      <c r="S30" s="9">
        <f>((-CB_SMI_Mixto!O7)*S21)/1000000</f>
        <v>-20.861326318049475</v>
      </c>
      <c r="T30" s="9">
        <f>((-CB_SMI_Mixto!P7)*T21)/1000000</f>
        <v>-21.189057200099885</v>
      </c>
      <c r="U30" s="9">
        <f>((-CB_SMI_Mixto!Q7)*U21)/1000000</f>
        <v>-21.51947532390087</v>
      </c>
      <c r="W30" s="37">
        <f>NPV($D$68,G30:U30)+F30</f>
        <v>-1049.2641554036766</v>
      </c>
      <c r="X30" s="37">
        <f t="shared" ref="X30:X45" si="5">PMT($D$68,15,-W30)</f>
        <v>-108.03513755959931</v>
      </c>
      <c r="Y30" s="37">
        <f>W30*1000000/7744865</f>
        <v>-135.4786888349476</v>
      </c>
      <c r="Z30" s="32">
        <f t="shared" ref="Z30:Z36" si="6">W30/$W$36</f>
        <v>0.74027661389292043</v>
      </c>
    </row>
    <row r="31" spans="2:26" x14ac:dyDescent="0.3">
      <c r="B31" s="57"/>
      <c r="C31" s="45" t="s">
        <v>56</v>
      </c>
      <c r="D31" s="46"/>
      <c r="E31" s="46"/>
      <c r="F31" s="9">
        <v>0</v>
      </c>
      <c r="G31" s="9">
        <f>((-CB_SMI_Mixto!C8)*G22)/1000000</f>
        <v>-2.1361799068706557</v>
      </c>
      <c r="H31" s="9">
        <f>((-CB_SMI_Mixto!D8)*H22)/1000000</f>
        <v>-2.1355258177085092</v>
      </c>
      <c r="I31" s="9">
        <f>((-CB_SMI_Mixto!E8)*I22)/1000000</f>
        <v>-2.1376678375975553</v>
      </c>
      <c r="J31" s="9">
        <f>((-CB_SMI_Mixto!F8)*J22)/1000000</f>
        <v>-2.1380415425183137</v>
      </c>
      <c r="K31" s="9">
        <f>((-CB_SMI_Mixto!G8)*K22)/1000000</f>
        <v>-2.1385278207636307</v>
      </c>
      <c r="L31" s="9">
        <f>((-CB_SMI_Mixto!H8)*L22)/1000000</f>
        <v>-2.1391232344033964</v>
      </c>
      <c r="M31" s="9">
        <f>((-CB_SMI_Mixto!I8)*M22)/1000000</f>
        <v>-2.1390525804619838</v>
      </c>
      <c r="N31" s="9">
        <f>((-CB_SMI_Mixto!J8)*N22)/1000000</f>
        <v>-2.1389843396926733</v>
      </c>
      <c r="O31" s="9">
        <f>((-CB_SMI_Mixto!K8)*O22)/1000000</f>
        <v>-2.1387487853778127</v>
      </c>
      <c r="P31" s="9">
        <f>((-CB_SMI_Mixto!L8)*P22)/1000000</f>
        <v>-2.1378478780785795</v>
      </c>
      <c r="Q31" s="9">
        <f>((-CB_SMI_Mixto!M8)*Q22)/1000000</f>
        <v>-0.20480074094359302</v>
      </c>
      <c r="R31" s="9">
        <f>((-CB_SMI_Mixto!N8)*R22)/1000000</f>
        <v>-0.20753090727725379</v>
      </c>
      <c r="S31" s="9">
        <f>((-CB_SMI_Mixto!O8)*S22)/1000000</f>
        <v>-0.21099037519432959</v>
      </c>
      <c r="T31" s="9">
        <f>((-CB_SMI_Mixto!P8)*T22)/1000000</f>
        <v>-0.21417849961156918</v>
      </c>
      <c r="U31" s="9">
        <f>((-CB_SMI_Mixto!Q8)*U22)/1000000</f>
        <v>-0.21794031419531179</v>
      </c>
      <c r="W31" s="37">
        <f t="shared" ref="W31:W56" si="7">NPV($D$68,G31:U31)+F31</f>
        <v>-16.230176912282943</v>
      </c>
      <c r="X31" s="37">
        <f t="shared" si="5"/>
        <v>-1.6711038743723545</v>
      </c>
      <c r="Y31" s="37">
        <f t="shared" ref="Y31:Y56" si="8">W31*1000000/7744865</f>
        <v>-2.0956048830138347</v>
      </c>
      <c r="Z31" s="32">
        <f t="shared" si="6"/>
        <v>1.1450710810649476E-2</v>
      </c>
    </row>
    <row r="32" spans="2:26" x14ac:dyDescent="0.3">
      <c r="B32" s="57"/>
      <c r="C32" s="45" t="s">
        <v>57</v>
      </c>
      <c r="D32" s="46"/>
      <c r="E32" s="46"/>
      <c r="F32" s="9">
        <v>0</v>
      </c>
      <c r="G32" s="9">
        <f>((-CB_SMI_Mixto!C9)*G23)/1000000</f>
        <v>-16.736535125474425</v>
      </c>
      <c r="H32" s="9">
        <f>((-CB_SMI_Mixto!D9)*H23)/1000000</f>
        <v>-16.736535125474425</v>
      </c>
      <c r="I32" s="9">
        <f>((-CB_SMI_Mixto!E9)*I23)/1000000</f>
        <v>-16.733846474467274</v>
      </c>
      <c r="J32" s="9">
        <f>((-CB_SMI_Mixto!F9)*J23)/1000000</f>
        <v>-16.735768994361056</v>
      </c>
      <c r="K32" s="9">
        <f>((-CB_SMI_Mixto!G9)*K23)/1000000</f>
        <v>-16.740603948342894</v>
      </c>
      <c r="L32" s="9">
        <f>((-CB_SMI_Mixto!H9)*L23)/1000000</f>
        <v>-16.740603948342894</v>
      </c>
      <c r="M32" s="9">
        <f>((-CB_SMI_Mixto!I9)*M23)/1000000</f>
        <v>-16.741611192927671</v>
      </c>
      <c r="N32" s="9">
        <f>((-CB_SMI_Mixto!J9)*N23)/1000000</f>
        <v>-16.739816526334156</v>
      </c>
      <c r="O32" s="9">
        <f>((-CB_SMI_Mixto!K9)*O23)/1000000</f>
        <v>-16.739816526334156</v>
      </c>
      <c r="P32" s="9">
        <f>((-CB_SMI_Mixto!L9)*P23)/1000000</f>
        <v>-16.739816526334156</v>
      </c>
      <c r="Q32" s="9">
        <f>((-CB_SMI_Mixto!M9)*Q23)/1000000</f>
        <v>-0.57380252927921804</v>
      </c>
      <c r="R32" s="9">
        <f>((-CB_SMI_Mixto!N9)*R23)/1000000</f>
        <v>-0.57835710094621195</v>
      </c>
      <c r="S32" s="9">
        <f>((-CB_SMI_Mixto!O9)*S23)/1000000</f>
        <v>-0.58284941769645748</v>
      </c>
      <c r="T32" s="9">
        <f>((-CB_SMI_Mixto!P9)*T23)/1000000</f>
        <v>-0.58727947952995463</v>
      </c>
      <c r="U32" s="9">
        <f>((-CB_SMI_Mixto!Q9)*U23)/1000000</f>
        <v>-0.59314472536345153</v>
      </c>
      <c r="W32" s="37">
        <f t="shared" si="7"/>
        <v>-124.56482240788063</v>
      </c>
      <c r="X32" s="37">
        <f t="shared" si="5"/>
        <v>-12.82553840671806</v>
      </c>
      <c r="Y32" s="37">
        <f t="shared" si="8"/>
        <v>-16.083536950983731</v>
      </c>
      <c r="Z32" s="32">
        <f t="shared" si="6"/>
        <v>8.7882945841033289E-2</v>
      </c>
    </row>
    <row r="33" spans="2:26" x14ac:dyDescent="0.3">
      <c r="B33" s="57"/>
      <c r="C33" s="45" t="s">
        <v>58</v>
      </c>
      <c r="D33" s="46"/>
      <c r="E33" s="46"/>
      <c r="F33" s="9">
        <f>((-CB_SMI_Mixto!B10)*CB_SMI_Mixto!B6)/1000000</f>
        <v>-45.695965846166771</v>
      </c>
      <c r="G33" s="9">
        <f>((-CB_SMI_Mixto!C10)*CB_SMI_Mixto!C6)/1000000</f>
        <v>0</v>
      </c>
      <c r="H33" s="9">
        <f>((-CB_SMI_Mixto!D10)*CB_SMI_Mixto!D6)/1000000</f>
        <v>0</v>
      </c>
      <c r="I33" s="9">
        <f>((-CB_SMI_Mixto!E10)*CB_SMI_Mixto!E6)/1000000</f>
        <v>0</v>
      </c>
      <c r="J33" s="9">
        <f>((-CB_SMI_Mixto!F10)*CB_SMI_Mixto!F6)/1000000</f>
        <v>0</v>
      </c>
      <c r="K33" s="9">
        <f>((-CB_SMI_Mixto!G10)*CB_SMI_Mixto!G6)/1000000</f>
        <v>0</v>
      </c>
      <c r="L33" s="9">
        <f>((-CB_SMI_Mixto!H10)*CB_SMI_Mixto!H6)/1000000</f>
        <v>0</v>
      </c>
      <c r="M33" s="9">
        <f>((-CB_SMI_Mixto!I10)*CB_SMI_Mixto!I6)/1000000</f>
        <v>0</v>
      </c>
      <c r="N33" s="9">
        <f>((-CB_SMI_Mixto!J10)*CB_SMI_Mixto!J6)/1000000</f>
        <v>0</v>
      </c>
      <c r="O33" s="9">
        <f>((-CB_SMI_Mixto!K10)*CB_SMI_Mixto!K6)/1000000</f>
        <v>0</v>
      </c>
      <c r="P33" s="9">
        <f>((-CB_SMI_Mixto!L10)*CB_SMI_Mixto!L6)/1000000</f>
        <v>0</v>
      </c>
      <c r="Q33" s="9">
        <f>((-CB_SMI_Mixto!M10)*CB_SMI_Mixto!M6)/1000000</f>
        <v>0</v>
      </c>
      <c r="R33" s="9">
        <f>((-CB_SMI_Mixto!N10)*CB_SMI_Mixto!N6)/1000000</f>
        <v>0</v>
      </c>
      <c r="S33" s="9">
        <f>((-CB_SMI_Mixto!O10)*CB_SMI_Mixto!O6)/1000000</f>
        <v>0</v>
      </c>
      <c r="T33" s="9">
        <f>((-CB_SMI_Mixto!P10)*CB_SMI_Mixto!P6)/1000000</f>
        <v>0</v>
      </c>
      <c r="U33" s="9">
        <f>((-CB_SMI_Mixto!Q10)*CB_SMI_Mixto!Q6)/1000000</f>
        <v>0</v>
      </c>
      <c r="W33" s="37">
        <f t="shared" si="7"/>
        <v>-45.695965846166771</v>
      </c>
      <c r="X33" s="37">
        <f t="shared" si="5"/>
        <v>-4.7049829451289007</v>
      </c>
      <c r="Y33" s="37">
        <f t="shared" si="8"/>
        <v>-5.9001629913712863</v>
      </c>
      <c r="Z33" s="32">
        <f t="shared" si="6"/>
        <v>3.2239407675327077E-2</v>
      </c>
    </row>
    <row r="34" spans="2:26" x14ac:dyDescent="0.3">
      <c r="B34" s="57"/>
      <c r="C34" s="45" t="s">
        <v>138</v>
      </c>
      <c r="D34" s="46"/>
      <c r="E34" s="46"/>
      <c r="F34" s="9">
        <f>(-CB_SMI_Mixto!B11)/1000000</f>
        <v>-146.433235878</v>
      </c>
      <c r="G34" s="9">
        <f>(-CB_SMI_Mixto!C11)/1000000</f>
        <v>-2.1117229740000001</v>
      </c>
      <c r="H34" s="9">
        <f>(-CB_SMI_Mixto!D11)/1000000</f>
        <v>-2.1442959989999997</v>
      </c>
      <c r="I34" s="9">
        <f>(-CB_SMI_Mixto!E11)/1000000</f>
        <v>-2.1773094479999999</v>
      </c>
      <c r="J34" s="9">
        <f>(-CB_SMI_Mixto!F11)/1000000</f>
        <v>-2.2110202349999999</v>
      </c>
      <c r="K34" s="9">
        <f>(-CB_SMI_Mixto!G11)/1000000</f>
        <v>-2.24542836</v>
      </c>
      <c r="L34" s="9">
        <f>(-CB_SMI_Mixto!H11)/1000000</f>
        <v>-2.2800750479999992</v>
      </c>
      <c r="M34" s="9">
        <f>(-CB_SMI_Mixto!I11)/1000000</f>
        <v>-2.3156209350000001</v>
      </c>
      <c r="N34" s="9">
        <f>(-CB_SMI_Mixto!J11)/1000000</f>
        <v>-2.3511484709999997</v>
      </c>
      <c r="O34" s="9">
        <f>(-CB_SMI_Mixto!K11)/1000000</f>
        <v>-2.3875018020000001</v>
      </c>
      <c r="P34" s="9">
        <f>(-CB_SMI_Mixto!L11)/1000000</f>
        <v>-2.4243873119999999</v>
      </c>
      <c r="Q34" s="9">
        <f>(-CB_SMI_Mixto!M11)/1000000</f>
        <v>-2.4622454249999999</v>
      </c>
      <c r="R34" s="9">
        <f>(-CB_SMI_Mixto!N11)/1000000</f>
        <v>-2.5005072599999996</v>
      </c>
      <c r="S34" s="9">
        <f>(-CB_SMI_Mixto!O11)/1000000</f>
        <v>-2.5394297310000002</v>
      </c>
      <c r="T34" s="9">
        <f>(-CB_SMI_Mixto!P11)/1000000</f>
        <v>-2.5790862420000003</v>
      </c>
      <c r="U34" s="9">
        <f>(-CB_SMI_Mixto!Q11)/1000000</f>
        <v>-2.619146475</v>
      </c>
      <c r="W34" s="37">
        <f t="shared" si="7"/>
        <v>-168.94460066161395</v>
      </c>
      <c r="X34" s="37">
        <f t="shared" si="5"/>
        <v>-17.395003039446326</v>
      </c>
      <c r="Y34" s="37">
        <f t="shared" si="8"/>
        <v>-21.813756684153169</v>
      </c>
      <c r="Z34" s="32">
        <f t="shared" si="6"/>
        <v>0.11919375713845431</v>
      </c>
    </row>
    <row r="35" spans="2:26" x14ac:dyDescent="0.3">
      <c r="B35" s="57"/>
      <c r="C35" s="45" t="s">
        <v>130</v>
      </c>
      <c r="D35" s="46"/>
      <c r="E35" s="46"/>
      <c r="F35" s="9">
        <f>(-CB_SMI_Mixto!B12)/1000000</f>
        <v>-11.00341808421053</v>
      </c>
      <c r="G35" s="9">
        <f>(-CB_SMI_Mixto!C12)/1000000</f>
        <v>-0.1586809894736842</v>
      </c>
      <c r="H35" s="9">
        <f>(-CB_SMI_Mixto!D12)/1000000</f>
        <v>-0.16112862105263162</v>
      </c>
      <c r="I35" s="9">
        <f>(-CB_SMI_Mixto!E12)/1000000</f>
        <v>-0.16360934736842109</v>
      </c>
      <c r="J35" s="9">
        <f>(-CB_SMI_Mixto!F12)/1000000</f>
        <v>-0.16614247368421051</v>
      </c>
      <c r="K35" s="9">
        <f>(-CB_SMI_Mixto!G12)/1000000</f>
        <v>-0.16872799999999999</v>
      </c>
      <c r="L35" s="9">
        <f>(-CB_SMI_Mixto!H12)/1000000</f>
        <v>-0.17133145263157901</v>
      </c>
      <c r="M35" s="9">
        <f>(-CB_SMI_Mixto!I12)/1000000</f>
        <v>-0.17400247368421051</v>
      </c>
      <c r="N35" s="9">
        <f>(-CB_SMI_Mixto!J12)/1000000</f>
        <v>-0.1766721157894737</v>
      </c>
      <c r="O35" s="9">
        <f>(-CB_SMI_Mixto!K12)/1000000</f>
        <v>-0.17940381052631579</v>
      </c>
      <c r="P35" s="9">
        <f>(-CB_SMI_Mixto!L12)/1000000</f>
        <v>-0.18217549473684211</v>
      </c>
      <c r="Q35" s="9">
        <f>(-CB_SMI_Mixto!M12)/1000000</f>
        <v>-0.18502026315789469</v>
      </c>
      <c r="R35" s="9">
        <f>(-CB_SMI_Mixto!N12)/1000000</f>
        <v>-0.18789536842105262</v>
      </c>
      <c r="S35" s="9">
        <f>(-CB_SMI_Mixto!O12)/1000000</f>
        <v>-0.19082011578947369</v>
      </c>
      <c r="T35" s="9">
        <f>(-CB_SMI_Mixto!P12)/1000000</f>
        <v>-0.19380002105263161</v>
      </c>
      <c r="U35" s="9">
        <f>(-CB_SMI_Mixto!Q12)/1000000</f>
        <v>-0.19681026315789468</v>
      </c>
      <c r="W35" s="37">
        <f t="shared" si="7"/>
        <v>-12.694987329915442</v>
      </c>
      <c r="X35" s="37">
        <f t="shared" si="5"/>
        <v>-1.3071109838657691</v>
      </c>
      <c r="Y35" s="37">
        <f t="shared" si="8"/>
        <v>-1.639148949647985</v>
      </c>
      <c r="Z35" s="32">
        <f t="shared" si="6"/>
        <v>8.9565646416157E-3</v>
      </c>
    </row>
    <row r="36" spans="2:26" x14ac:dyDescent="0.3">
      <c r="B36" s="58"/>
      <c r="C36" s="59" t="s">
        <v>111</v>
      </c>
      <c r="D36" s="59"/>
      <c r="E36" s="59"/>
      <c r="F36" s="16">
        <f>SUM(F30:F35)</f>
        <v>-203.13261980837729</v>
      </c>
      <c r="G36" s="16">
        <f>SUM(G30:G35)</f>
        <v>-157.02228646795746</v>
      </c>
      <c r="H36" s="16">
        <f t="shared" ref="H36:U36" si="9">SUM(H30:H35)</f>
        <v>-157.0620685257083</v>
      </c>
      <c r="I36" s="16">
        <f t="shared" si="9"/>
        <v>-157.10601451656925</v>
      </c>
      <c r="J36" s="16">
        <f t="shared" si="9"/>
        <v>-157.14690310885371</v>
      </c>
      <c r="K36" s="16">
        <f t="shared" si="9"/>
        <v>-157.19591477328481</v>
      </c>
      <c r="L36" s="16">
        <f t="shared" si="9"/>
        <v>-157.24422414639375</v>
      </c>
      <c r="M36" s="16">
        <f t="shared" si="9"/>
        <v>-157.29008337300954</v>
      </c>
      <c r="N36" s="16">
        <f t="shared" si="9"/>
        <v>-157.32941868345569</v>
      </c>
      <c r="O36" s="16">
        <f t="shared" si="9"/>
        <v>-157.37731719285068</v>
      </c>
      <c r="P36" s="16">
        <f t="shared" si="9"/>
        <v>-157.41988525190339</v>
      </c>
      <c r="Q36" s="16">
        <f t="shared" si="9"/>
        <v>-23.64909040558107</v>
      </c>
      <c r="R36" s="16">
        <f t="shared" si="9"/>
        <v>-24.014151343727487</v>
      </c>
      <c r="S36" s="16">
        <f t="shared" si="9"/>
        <v>-24.385415957729737</v>
      </c>
      <c r="T36" s="16">
        <f t="shared" si="9"/>
        <v>-24.76340144229404</v>
      </c>
      <c r="U36" s="16">
        <f t="shared" si="9"/>
        <v>-25.146517101617526</v>
      </c>
      <c r="W36" s="37">
        <f>NPV($D$68,G36:U36)+F36</f>
        <v>-1417.3947085615359</v>
      </c>
      <c r="X36" s="37">
        <f t="shared" si="5"/>
        <v>-145.93887680913068</v>
      </c>
      <c r="Y36" s="37">
        <f t="shared" si="8"/>
        <v>-183.01089929411756</v>
      </c>
      <c r="Z36" s="32">
        <f t="shared" si="6"/>
        <v>1</v>
      </c>
    </row>
    <row r="37" spans="2:26" x14ac:dyDescent="0.3"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W37" s="37"/>
      <c r="X37" s="37"/>
      <c r="Y37" s="37"/>
    </row>
    <row r="38" spans="2:26" x14ac:dyDescent="0.3">
      <c r="B38" s="56" t="s">
        <v>107</v>
      </c>
      <c r="C38" s="45" t="s">
        <v>140</v>
      </c>
      <c r="D38" s="46"/>
      <c r="E38" s="46"/>
      <c r="F38" s="9">
        <v>0</v>
      </c>
      <c r="G38" s="9">
        <f>(-CB_SMI_Mixto!C13/1000000)*G$25</f>
        <v>0</v>
      </c>
      <c r="H38" s="9">
        <f>(-CB_SMI_Mixto!D13/1000000)*H$25</f>
        <v>0</v>
      </c>
      <c r="I38" s="9">
        <f>(-CB_SMI_Mixto!E13/1000000)*I$25</f>
        <v>0</v>
      </c>
      <c r="J38" s="9">
        <f>(-CB_SMI_Mixto!F13/1000000)*J$25</f>
        <v>0</v>
      </c>
      <c r="K38" s="9">
        <f>(-CB_SMI_Mixto!G13/1000000)*K$25</f>
        <v>0</v>
      </c>
      <c r="L38" s="9">
        <f>(-CB_SMI_Mixto!H13/1000000)*L$25</f>
        <v>0</v>
      </c>
      <c r="M38" s="9">
        <f>(-CB_SMI_Mixto!I13/1000000)*M$25</f>
        <v>0</v>
      </c>
      <c r="N38" s="9">
        <f>(-CB_SMI_Mixto!J13/1000000)*N$25</f>
        <v>0</v>
      </c>
      <c r="O38" s="9">
        <f>(-CB_SMI_Mixto!K13/1000000)*O$25</f>
        <v>0</v>
      </c>
      <c r="P38" s="9">
        <f>(-CB_SMI_Mixto!L13/1000000)*P$25</f>
        <v>0</v>
      </c>
      <c r="Q38" s="9">
        <f>(-CB_SMI_Mixto!M13/1000000)*Q$25</f>
        <v>0</v>
      </c>
      <c r="R38" s="9">
        <f>(-CB_SMI_Mixto!N13/1000000)*R$25</f>
        <v>0</v>
      </c>
      <c r="S38" s="9">
        <f>(-CB_SMI_Mixto!O13/1000000)*S$25</f>
        <v>0</v>
      </c>
      <c r="T38" s="9">
        <f>(-CB_SMI_Mixto!P13/1000000)*T$25</f>
        <v>0</v>
      </c>
      <c r="U38" s="9">
        <f>(-CB_SMI_Mixto!Q13/1000000)*U$25</f>
        <v>0</v>
      </c>
      <c r="W38" s="37">
        <f t="shared" si="7"/>
        <v>0</v>
      </c>
      <c r="X38" s="37">
        <f t="shared" si="5"/>
        <v>0</v>
      </c>
      <c r="Y38" s="37">
        <f t="shared" si="8"/>
        <v>0</v>
      </c>
      <c r="Z38" s="32">
        <f t="shared" ref="Z38:Z43" si="10">W38/$W$43</f>
        <v>0</v>
      </c>
    </row>
    <row r="39" spans="2:26" x14ac:dyDescent="0.3">
      <c r="B39" s="57"/>
      <c r="C39" s="45" t="s">
        <v>141</v>
      </c>
      <c r="D39" s="46"/>
      <c r="E39" s="46"/>
      <c r="F39" s="9">
        <v>0</v>
      </c>
      <c r="G39" s="9">
        <f>(-CB_SMI_Mixto!C14/1000000)*G$25</f>
        <v>-0.11250463511424472</v>
      </c>
      <c r="H39" s="9">
        <f>(-CB_SMI_Mixto!D14/1000000)*H$25</f>
        <v>-0.22191932750947752</v>
      </c>
      <c r="I39" s="9">
        <f>(-CB_SMI_Mixto!E14/1000000)*I$25</f>
        <v>-0.32830833234286594</v>
      </c>
      <c r="J39" s="9">
        <f>(-CB_SMI_Mixto!F14/1000000)*J$25</f>
        <v>-0.43173455233909419</v>
      </c>
      <c r="K39" s="9">
        <f>(-CB_SMI_Mixto!G14/1000000)*K$25</f>
        <v>-0.53225774868053466</v>
      </c>
      <c r="L39" s="9">
        <f>(-CB_SMI_Mixto!H14/1000000)*L$25</f>
        <v>-0.62994317441893388</v>
      </c>
      <c r="M39" s="9">
        <f>(-CB_SMI_Mixto!I14/1000000)*M$25</f>
        <v>-0.72484880622723191</v>
      </c>
      <c r="N39" s="9">
        <f>(-CB_SMI_Mixto!J14/1000000)*N$25</f>
        <v>-0.81703976634275799</v>
      </c>
      <c r="O39" s="9">
        <f>(-CB_SMI_Mixto!K14/1000000)*O$25</f>
        <v>-0.90655769001019759</v>
      </c>
      <c r="P39" s="9">
        <f>(-CB_SMI_Mixto!L14/1000000)*P$25</f>
        <v>-0.99345130086724454</v>
      </c>
      <c r="Q39" s="9">
        <f>(-CB_SMI_Mixto!M14/1000000)*Q$25</f>
        <v>-0.99408942628418961</v>
      </c>
      <c r="R39" s="9">
        <f>(-CB_SMI_Mixto!N14/1000000)*R$25</f>
        <v>-0.99474296197464995</v>
      </c>
      <c r="S39" s="9">
        <f>(-CB_SMI_Mixto!O14/1000000)*S$25</f>
        <v>-0.99541330887258195</v>
      </c>
      <c r="T39" s="9">
        <f>(-CB_SMI_Mixto!P14/1000000)*T$25</f>
        <v>-0.99609626417611774</v>
      </c>
      <c r="U39" s="9">
        <f>(-CB_SMI_Mixto!Q14/1000000)*U$25</f>
        <v>-0.99678902601734498</v>
      </c>
      <c r="W39" s="37">
        <f t="shared" si="7"/>
        <v>-6.1903247961882677</v>
      </c>
      <c r="X39" s="37">
        <f t="shared" si="5"/>
        <v>-0.6373729507966519</v>
      </c>
      <c r="Y39" s="37">
        <f t="shared" si="8"/>
        <v>-0.79928117484142946</v>
      </c>
      <c r="Z39" s="32">
        <f t="shared" si="10"/>
        <v>1.0435562276080571E-2</v>
      </c>
    </row>
    <row r="40" spans="2:26" x14ac:dyDescent="0.3">
      <c r="B40" s="57"/>
      <c r="C40" s="45" t="s">
        <v>137</v>
      </c>
      <c r="D40" s="46"/>
      <c r="E40" s="46"/>
      <c r="F40" s="9">
        <v>0</v>
      </c>
      <c r="G40" s="9">
        <f>(-CB_SMI_Mixto!C15/1000000)*G$25</f>
        <v>-7.3574870673782522</v>
      </c>
      <c r="H40" s="9">
        <f>(-CB_SMI_Mixto!D15/1000000)*H$25</f>
        <v>-14.714974134756504</v>
      </c>
      <c r="I40" s="9">
        <f>(-CB_SMI_Mixto!E15/1000000)*I$25</f>
        <v>-22.072461202134765</v>
      </c>
      <c r="J40" s="9">
        <f>(-CB_SMI_Mixto!F15/1000000)*J$25</f>
        <v>-29.429948269513016</v>
      </c>
      <c r="K40" s="9">
        <f>(-CB_SMI_Mixto!G15/1000000)*K$25</f>
        <v>-36.787435336891292</v>
      </c>
      <c r="L40" s="9">
        <f>(-CB_SMI_Mixto!H15/1000000)*L$25</f>
        <v>-44.144922404269543</v>
      </c>
      <c r="M40" s="9">
        <f>(-CB_SMI_Mixto!I15/1000000)*M$25</f>
        <v>-51.502409471647795</v>
      </c>
      <c r="N40" s="9">
        <f>(-CB_SMI_Mixto!J15/1000000)*N$25</f>
        <v>-58.85989653902606</v>
      </c>
      <c r="O40" s="9">
        <f>(-CB_SMI_Mixto!K15/1000000)*O$25</f>
        <v>-66.217383606404312</v>
      </c>
      <c r="P40" s="9">
        <f>(-CB_SMI_Mixto!L15/1000000)*P$25</f>
        <v>-73.574870673782485</v>
      </c>
      <c r="Q40" s="9">
        <f>(-CB_SMI_Mixto!M15/1000000)*Q$25</f>
        <v>-74.646301460974001</v>
      </c>
      <c r="R40" s="9">
        <f>(-CB_SMI_Mixto!N15/1000000)*R$25</f>
        <v>-75.73438164776519</v>
      </c>
      <c r="S40" s="9">
        <f>(-CB_SMI_Mixto!O15/1000000)*S$25</f>
        <v>-76.839398705803887</v>
      </c>
      <c r="T40" s="9">
        <f>(-CB_SMI_Mixto!P15/1000000)*T$25</f>
        <v>-77.961672048032042</v>
      </c>
      <c r="U40" s="9">
        <f>(-CB_SMI_Mixto!Q15/1000000)*U$25</f>
        <v>-79.101377351567734</v>
      </c>
      <c r="W40" s="37">
        <f t="shared" si="7"/>
        <v>-452.4249221374414</v>
      </c>
      <c r="X40" s="37">
        <f t="shared" si="5"/>
        <v>-46.582920465538109</v>
      </c>
      <c r="Y40" s="37">
        <f t="shared" si="8"/>
        <v>-58.416114695019395</v>
      </c>
      <c r="Z40" s="32">
        <f t="shared" si="10"/>
        <v>0.76269155588142146</v>
      </c>
    </row>
    <row r="41" spans="2:26" x14ac:dyDescent="0.3">
      <c r="B41" s="57"/>
      <c r="C41" s="45" t="s">
        <v>131</v>
      </c>
      <c r="D41" s="46"/>
      <c r="E41" s="46"/>
      <c r="F41" s="9">
        <v>0</v>
      </c>
      <c r="G41" s="9">
        <f>(-CB_SMI_Mixto!C16/1000000)*G$25</f>
        <v>-1.0442344422473684</v>
      </c>
      <c r="H41" s="9">
        <f>(-CB_SMI_Mixto!D16/1000000)*H$25</f>
        <v>-2.0884688844947363</v>
      </c>
      <c r="I41" s="9">
        <f>(-CB_SMI_Mixto!E16/1000000)*I$25</f>
        <v>-3.1327033267421052</v>
      </c>
      <c r="J41" s="9">
        <f>(-CB_SMI_Mixto!F16/1000000)*J$25</f>
        <v>-4.1769377689894736</v>
      </c>
      <c r="K41" s="9">
        <f>(-CB_SMI_Mixto!G16/1000000)*K$25</f>
        <v>-5.2211722112368442</v>
      </c>
      <c r="L41" s="9">
        <f>(-CB_SMI_Mixto!H16/1000000)*L$25</f>
        <v>-6.265406653484213</v>
      </c>
      <c r="M41" s="9">
        <f>(-CB_SMI_Mixto!I16/1000000)*M$25</f>
        <v>-7.3096410957315809</v>
      </c>
      <c r="N41" s="9">
        <f>(-CB_SMI_Mixto!J16/1000000)*N$25</f>
        <v>-8.3538755379789507</v>
      </c>
      <c r="O41" s="9">
        <f>(-CB_SMI_Mixto!K16/1000000)*O$25</f>
        <v>-9.3981099802263213</v>
      </c>
      <c r="P41" s="9">
        <f>(-CB_SMI_Mixto!L16/1000000)*P$25</f>
        <v>-10.442344422473674</v>
      </c>
      <c r="Q41" s="9">
        <f>(-CB_SMI_Mixto!M16/1000000)*Q$25</f>
        <v>-10.59441059944737</v>
      </c>
      <c r="R41" s="9">
        <f>(-CB_SMI_Mixto!N16/1000000)*R$25</f>
        <v>-10.74883979471052</v>
      </c>
      <c r="S41" s="9">
        <f>(-CB_SMI_Mixto!O16/1000000)*S$25</f>
        <v>-10.905672808578949</v>
      </c>
      <c r="T41" s="9">
        <f>(-CB_SMI_Mixto!P16/1000000)*T$25</f>
        <v>-11.064954974736839</v>
      </c>
      <c r="U41" s="9">
        <f>(-CB_SMI_Mixto!Q16/1000000)*U$25</f>
        <v>-11.22671122671052</v>
      </c>
      <c r="W41" s="37">
        <f t="shared" si="7"/>
        <v>-64.211826932282648</v>
      </c>
      <c r="X41" s="37">
        <f t="shared" si="5"/>
        <v>-6.6114271795680093</v>
      </c>
      <c r="Y41" s="37">
        <f t="shared" si="8"/>
        <v>-8.2908904070351959</v>
      </c>
      <c r="Z41" s="32">
        <f t="shared" si="10"/>
        <v>0.10824739264494705</v>
      </c>
    </row>
    <row r="42" spans="2:26" x14ac:dyDescent="0.3">
      <c r="B42" s="57"/>
      <c r="C42" s="45" t="s">
        <v>59</v>
      </c>
      <c r="D42" s="46"/>
      <c r="E42" s="46"/>
      <c r="F42" s="9">
        <v>0</v>
      </c>
      <c r="G42" s="9">
        <f>(-CB_SMI_Mixto!C17/1000000)*G$25</f>
        <v>-1.1443492404</v>
      </c>
      <c r="H42" s="9">
        <f>(-CB_SMI_Mixto!D17/1000000)*H$25</f>
        <v>-2.2886984807999999</v>
      </c>
      <c r="I42" s="9">
        <f>(-CB_SMI_Mixto!E17/1000000)*I$25</f>
        <v>-3.4330477211999999</v>
      </c>
      <c r="J42" s="9">
        <f>(-CB_SMI_Mixto!F17/1000000)*J$25</f>
        <v>-4.5773969615999999</v>
      </c>
      <c r="K42" s="9">
        <f>(-CB_SMI_Mixto!G17/1000000)*K$25</f>
        <v>-5.7217462020000029</v>
      </c>
      <c r="L42" s="9">
        <f>(-CB_SMI_Mixto!H17/1000000)*L$25</f>
        <v>-6.8660954424000042</v>
      </c>
      <c r="M42" s="9">
        <f>(-CB_SMI_Mixto!I17/1000000)*M$25</f>
        <v>-8.0104446828000047</v>
      </c>
      <c r="N42" s="9">
        <f>(-CB_SMI_Mixto!J17/1000000)*N$25</f>
        <v>-9.1547939232000051</v>
      </c>
      <c r="O42" s="9">
        <f>(-CB_SMI_Mixto!K17/1000000)*O$25</f>
        <v>-10.299143163600005</v>
      </c>
      <c r="P42" s="9">
        <f>(-CB_SMI_Mixto!L17/1000000)*P$25</f>
        <v>-11.443492403999992</v>
      </c>
      <c r="Q42" s="9">
        <f>(-CB_SMI_Mixto!M17/1000000)*Q$25</f>
        <v>-11.610137754</v>
      </c>
      <c r="R42" s="9">
        <f>(-CB_SMI_Mixto!N17/1000000)*R$25</f>
        <v>-11.779372674000001</v>
      </c>
      <c r="S42" s="9">
        <f>(-CB_SMI_Mixto!O17/1000000)*S$25</f>
        <v>-11.951241876000001</v>
      </c>
      <c r="T42" s="9">
        <f>(-CB_SMI_Mixto!P17/1000000)*T$25</f>
        <v>-12.12579504</v>
      </c>
      <c r="U42" s="9">
        <f>(-CB_SMI_Mixto!Q17/1000000)*U$25</f>
        <v>-12.303059490000001</v>
      </c>
      <c r="W42" s="37">
        <f t="shared" si="7"/>
        <v>-70.368063340748421</v>
      </c>
      <c r="X42" s="37">
        <f t="shared" si="5"/>
        <v>-7.2452902957459724</v>
      </c>
      <c r="Y42" s="37">
        <f t="shared" si="8"/>
        <v>-9.085770163940678</v>
      </c>
      <c r="Z42" s="32">
        <f t="shared" si="10"/>
        <v>0.11862548919755084</v>
      </c>
    </row>
    <row r="43" spans="2:26" x14ac:dyDescent="0.3">
      <c r="B43" s="58"/>
      <c r="C43" s="59" t="s">
        <v>119</v>
      </c>
      <c r="D43" s="59"/>
      <c r="E43" s="59"/>
      <c r="F43" s="16">
        <f>SUM(F38:F42)</f>
        <v>0</v>
      </c>
      <c r="G43" s="16">
        <f>SUM(G38:G42)</f>
        <v>-9.6585753851398657</v>
      </c>
      <c r="H43" s="16">
        <f t="shared" ref="H43:T43" si="11">SUM(H38:H42)</f>
        <v>-19.31406082756072</v>
      </c>
      <c r="I43" s="16">
        <f t="shared" si="11"/>
        <v>-28.96652058241974</v>
      </c>
      <c r="J43" s="16">
        <f t="shared" si="11"/>
        <v>-38.616017552441583</v>
      </c>
      <c r="K43" s="16">
        <f t="shared" si="11"/>
        <v>-48.262611498808681</v>
      </c>
      <c r="L43" s="16">
        <f t="shared" si="11"/>
        <v>-57.906367674572692</v>
      </c>
      <c r="M43" s="16">
        <f t="shared" si="11"/>
        <v>-67.547344056406601</v>
      </c>
      <c r="N43" s="16">
        <f t="shared" si="11"/>
        <v>-77.185605766547781</v>
      </c>
      <c r="O43" s="16">
        <f t="shared" si="11"/>
        <v>-86.821194440240845</v>
      </c>
      <c r="P43" s="16">
        <f t="shared" si="11"/>
        <v>-96.454158801123398</v>
      </c>
      <c r="Q43" s="16">
        <f t="shared" si="11"/>
        <v>-97.844939240705571</v>
      </c>
      <c r="R43" s="16">
        <f t="shared" si="11"/>
        <v>-99.257337078450362</v>
      </c>
      <c r="S43" s="16">
        <f t="shared" si="11"/>
        <v>-100.69172669925543</v>
      </c>
      <c r="T43" s="16">
        <f t="shared" si="11"/>
        <v>-102.14851832694499</v>
      </c>
      <c r="U43" s="16">
        <f>SUM(U38:U42)</f>
        <v>-103.62793709429559</v>
      </c>
      <c r="W43" s="37">
        <f t="shared" si="7"/>
        <v>-593.19513720666077</v>
      </c>
      <c r="X43" s="37">
        <f t="shared" si="5"/>
        <v>-61.077010891648747</v>
      </c>
      <c r="Y43" s="37">
        <f t="shared" si="8"/>
        <v>-76.5920564408367</v>
      </c>
      <c r="Z43" s="32">
        <f t="shared" si="10"/>
        <v>1</v>
      </c>
    </row>
    <row r="44" spans="2:26" x14ac:dyDescent="0.3"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W44" s="37"/>
      <c r="X44" s="37"/>
      <c r="Y44" s="37"/>
    </row>
    <row r="45" spans="2:26" x14ac:dyDescent="0.3">
      <c r="B45" s="80" t="s">
        <v>154</v>
      </c>
      <c r="C45" s="59"/>
      <c r="D45" s="59"/>
      <c r="E45" s="59"/>
      <c r="F45" s="16">
        <f>F36+F43</f>
        <v>-203.13261980837729</v>
      </c>
      <c r="G45" s="16">
        <f t="shared" ref="G45:U45" si="12">G36+G43</f>
        <v>-166.68086185309733</v>
      </c>
      <c r="H45" s="16">
        <f t="shared" si="12"/>
        <v>-176.37612935326902</v>
      </c>
      <c r="I45" s="16">
        <f t="shared" si="12"/>
        <v>-186.07253509898899</v>
      </c>
      <c r="J45" s="16">
        <f t="shared" si="12"/>
        <v>-195.76292066129528</v>
      </c>
      <c r="K45" s="16">
        <f t="shared" si="12"/>
        <v>-205.45852627209348</v>
      </c>
      <c r="L45" s="16">
        <f t="shared" si="12"/>
        <v>-215.15059182096644</v>
      </c>
      <c r="M45" s="16">
        <f t="shared" si="12"/>
        <v>-224.83742742941615</v>
      </c>
      <c r="N45" s="16">
        <f t="shared" si="12"/>
        <v>-234.51502445000347</v>
      </c>
      <c r="O45" s="16">
        <f t="shared" si="12"/>
        <v>-244.19851163309153</v>
      </c>
      <c r="P45" s="16">
        <f t="shared" si="12"/>
        <v>-253.87404405302681</v>
      </c>
      <c r="Q45" s="16">
        <f t="shared" si="12"/>
        <v>-121.49402964628663</v>
      </c>
      <c r="R45" s="16">
        <f t="shared" si="12"/>
        <v>-123.27148842217785</v>
      </c>
      <c r="S45" s="16">
        <f t="shared" si="12"/>
        <v>-125.07714265698516</v>
      </c>
      <c r="T45" s="16">
        <f t="shared" si="12"/>
        <v>-126.91191976923903</v>
      </c>
      <c r="U45" s="16">
        <f t="shared" si="12"/>
        <v>-128.77445419591311</v>
      </c>
      <c r="W45" s="37">
        <f>NPV($D$68,G45:U45)+F45</f>
        <v>-2010.5898457681967</v>
      </c>
      <c r="X45" s="37">
        <f t="shared" si="5"/>
        <v>-207.01588770077942</v>
      </c>
      <c r="Y45" s="37">
        <f t="shared" si="8"/>
        <v>-259.60295573495432</v>
      </c>
    </row>
    <row r="46" spans="2:26" x14ac:dyDescent="0.3">
      <c r="B46" s="10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37"/>
      <c r="X46" s="37"/>
      <c r="Y46" s="37"/>
    </row>
    <row r="47" spans="2:26" x14ac:dyDescent="0.3">
      <c r="B47" s="60" t="s">
        <v>108</v>
      </c>
      <c r="C47" s="45" t="s">
        <v>162</v>
      </c>
      <c r="D47" s="46"/>
      <c r="E47" s="46"/>
      <c r="F47" s="9">
        <v>0</v>
      </c>
      <c r="G47" s="9">
        <f>(CB_SMI_Mixto!C18/1000000)*G$25</f>
        <v>3.3877923043647398</v>
      </c>
      <c r="H47" s="9">
        <f>(CB_SMI_Mixto!D18/1000000)*H$25</f>
        <v>6.7782694569350426</v>
      </c>
      <c r="I47" s="9">
        <f>(CB_SMI_Mixto!E18/1000000)*I$25</f>
        <v>10.171398650307925</v>
      </c>
      <c r="J47" s="9">
        <f>(CB_SMI_Mixto!F18/1000000)*J$25</f>
        <v>13.567115437043221</v>
      </c>
      <c r="K47" s="9">
        <f>(CB_SMI_Mixto!G18/1000000)*K$25</f>
        <v>16.965445612088679</v>
      </c>
      <c r="L47" s="9">
        <f>(CB_SMI_Mixto!H18/1000000)*L$25</f>
        <v>20.366359468081704</v>
      </c>
      <c r="M47" s="9">
        <f>(CB_SMI_Mixto!I18/1000000)*M$25</f>
        <v>23.769612623288754</v>
      </c>
      <c r="N47" s="9">
        <f>(CB_SMI_Mixto!J18/1000000)*N$25</f>
        <v>27.17560370715114</v>
      </c>
      <c r="O47" s="9">
        <f>(CB_SMI_Mixto!K18/1000000)*O$25</f>
        <v>30.584128744668778</v>
      </c>
      <c r="P47" s="9">
        <f>(CB_SMI_Mixto!L18/1000000)*P$25</f>
        <v>33.994935216599977</v>
      </c>
      <c r="Q47" s="9">
        <f>(CB_SMI_Mixto!M18/1000000)*Q$25</f>
        <v>34.502614504199997</v>
      </c>
      <c r="R47" s="9">
        <f>(CB_SMI_Mixto!N18/1000000)*R$25</f>
        <v>35.018359464599996</v>
      </c>
      <c r="S47" s="9">
        <f>(CB_SMI_Mixto!O18/1000000)*S$25</f>
        <v>35.542353721800005</v>
      </c>
      <c r="T47" s="9">
        <f>(CB_SMI_Mixto!P18/1000000)*T$25</f>
        <v>36.074364208200002</v>
      </c>
      <c r="U47" s="9">
        <f>(CB_SMI_Mixto!Q18/1000000)*U$25</f>
        <v>36.614733096600006</v>
      </c>
      <c r="V47" s="37">
        <f>W47+W48+W49+W50+W54+W55</f>
        <v>1304.4157012268374</v>
      </c>
      <c r="W47" s="37">
        <f t="shared" si="7"/>
        <v>208.97001145021906</v>
      </c>
      <c r="X47" s="37">
        <f>PMT($D$68,15,-W47)</f>
        <v>21.516129962687899</v>
      </c>
      <c r="Y47" s="37">
        <f>W47*1000000/7744865</f>
        <v>26.981750030532368</v>
      </c>
      <c r="Z47" s="32">
        <f>W47/$W$56</f>
        <v>0.11760179168739598</v>
      </c>
    </row>
    <row r="48" spans="2:26" x14ac:dyDescent="0.3">
      <c r="B48" s="61"/>
      <c r="C48" s="45" t="s">
        <v>146</v>
      </c>
      <c r="D48" s="46"/>
      <c r="E48" s="46"/>
      <c r="F48" s="9">
        <v>0</v>
      </c>
      <c r="G48" s="9">
        <f>(CB_SMI_Mixto!C19/1000000)*G$25</f>
        <v>0.32837301023556054</v>
      </c>
      <c r="H48" s="9">
        <f>(CB_SMI_Mixto!D19/1000000)*H$25</f>
        <v>0.65696749662960496</v>
      </c>
      <c r="I48" s="9">
        <f>(CB_SMI_Mixto!E19/1000000)*I$25</f>
        <v>0.98578084399977972</v>
      </c>
      <c r="J48" s="9">
        <f>(CB_SMI_Mixto!F19/1000000)*J$25</f>
        <v>1.314807113902027</v>
      </c>
      <c r="K48" s="9">
        <f>(CB_SMI_Mixto!G19/1000000)*K$25</f>
        <v>1.644044579708511</v>
      </c>
      <c r="L48" s="9">
        <f>(CB_SMI_Mixto!H19/1000000)*L$25</f>
        <v>1.9734896245490754</v>
      </c>
      <c r="M48" s="9">
        <f>(CB_SMI_Mixto!I19/1000000)*M$25</f>
        <v>2.3031302590413296</v>
      </c>
      <c r="N48" s="9">
        <f>(CB_SMI_Mixto!J19/1000000)*N$25</f>
        <v>2.6329838730521562</v>
      </c>
      <c r="O48" s="9">
        <f>(CB_SMI_Mixto!K19/1000000)*O$25</f>
        <v>2.9630377000691448</v>
      </c>
      <c r="P48" s="9">
        <f>(CB_SMI_Mixto!L19/1000000)*P$25</f>
        <v>3.293279364977999</v>
      </c>
      <c r="Q48" s="9">
        <f>(CB_SMI_Mixto!M19/1000000)*Q$25</f>
        <v>3.342254522148</v>
      </c>
      <c r="R48" s="9">
        <f>(CB_SMI_Mixto!N19/1000000)*R$25</f>
        <v>3.391998709194</v>
      </c>
      <c r="S48" s="9">
        <f>(CB_SMI_Mixto!O19/1000000)*S$25</f>
        <v>3.4448007489479999</v>
      </c>
      <c r="T48" s="9">
        <f>(CB_SMI_Mixto!P19/1000000)*T$25</f>
        <v>3.4984521999</v>
      </c>
      <c r="U48" s="9">
        <f>(CB_SMI_Mixto!Q19/1000000)*U$25</f>
        <v>3.5529678607499999</v>
      </c>
      <c r="V48" s="37">
        <f>PMT(D68,15,-V47)</f>
        <v>134.30624594502257</v>
      </c>
      <c r="W48" s="37">
        <f t="shared" si="7"/>
        <v>20.251153493682658</v>
      </c>
      <c r="X48" s="37">
        <f t="shared" ref="X48:X56" si="13">PMT($D$68,15,-W48)</f>
        <v>2.0851147369928538</v>
      </c>
      <c r="Y48" s="37">
        <f t="shared" si="8"/>
        <v>2.6147845693479042</v>
      </c>
      <c r="Z48" s="32">
        <f t="shared" ref="Z48:Z56" si="14">W48/$W$56</f>
        <v>1.1396716294676992E-2</v>
      </c>
    </row>
    <row r="49" spans="2:26" x14ac:dyDescent="0.3">
      <c r="B49" s="61"/>
      <c r="C49" s="45" t="s">
        <v>147</v>
      </c>
      <c r="D49" s="46"/>
      <c r="E49" s="46"/>
      <c r="F49" s="9">
        <v>0</v>
      </c>
      <c r="G49" s="9">
        <f>(CB_SMI_Mixto!C20/1000000)*G$25</f>
        <v>12.859047936739264</v>
      </c>
      <c r="H49" s="9">
        <f>(CB_SMI_Mixto!D20/1000000)*H$25</f>
        <v>26.117763742784383</v>
      </c>
      <c r="I49" s="9">
        <f>(CB_SMI_Mixto!E20/1000000)*I$25</f>
        <v>39.784927783345516</v>
      </c>
      <c r="J49" s="9">
        <f>(CB_SMI_Mixto!F20/1000000)*J$25</f>
        <v>53.869424164935801</v>
      </c>
      <c r="K49" s="9">
        <f>(CB_SMI_Mixto!G20/1000000)*K$25</f>
        <v>68.380246910876281</v>
      </c>
      <c r="L49" s="9">
        <f>(CB_SMI_Mixto!H20/1000000)*L$25</f>
        <v>83.32674582162791</v>
      </c>
      <c r="M49" s="9">
        <f>(CB_SMI_Mixto!I20/1000000)*M$25</f>
        <v>98.718151421147525</v>
      </c>
      <c r="N49" s="9">
        <f>(CB_SMI_Mixto!J20/1000000)*N$25</f>
        <v>114.56439313374665</v>
      </c>
      <c r="O49" s="9">
        <f>(CB_SMI_Mixto!K20/1000000)*O$25</f>
        <v>130.87512551388636</v>
      </c>
      <c r="P49" s="9">
        <f>(CB_SMI_Mixto!L20/1000000)*P$25</f>
        <v>147.66035831914689</v>
      </c>
      <c r="Q49" s="9">
        <f>(CB_SMI_Mixto!M20/1000000)*Q$25</f>
        <v>152.11970114038522</v>
      </c>
      <c r="R49" s="9">
        <f>(CB_SMI_Mixto!N20/1000000)*R$25</f>
        <v>156.71371611482479</v>
      </c>
      <c r="S49" s="9">
        <f>(CB_SMI_Mixto!O20/1000000)*S$25</f>
        <v>161.4464703414925</v>
      </c>
      <c r="T49" s="9">
        <f>(CB_SMI_Mixto!P20/1000000)*T$25</f>
        <v>166.32215374580559</v>
      </c>
      <c r="U49" s="9">
        <f>(CB_SMI_Mixto!Q20/1000000)*U$25</f>
        <v>171.34508278892898</v>
      </c>
      <c r="W49" s="37">
        <f t="shared" si="7"/>
        <v>897.50921457595666</v>
      </c>
      <c r="X49" s="37">
        <f t="shared" si="13"/>
        <v>92.410029408102318</v>
      </c>
      <c r="Y49" s="37">
        <f t="shared" si="8"/>
        <v>115.88442336644431</v>
      </c>
      <c r="Z49" s="32">
        <f t="shared" si="14"/>
        <v>0.50509013689375182</v>
      </c>
    </row>
    <row r="50" spans="2:26" x14ac:dyDescent="0.3">
      <c r="B50" s="61"/>
      <c r="C50" s="45" t="s">
        <v>163</v>
      </c>
      <c r="D50" s="46"/>
      <c r="E50" s="46"/>
      <c r="F50" s="9">
        <v>0</v>
      </c>
      <c r="G50" s="9">
        <f>(CB_SMI_Mixto!C21/1000000)*G$25</f>
        <v>0.24365816782556665</v>
      </c>
      <c r="H50" s="9">
        <f>(CB_SMI_Mixto!D21/1000000)*H$25</f>
        <v>0.48038186331720806</v>
      </c>
      <c r="I50" s="9">
        <f>(CB_SMI_Mixto!E21/1000000)*I$25</f>
        <v>0.71030953065985702</v>
      </c>
      <c r="J50" s="9">
        <f>(CB_SMI_Mixto!F21/1000000)*J$25</f>
        <v>0.93357638042568591</v>
      </c>
      <c r="K50" s="9">
        <f>(CB_SMI_Mixto!G21/1000000)*K$25</f>
        <v>1.150314624917246</v>
      </c>
      <c r="L50" s="9">
        <f>(CB_SMI_Mixto!H21/1000000)*L$25</f>
        <v>1.3606576030692672</v>
      </c>
      <c r="M50" s="9">
        <f>(CB_SMI_Mixto!I21/1000000)*M$25</f>
        <v>1.5647317678877968</v>
      </c>
      <c r="N50" s="9">
        <f>(CB_SMI_Mixto!J21/1000000)*N$25</f>
        <v>1.7626699431254214</v>
      </c>
      <c r="O50" s="9">
        <f>(CB_SMI_Mixto!K21/1000000)*O$25</f>
        <v>1.9545955503185035</v>
      </c>
      <c r="P50" s="9">
        <f>(CB_SMI_Mixto!L21/1000000)*P$25</f>
        <v>2.1406327572880195</v>
      </c>
      <c r="Q50" s="9">
        <f>(CB_SMI_Mixto!M21/1000000)*Q$25</f>
        <v>2.1406327572880208</v>
      </c>
      <c r="R50" s="9">
        <f>(CB_SMI_Mixto!N21/1000000)*R$25</f>
        <v>2.1406327572880208</v>
      </c>
      <c r="S50" s="9">
        <f>(CB_SMI_Mixto!O21/1000000)*S$25</f>
        <v>2.1406327572880208</v>
      </c>
      <c r="T50" s="9">
        <f>(CB_SMI_Mixto!P21/1000000)*T$25</f>
        <v>2.1406327572880208</v>
      </c>
      <c r="U50" s="9">
        <f>(CB_SMI_Mixto!Q21/1000000)*U$25</f>
        <v>2.1406327572880208</v>
      </c>
      <c r="V50" s="37">
        <f>W53+W52+W51</f>
        <v>472.51310616492549</v>
      </c>
      <c r="W50" s="37">
        <f t="shared" si="7"/>
        <v>13.345977849678091</v>
      </c>
      <c r="X50" s="37">
        <f t="shared" si="13"/>
        <v>1.3741387670892371</v>
      </c>
      <c r="Y50" s="37">
        <f t="shared" si="8"/>
        <v>1.7232034192562544</v>
      </c>
      <c r="Z50" s="32">
        <f t="shared" si="14"/>
        <v>7.5106992436392407E-3</v>
      </c>
    </row>
    <row r="51" spans="2:26" x14ac:dyDescent="0.3">
      <c r="B51" s="61"/>
      <c r="C51" s="45" t="s">
        <v>164</v>
      </c>
      <c r="D51" s="46"/>
      <c r="E51" s="46"/>
      <c r="F51" s="9">
        <v>0</v>
      </c>
      <c r="G51" s="9">
        <f>(CB_SMI_Mixto!C22/1000000)*G$25</f>
        <v>3.2585921522672261</v>
      </c>
      <c r="H51" s="9">
        <f>(CB_SMI_Mixto!D22/1000000)*H$25</f>
        <v>6.6184635430006598</v>
      </c>
      <c r="I51" s="9">
        <f>(CB_SMI_Mixto!E22/1000000)*I$25</f>
        <v>10.08183919144812</v>
      </c>
      <c r="J51" s="9">
        <f>(CB_SMI_Mixto!F22/1000000)*J$25</f>
        <v>13.650970405786234</v>
      </c>
      <c r="K51" s="9">
        <f>(CB_SMI_Mixto!G22/1000000)*K$25</f>
        <v>17.328136348045931</v>
      </c>
      <c r="L51" s="9">
        <f>(CB_SMI_Mixto!H22/1000000)*L$25</f>
        <v>21.115706337212323</v>
      </c>
      <c r="M51" s="9">
        <f>(CB_SMI_Mixto!I22/1000000)*M$25</f>
        <v>25.016019466589661</v>
      </c>
      <c r="N51" s="9">
        <f>(CB_SMI_Mixto!J22/1000000)*N$25</f>
        <v>29.031591936778192</v>
      </c>
      <c r="O51" s="9">
        <f>(CB_SMI_Mixto!K22/1000000)*O$25</f>
        <v>33.164870294019622</v>
      </c>
      <c r="P51" s="9">
        <f>(CB_SMI_Mixto!L22/1000000)*P$25</f>
        <v>37.418391096047969</v>
      </c>
      <c r="Q51" s="9">
        <f>(CB_SMI_Mixto!M22/1000000)*Q$25</f>
        <v>38.54842650714864</v>
      </c>
      <c r="R51" s="9">
        <f>(CB_SMI_Mixto!N22/1000000)*R$25</f>
        <v>39.712588987664546</v>
      </c>
      <c r="S51" s="9">
        <f>(CB_SMI_Mixto!O22/1000000)*S$25</f>
        <v>40.911909175091999</v>
      </c>
      <c r="T51" s="9">
        <f>(CB_SMI_Mixto!P22/1000000)*T$25</f>
        <v>42.147448832179769</v>
      </c>
      <c r="U51" s="9">
        <f>(CB_SMI_Mixto!Q22/1000000)*U$25</f>
        <v>43.420301786911608</v>
      </c>
      <c r="V51" s="37">
        <f>PMT(D68,15,-V50)</f>
        <v>48.651255415850841</v>
      </c>
      <c r="W51" s="37">
        <f t="shared" si="7"/>
        <v>227.4364710041157</v>
      </c>
      <c r="X51" s="37">
        <f t="shared" si="13"/>
        <v>23.417487678826088</v>
      </c>
      <c r="Y51" s="37">
        <f t="shared" si="8"/>
        <v>29.366098828593618</v>
      </c>
      <c r="Z51" s="32">
        <f t="shared" si="14"/>
        <v>0.12799413800823836</v>
      </c>
    </row>
    <row r="52" spans="2:26" x14ac:dyDescent="0.3">
      <c r="B52" s="61"/>
      <c r="C52" s="45" t="s">
        <v>165</v>
      </c>
      <c r="D52" s="46"/>
      <c r="E52" s="46"/>
      <c r="F52" s="9">
        <v>0</v>
      </c>
      <c r="G52" s="9">
        <f>(CB_SMI_Mixto!C23/1000000)*G$25</f>
        <v>1.3289792159868292</v>
      </c>
      <c r="H52" s="9">
        <f>(CB_SMI_Mixto!D23/1000000)*H$25</f>
        <v>2.6992640009565445</v>
      </c>
      <c r="I52" s="9">
        <f>(CB_SMI_Mixto!E23/1000000)*I$25</f>
        <v>4.1117618033400438</v>
      </c>
      <c r="J52" s="9">
        <f>(CB_SMI_Mixto!F23/1000000)*J$25</f>
        <v>5.5673907932045612</v>
      </c>
      <c r="K52" s="9">
        <f>(CB_SMI_Mixto!G23/1000000)*K$25</f>
        <v>7.0670805004904587</v>
      </c>
      <c r="L52" s="9">
        <f>(CB_SMI_Mixto!H23/1000000)*L$25</f>
        <v>8.611797224611756</v>
      </c>
      <c r="M52" s="9">
        <f>(CB_SMI_Mixto!I23/1000000)*M$25</f>
        <v>10.202494937787236</v>
      </c>
      <c r="N52" s="9">
        <f>(CB_SMI_Mixto!J23/1000000)*N$25</f>
        <v>11.840199843403118</v>
      </c>
      <c r="O52" s="9">
        <f>(CB_SMI_Mixto!K23/1000000)*O$25</f>
        <v>13.52590973711907</v>
      </c>
      <c r="P52" s="9">
        <f>(CB_SMI_Mixto!L23/1000000)*P$25</f>
        <v>15.260659124743492</v>
      </c>
      <c r="Q52" s="9">
        <f>(CB_SMI_Mixto!M23/1000000)*Q$25</f>
        <v>15.72153103031075</v>
      </c>
      <c r="R52" s="9">
        <f>(CB_SMI_Mixto!N23/1000000)*R$25</f>
        <v>16.196321267426139</v>
      </c>
      <c r="S52" s="9">
        <f>(CB_SMI_Mixto!O23/1000000)*S$25</f>
        <v>16.68545016970241</v>
      </c>
      <c r="T52" s="9">
        <f>(CB_SMI_Mixto!P23/1000000)*T$25</f>
        <v>17.18935076482742</v>
      </c>
      <c r="U52" s="9">
        <f>(CB_SMI_Mixto!Q23/1000000)*U$25</f>
        <v>17.708469157925212</v>
      </c>
      <c r="W52" s="37">
        <f t="shared" si="7"/>
        <v>92.75734083860695</v>
      </c>
      <c r="X52" s="37">
        <f t="shared" si="13"/>
        <v>9.5505521898879753</v>
      </c>
      <c r="Y52" s="37">
        <f t="shared" si="8"/>
        <v>11.976624620133077</v>
      </c>
      <c r="Z52" s="32">
        <f t="shared" si="14"/>
        <v>5.2200932560015935E-2</v>
      </c>
    </row>
    <row r="53" spans="2:26" x14ac:dyDescent="0.3">
      <c r="B53" s="61"/>
      <c r="C53" s="45" t="s">
        <v>166</v>
      </c>
      <c r="D53" s="46"/>
      <c r="E53" s="46"/>
      <c r="F53" s="9">
        <v>0</v>
      </c>
      <c r="G53" s="9">
        <f>(CB_SMI_Mixto!C24/1000000)*G$25</f>
        <v>1.862856930607155</v>
      </c>
      <c r="H53" s="9">
        <f>(CB_SMI_Mixto!D24/1000000)*H$25</f>
        <v>3.9508283070294099</v>
      </c>
      <c r="I53" s="9">
        <f>(CB_SMI_Mixto!E24/1000000)*I$25</f>
        <v>6.2342595767226365</v>
      </c>
      <c r="J53" s="9">
        <f>(CB_SMI_Mixto!F24/1000000)*J$25</f>
        <v>8.6876884833705574</v>
      </c>
      <c r="K53" s="9">
        <f>(CB_SMI_Mixto!G24/1000000)*K$25</f>
        <v>11.286958696658182</v>
      </c>
      <c r="L53" s="9">
        <f>(CB_SMI_Mixto!H24/1000000)*L$25</f>
        <v>13.996928992508879</v>
      </c>
      <c r="M53" s="9">
        <f>(CB_SMI_Mixto!I24/1000000)*M$25</f>
        <v>16.811634526768476</v>
      </c>
      <c r="N53" s="9">
        <f>(CB_SMI_Mixto!J24/1000000)*N$25</f>
        <v>19.706830415447726</v>
      </c>
      <c r="O53" s="9">
        <f>(CB_SMI_Mixto!K24/1000000)*O$25</f>
        <v>22.652143049604096</v>
      </c>
      <c r="P53" s="9">
        <f>(CB_SMI_Mixto!L24/1000000)*P$25</f>
        <v>25.649117974188584</v>
      </c>
      <c r="Q53" s="9">
        <f>(CB_SMI_Mixto!M24/1000000)*Q$25</f>
        <v>26.438330813938659</v>
      </c>
      <c r="R53" s="9">
        <f>(CB_SMI_Mixto!N24/1000000)*R$25</f>
        <v>27.203655796077229</v>
      </c>
      <c r="S53" s="9">
        <f>(CB_SMI_Mixto!O24/1000000)*S$25</f>
        <v>27.905835559449152</v>
      </c>
      <c r="T53" s="9">
        <f>(CB_SMI_Mixto!P24/1000000)*T$25</f>
        <v>28.57086107602461</v>
      </c>
      <c r="U53" s="9">
        <f>(CB_SMI_Mixto!Q24/1000000)*U$25</f>
        <v>29.204692362853109</v>
      </c>
      <c r="W53" s="37">
        <f t="shared" si="7"/>
        <v>152.31929432220286</v>
      </c>
      <c r="X53" s="37">
        <f t="shared" si="13"/>
        <v>15.683215547136777</v>
      </c>
      <c r="Y53" s="37">
        <f t="shared" si="8"/>
        <v>19.667133555226961</v>
      </c>
      <c r="Z53" s="32">
        <f t="shared" si="14"/>
        <v>8.5720538543005764E-2</v>
      </c>
    </row>
    <row r="54" spans="2:26" x14ac:dyDescent="0.3">
      <c r="B54" s="61"/>
      <c r="C54" s="45" t="s">
        <v>167</v>
      </c>
      <c r="D54" s="46"/>
      <c r="E54" s="46"/>
      <c r="F54" s="9">
        <v>0</v>
      </c>
      <c r="G54" s="9">
        <f>(CB_SMI_Mixto!C25/1000000)*G$25</f>
        <v>1.1141045113564814</v>
      </c>
      <c r="H54" s="9">
        <f>(CB_SMI_Mixto!D25/1000000)*H$25</f>
        <v>2.2289604474026703</v>
      </c>
      <c r="I54" s="9">
        <f>(CB_SMI_Mixto!E25/1000000)*I$25</f>
        <v>3.3445589353433993</v>
      </c>
      <c r="J54" s="9">
        <f>(CB_SMI_Mixto!F25/1000000)*J$25</f>
        <v>4.4608798272155061</v>
      </c>
      <c r="K54" s="9">
        <f>(CB_SMI_Mixto!G25/1000000)*K$25</f>
        <v>5.5779172649131077</v>
      </c>
      <c r="L54" s="9">
        <f>(CB_SMI_Mixto!H25/1000000)*L$25</f>
        <v>6.6956589771129487</v>
      </c>
      <c r="M54" s="9">
        <f>(CB_SMI_Mixto!I25/1000000)*M$25</f>
        <v>7.8140642862179224</v>
      </c>
      <c r="N54" s="9">
        <f>(CB_SMI_Mixto!J25/1000000)*N$25</f>
        <v>8.933192192598165</v>
      </c>
      <c r="O54" s="9">
        <f>(CB_SMI_Mixto!K25/1000000)*O$25</f>
        <v>10.052999382008515</v>
      </c>
      <c r="P54" s="9">
        <f>(CB_SMI_Mixto!L25/1000000)*P$25</f>
        <v>11.173443868139996</v>
      </c>
      <c r="Q54" s="9">
        <f>(CB_SMI_Mixto!M25/1000000)*Q$25</f>
        <v>11.33960686524</v>
      </c>
      <c r="R54" s="9">
        <f>(CB_SMI_Mixto!N25/1000000)*R$25</f>
        <v>11.50837902822</v>
      </c>
      <c r="S54" s="9">
        <f>(CB_SMI_Mixto!O25/1000000)*S$25</f>
        <v>11.67979773768</v>
      </c>
      <c r="T54" s="9">
        <f>(CB_SMI_Mixto!P25/1000000)*T$25</f>
        <v>11.8538679777</v>
      </c>
      <c r="U54" s="9">
        <f>(CB_SMI_Mixto!Q25/1000000)*U$25</f>
        <v>12.030634605000001</v>
      </c>
      <c r="W54" s="37">
        <f t="shared" si="7"/>
        <v>68.687622139612515</v>
      </c>
      <c r="X54" s="37">
        <f t="shared" si="13"/>
        <v>7.0722674250126349</v>
      </c>
      <c r="Y54" s="37">
        <f t="shared" si="8"/>
        <v>8.8687952778534562</v>
      </c>
      <c r="Z54" s="32">
        <f t="shared" si="14"/>
        <v>3.8655247106064182E-2</v>
      </c>
    </row>
    <row r="55" spans="2:26" x14ac:dyDescent="0.3">
      <c r="B55" s="61"/>
      <c r="C55" s="45" t="s">
        <v>168</v>
      </c>
      <c r="D55" s="46"/>
      <c r="E55" s="46"/>
      <c r="F55" s="9">
        <v>0</v>
      </c>
      <c r="G55" s="9">
        <f>(CB_SMI_Mixto!C26/1000000)*G$25</f>
        <v>1.7016845413700656</v>
      </c>
      <c r="H55" s="9">
        <f>(CB_SMI_Mixto!D26/1000000)*H$25</f>
        <v>3.3574772684183496</v>
      </c>
      <c r="I55" s="9">
        <f>(CB_SMI_Mixto!E26/1000000)*I$25</f>
        <v>5.0191973469568234</v>
      </c>
      <c r="J55" s="9">
        <f>(CB_SMI_Mixto!F26/1000000)*J$25</f>
        <v>6.6123194059998278</v>
      </c>
      <c r="K55" s="9">
        <f>(CB_SMI_Mixto!G26/1000000)*K$25</f>
        <v>8.1598373498159944</v>
      </c>
      <c r="L55" s="9">
        <f>(CB_SMI_Mixto!H26/1000000)*L$25</f>
        <v>9.6624868444344827</v>
      </c>
      <c r="M55" s="9">
        <f>(CB_SMI_Mixto!I26/1000000)*M$25</f>
        <v>11.123544885156029</v>
      </c>
      <c r="N55" s="9">
        <f>(CB_SMI_Mixto!J26/1000000)*N$25</f>
        <v>12.634242877204256</v>
      </c>
      <c r="O55" s="9">
        <f>(CB_SMI_Mixto!K26/1000000)*O$25</f>
        <v>14.039581759658239</v>
      </c>
      <c r="P55" s="9">
        <f>(CB_SMI_Mixto!L26/1000000)*P$25</f>
        <v>15.40159957499999</v>
      </c>
      <c r="Q55" s="9">
        <f>(CB_SMI_Mixto!M26/1000000)*Q$25</f>
        <v>15.427400775000001</v>
      </c>
      <c r="R55" s="9">
        <f>(CB_SMI_Mixto!N26/1000000)*R$25</f>
        <v>15.4579956</v>
      </c>
      <c r="S55" s="9">
        <f>(CB_SMI_Mixto!O26/1000000)*S$25</f>
        <v>15.503510175000001</v>
      </c>
      <c r="T55" s="9">
        <f>(CB_SMI_Mixto!P26/1000000)*T$25</f>
        <v>15.549158775</v>
      </c>
      <c r="U55" s="9">
        <f>(CB_SMI_Mixto!Q26/1000000)*U$25</f>
        <v>15.5949417</v>
      </c>
      <c r="W55" s="37">
        <f t="shared" si="7"/>
        <v>95.651721717688318</v>
      </c>
      <c r="X55" s="37">
        <f t="shared" si="13"/>
        <v>9.8485656451376009</v>
      </c>
      <c r="Y55" s="37">
        <f t="shared" si="8"/>
        <v>12.350340737726006</v>
      </c>
      <c r="Z55" s="32">
        <f t="shared" si="14"/>
        <v>5.3829799663211719E-2</v>
      </c>
    </row>
    <row r="56" spans="2:26" x14ac:dyDescent="0.3">
      <c r="B56" s="62"/>
      <c r="C56" s="63" t="s">
        <v>120</v>
      </c>
      <c r="D56" s="63"/>
      <c r="E56" s="63"/>
      <c r="F56" s="15">
        <f t="shared" ref="F56:T56" si="15">SUM(F47:F55)</f>
        <v>0</v>
      </c>
      <c r="G56" s="15">
        <f t="shared" si="15"/>
        <v>26.08508877075289</v>
      </c>
      <c r="H56" s="15">
        <f t="shared" si="15"/>
        <v>52.888376126473872</v>
      </c>
      <c r="I56" s="15">
        <f t="shared" si="15"/>
        <v>80.444033662124099</v>
      </c>
      <c r="J56" s="15">
        <f t="shared" si="15"/>
        <v>108.66417201188345</v>
      </c>
      <c r="K56" s="15">
        <f t="shared" si="15"/>
        <v>137.5599818875144</v>
      </c>
      <c r="L56" s="15">
        <f t="shared" si="15"/>
        <v>167.10983089320837</v>
      </c>
      <c r="M56" s="15">
        <f t="shared" si="15"/>
        <v>197.32338417388473</v>
      </c>
      <c r="N56" s="15">
        <f t="shared" si="15"/>
        <v>228.28170792250685</v>
      </c>
      <c r="O56" s="15">
        <f t="shared" si="15"/>
        <v>259.81239173135236</v>
      </c>
      <c r="P56" s="15">
        <f t="shared" si="15"/>
        <v>291.99241729613288</v>
      </c>
      <c r="Q56" s="15">
        <f t="shared" si="15"/>
        <v>299.58049891565929</v>
      </c>
      <c r="R56" s="15">
        <f t="shared" si="15"/>
        <v>307.34364772529472</v>
      </c>
      <c r="S56" s="15">
        <f t="shared" si="15"/>
        <v>315.26076038645209</v>
      </c>
      <c r="T56" s="15">
        <f t="shared" si="15"/>
        <v>323.34629033692545</v>
      </c>
      <c r="U56" s="15">
        <f>SUM(U47:U55)</f>
        <v>331.61245611625691</v>
      </c>
      <c r="W56" s="37">
        <f t="shared" si="7"/>
        <v>1776.9288073917628</v>
      </c>
      <c r="X56" s="37">
        <f t="shared" si="13"/>
        <v>182.95750136087341</v>
      </c>
      <c r="Y56" s="37">
        <f t="shared" si="8"/>
        <v>229.43315440511392</v>
      </c>
      <c r="Z56" s="32">
        <f t="shared" si="14"/>
        <v>1</v>
      </c>
    </row>
    <row r="57" spans="2:26" x14ac:dyDescent="0.3">
      <c r="W57" s="37"/>
    </row>
    <row r="58" spans="2:26" x14ac:dyDescent="0.3">
      <c r="B58" s="43" t="s">
        <v>60</v>
      </c>
      <c r="C58" s="44"/>
      <c r="D58" s="44"/>
      <c r="E58" s="44"/>
      <c r="F58" s="42">
        <f>F45+F56</f>
        <v>-203.13261980837729</v>
      </c>
      <c r="G58" s="42">
        <f t="shared" ref="G58:U58" si="16">G45+G56</f>
        <v>-140.59577308234444</v>
      </c>
      <c r="H58" s="42">
        <f t="shared" si="16"/>
        <v>-123.48775322679515</v>
      </c>
      <c r="I58" s="42">
        <f t="shared" si="16"/>
        <v>-105.62850143686489</v>
      </c>
      <c r="J58" s="42">
        <f t="shared" si="16"/>
        <v>-87.098748649411831</v>
      </c>
      <c r="K58" s="42">
        <f t="shared" si="16"/>
        <v>-67.898544384579083</v>
      </c>
      <c r="L58" s="42">
        <f t="shared" si="16"/>
        <v>-48.040760927758072</v>
      </c>
      <c r="M58" s="42">
        <f t="shared" si="16"/>
        <v>-27.514043255531419</v>
      </c>
      <c r="N58" s="42">
        <f t="shared" si="16"/>
        <v>-6.233316527496612</v>
      </c>
      <c r="O58" s="42">
        <f t="shared" si="16"/>
        <v>15.613880098260836</v>
      </c>
      <c r="P58" s="42">
        <f t="shared" si="16"/>
        <v>38.118373243106078</v>
      </c>
      <c r="Q58" s="42">
        <f t="shared" si="16"/>
        <v>178.08646926937266</v>
      </c>
      <c r="R58" s="42">
        <f t="shared" si="16"/>
        <v>184.07215930311685</v>
      </c>
      <c r="S58" s="42">
        <f t="shared" si="16"/>
        <v>190.18361772946693</v>
      </c>
      <c r="T58" s="42">
        <f t="shared" si="16"/>
        <v>196.43437056768641</v>
      </c>
      <c r="U58" s="42">
        <f t="shared" si="16"/>
        <v>202.8380019203438</v>
      </c>
      <c r="W58" s="37">
        <f>NPV($D$68,G58:U58)+F58</f>
        <v>-233.66103837643394</v>
      </c>
    </row>
    <row r="59" spans="2:26" x14ac:dyDescent="0.3">
      <c r="W59" s="37"/>
    </row>
    <row r="60" spans="2:26" x14ac:dyDescent="0.3">
      <c r="B60" s="43" t="s">
        <v>142</v>
      </c>
      <c r="C60" s="44"/>
      <c r="D60" s="44"/>
      <c r="E60" s="44"/>
      <c r="F60" s="33">
        <v>0</v>
      </c>
      <c r="G60" s="29">
        <f>F61</f>
        <v>-203.13261980837729</v>
      </c>
      <c r="H60" s="29">
        <f t="shared" ref="H60:U60" si="17">G61</f>
        <v>-343.72839289072169</v>
      </c>
      <c r="I60" s="29">
        <f t="shared" si="17"/>
        <v>-467.21614611751681</v>
      </c>
      <c r="J60" s="29">
        <f t="shared" si="17"/>
        <v>-572.84464755438171</v>
      </c>
      <c r="K60" s="29">
        <f t="shared" si="17"/>
        <v>-659.94339620379355</v>
      </c>
      <c r="L60" s="29">
        <f>K61</f>
        <v>-727.84194058837261</v>
      </c>
      <c r="M60" s="29">
        <f t="shared" si="17"/>
        <v>-775.88270151613074</v>
      </c>
      <c r="N60" s="29">
        <f t="shared" si="17"/>
        <v>-803.39674477166216</v>
      </c>
      <c r="O60" s="29">
        <f t="shared" si="17"/>
        <v>-809.6300612991588</v>
      </c>
      <c r="P60" s="29">
        <f t="shared" si="17"/>
        <v>-794.01618120089802</v>
      </c>
      <c r="Q60" s="29">
        <f t="shared" si="17"/>
        <v>-755.89780795779188</v>
      </c>
      <c r="R60" s="29">
        <f t="shared" si="17"/>
        <v>-577.81133868841926</v>
      </c>
      <c r="S60" s="29">
        <f t="shared" si="17"/>
        <v>-393.73917938530241</v>
      </c>
      <c r="T60" s="29">
        <f t="shared" si="17"/>
        <v>-203.55556165583548</v>
      </c>
      <c r="U60" s="29">
        <f t="shared" si="17"/>
        <v>-7.121191088149061</v>
      </c>
      <c r="W60" s="37"/>
    </row>
    <row r="61" spans="2:26" x14ac:dyDescent="0.3">
      <c r="B61" s="43" t="s">
        <v>98</v>
      </c>
      <c r="C61" s="44"/>
      <c r="D61" s="44"/>
      <c r="E61" s="44"/>
      <c r="F61" s="29">
        <f>F58+F60</f>
        <v>-203.13261980837729</v>
      </c>
      <c r="G61" s="29">
        <f>G58+G60</f>
        <v>-343.72839289072169</v>
      </c>
      <c r="H61" s="29">
        <f t="shared" ref="H61:U61" si="18">H58+H60</f>
        <v>-467.21614611751681</v>
      </c>
      <c r="I61" s="29">
        <f t="shared" si="18"/>
        <v>-572.84464755438171</v>
      </c>
      <c r="J61" s="29">
        <f t="shared" si="18"/>
        <v>-659.94339620379355</v>
      </c>
      <c r="K61" s="29">
        <f t="shared" si="18"/>
        <v>-727.84194058837261</v>
      </c>
      <c r="L61" s="29">
        <f t="shared" si="18"/>
        <v>-775.88270151613074</v>
      </c>
      <c r="M61" s="29">
        <f t="shared" si="18"/>
        <v>-803.39674477166216</v>
      </c>
      <c r="N61" s="29">
        <f t="shared" si="18"/>
        <v>-809.6300612991588</v>
      </c>
      <c r="O61" s="29">
        <f t="shared" si="18"/>
        <v>-794.01618120089802</v>
      </c>
      <c r="P61" s="29">
        <f t="shared" si="18"/>
        <v>-755.89780795779188</v>
      </c>
      <c r="Q61" s="29">
        <f t="shared" si="18"/>
        <v>-577.81133868841926</v>
      </c>
      <c r="R61" s="29">
        <f t="shared" si="18"/>
        <v>-393.73917938530241</v>
      </c>
      <c r="S61" s="29">
        <f t="shared" si="18"/>
        <v>-203.55556165583548</v>
      </c>
      <c r="T61" s="29">
        <f t="shared" si="18"/>
        <v>-7.121191088149061</v>
      </c>
      <c r="U61" s="29">
        <f t="shared" si="18"/>
        <v>195.71681083219474</v>
      </c>
      <c r="W61" s="37"/>
    </row>
    <row r="62" spans="2:26" x14ac:dyDescent="0.3">
      <c r="W62" s="37"/>
    </row>
    <row r="63" spans="2:26" x14ac:dyDescent="0.3">
      <c r="B63" s="82" t="s">
        <v>143</v>
      </c>
      <c r="C63" s="83"/>
      <c r="D63" s="83"/>
      <c r="E63" s="83"/>
      <c r="F63" s="36">
        <f>F58/(1+0.06)^F27</f>
        <v>-203.13261980837729</v>
      </c>
      <c r="G63" s="36">
        <f>G58/(1+0.06)^G27</f>
        <v>-132.63752177579664</v>
      </c>
      <c r="H63" s="36">
        <f t="shared" ref="H63:T63" si="19">H58/(1+0.06)^H27</f>
        <v>-109.90366075720463</v>
      </c>
      <c r="I63" s="36">
        <f t="shared" si="19"/>
        <v>-88.687726644196943</v>
      </c>
      <c r="J63" s="36">
        <f t="shared" si="19"/>
        <v>-68.990366881160199</v>
      </c>
      <c r="K63" s="36">
        <f t="shared" si="19"/>
        <v>-50.737742217085433</v>
      </c>
      <c r="L63" s="36">
        <f t="shared" si="19"/>
        <v>-33.866840786765614</v>
      </c>
      <c r="M63" s="36">
        <f t="shared" si="19"/>
        <v>-18.298410191603828</v>
      </c>
      <c r="N63" s="36">
        <f t="shared" si="19"/>
        <v>-3.9108599038408487</v>
      </c>
      <c r="O63" s="36">
        <f t="shared" si="19"/>
        <v>9.2418316399026246</v>
      </c>
      <c r="P63" s="36">
        <f t="shared" si="19"/>
        <v>21.285100523451415</v>
      </c>
      <c r="Q63" s="36">
        <f t="shared" si="19"/>
        <v>93.813730452143702</v>
      </c>
      <c r="R63" s="36">
        <f t="shared" si="19"/>
        <v>91.47822386111423</v>
      </c>
      <c r="S63" s="36">
        <f t="shared" si="19"/>
        <v>89.165501382815776</v>
      </c>
      <c r="T63" s="36">
        <f t="shared" si="19"/>
        <v>86.883111539401739</v>
      </c>
      <c r="U63" s="36">
        <f>U58/(1+0.06)^U27</f>
        <v>84.6372111907679</v>
      </c>
      <c r="W63" s="37"/>
    </row>
    <row r="64" spans="2:26" x14ac:dyDescent="0.3">
      <c r="B64" s="82" t="s">
        <v>144</v>
      </c>
      <c r="C64" s="83"/>
      <c r="D64" s="83"/>
      <c r="E64" s="83"/>
      <c r="F64" s="36">
        <f>F63</f>
        <v>-203.13261980837729</v>
      </c>
      <c r="G64" s="36">
        <f>F64+G63</f>
        <v>-335.77014158417393</v>
      </c>
      <c r="H64" s="36">
        <f t="shared" ref="H64:U64" si="20">G64+H63</f>
        <v>-445.67380234137858</v>
      </c>
      <c r="I64" s="36">
        <f t="shared" si="20"/>
        <v>-534.36152898557555</v>
      </c>
      <c r="J64" s="36">
        <f t="shared" si="20"/>
        <v>-603.35189586673573</v>
      </c>
      <c r="K64" s="36">
        <f t="shared" si="20"/>
        <v>-654.08963808382111</v>
      </c>
      <c r="L64" s="36">
        <f t="shared" si="20"/>
        <v>-687.95647887058669</v>
      </c>
      <c r="M64" s="36">
        <f t="shared" si="20"/>
        <v>-706.2548890621905</v>
      </c>
      <c r="N64" s="36">
        <f t="shared" si="20"/>
        <v>-710.1657489660314</v>
      </c>
      <c r="O64" s="36">
        <f t="shared" si="20"/>
        <v>-700.92391732612873</v>
      </c>
      <c r="P64" s="36">
        <f t="shared" si="20"/>
        <v>-679.6388168026773</v>
      </c>
      <c r="Q64" s="36">
        <f t="shared" si="20"/>
        <v>-585.82508635053364</v>
      </c>
      <c r="R64" s="36">
        <f t="shared" si="20"/>
        <v>-494.34686248941944</v>
      </c>
      <c r="S64" s="36">
        <f t="shared" si="20"/>
        <v>-405.18136110660367</v>
      </c>
      <c r="T64" s="36">
        <f t="shared" si="20"/>
        <v>-318.29824956720194</v>
      </c>
      <c r="U64" s="36">
        <f t="shared" si="20"/>
        <v>-233.66103837643402</v>
      </c>
      <c r="W64" s="37"/>
    </row>
    <row r="67" spans="3:25" x14ac:dyDescent="0.3">
      <c r="V67" s="37">
        <f>V51*1000000/7744865</f>
        <v>6.281743505645462</v>
      </c>
      <c r="W67">
        <f>V67*S4/12</f>
        <v>502.20445413133592</v>
      </c>
    </row>
    <row r="68" spans="3:25" x14ac:dyDescent="0.3">
      <c r="C68" t="s">
        <v>155</v>
      </c>
      <c r="D68" s="38">
        <f>J4</f>
        <v>0.06</v>
      </c>
      <c r="F68" t="s">
        <v>157</v>
      </c>
      <c r="G68" s="37">
        <f>NPV(D68,G45:U45)+F45</f>
        <v>-2010.5898457681967</v>
      </c>
      <c r="H68" s="37">
        <f>G68/7.744865</f>
        <v>-259.60295573495426</v>
      </c>
    </row>
    <row r="69" spans="3:25" x14ac:dyDescent="0.3">
      <c r="F69" s="37" t="s">
        <v>160</v>
      </c>
      <c r="G69" s="37">
        <f>PMT(D68,15,-G68)</f>
        <v>-207.01588770077942</v>
      </c>
    </row>
    <row r="70" spans="3:25" x14ac:dyDescent="0.3">
      <c r="C70" t="s">
        <v>99</v>
      </c>
      <c r="D70" s="6">
        <f>NPV(D68,G58:U58)+F58</f>
        <v>-233.66103837643394</v>
      </c>
      <c r="G70" s="37"/>
      <c r="H70" s="6"/>
      <c r="V70" s="37">
        <f>V48*1000000/7744865</f>
        <v>17.341328214891099</v>
      </c>
      <c r="W70">
        <f>V70*S4/12</f>
        <v>1386.3813863531605</v>
      </c>
      <c r="Y70">
        <f>796-729</f>
        <v>67</v>
      </c>
    </row>
    <row r="71" spans="3:25" x14ac:dyDescent="0.3">
      <c r="C71" t="s">
        <v>100</v>
      </c>
      <c r="D71" s="8">
        <f>IRR(F58:U58)</f>
        <v>2.0773961326352897E-2</v>
      </c>
      <c r="F71" t="s">
        <v>158</v>
      </c>
      <c r="G71" s="37">
        <f>NPV(D68,G56:U56)</f>
        <v>1776.9288073917628</v>
      </c>
      <c r="H71" s="37">
        <f>G71/7.744865</f>
        <v>229.43315440511395</v>
      </c>
    </row>
    <row r="72" spans="3:25" x14ac:dyDescent="0.3">
      <c r="C72" t="s">
        <v>139</v>
      </c>
      <c r="D72" s="32">
        <f>NPV(D68,G56:U56)/-(F36+NPV(D68,G36:U36)+NPV(D68,G43:U43))</f>
        <v>0.88378483116870721</v>
      </c>
      <c r="F72" t="s">
        <v>161</v>
      </c>
      <c r="G72" s="37">
        <f>PMT(D68,15,-G71)</f>
        <v>182.95750136087341</v>
      </c>
    </row>
    <row r="73" spans="3:25" x14ac:dyDescent="0.3">
      <c r="V73">
        <f>2139-W70</f>
        <v>752.61861364683955</v>
      </c>
    </row>
    <row r="74" spans="3:25" x14ac:dyDescent="0.3">
      <c r="F74" t="s">
        <v>99</v>
      </c>
      <c r="G74" s="39">
        <f>G71+G68</f>
        <v>-233.66103837643391</v>
      </c>
    </row>
    <row r="75" spans="3:25" x14ac:dyDescent="0.3">
      <c r="F75" t="s">
        <v>156</v>
      </c>
      <c r="G75" s="39">
        <f>PMT(D68,15,-G74)</f>
        <v>-24.058386339906029</v>
      </c>
    </row>
  </sheetData>
  <mergeCells count="77">
    <mergeCell ref="B63:E63"/>
    <mergeCell ref="B64:E64"/>
    <mergeCell ref="G6:I6"/>
    <mergeCell ref="G7:I7"/>
    <mergeCell ref="G8:I8"/>
    <mergeCell ref="G9:I9"/>
    <mergeCell ref="C36:E36"/>
    <mergeCell ref="C22:E22"/>
    <mergeCell ref="C23:E23"/>
    <mergeCell ref="B21:B25"/>
    <mergeCell ref="C31:E31"/>
    <mergeCell ref="C33:E33"/>
    <mergeCell ref="C32:E32"/>
    <mergeCell ref="C35:E35"/>
    <mergeCell ref="C55:E55"/>
    <mergeCell ref="C50:E50"/>
    <mergeCell ref="L5:P5"/>
    <mergeCell ref="L6:P6"/>
    <mergeCell ref="L7:P7"/>
    <mergeCell ref="L8:P8"/>
    <mergeCell ref="L9:P9"/>
    <mergeCell ref="C52:E52"/>
    <mergeCell ref="C53:E53"/>
    <mergeCell ref="B44:U44"/>
    <mergeCell ref="C51:E51"/>
    <mergeCell ref="C47:E47"/>
    <mergeCell ref="C48:E48"/>
    <mergeCell ref="C49:E49"/>
    <mergeCell ref="B45:E45"/>
    <mergeCell ref="G4:I4"/>
    <mergeCell ref="G2:K2"/>
    <mergeCell ref="L4:P4"/>
    <mergeCell ref="B26:U26"/>
    <mergeCell ref="B14:U14"/>
    <mergeCell ref="B5:C5"/>
    <mergeCell ref="B6:C6"/>
    <mergeCell ref="B7:C7"/>
    <mergeCell ref="B2:E2"/>
    <mergeCell ref="B4:C4"/>
    <mergeCell ref="B8:C8"/>
    <mergeCell ref="B9:C9"/>
    <mergeCell ref="D4:E4"/>
    <mergeCell ref="D6:E6"/>
    <mergeCell ref="D7:E7"/>
    <mergeCell ref="D8:E8"/>
    <mergeCell ref="B60:E60"/>
    <mergeCell ref="B61:E61"/>
    <mergeCell ref="B12:D13"/>
    <mergeCell ref="C17:E17"/>
    <mergeCell ref="C18:E18"/>
    <mergeCell ref="C19:E19"/>
    <mergeCell ref="C25:E25"/>
    <mergeCell ref="C20:U20"/>
    <mergeCell ref="C21:E21"/>
    <mergeCell ref="C34:E34"/>
    <mergeCell ref="C38:E38"/>
    <mergeCell ref="C40:E40"/>
    <mergeCell ref="C41:E41"/>
    <mergeCell ref="B37:U37"/>
    <mergeCell ref="B27:D28"/>
    <mergeCell ref="B30:B36"/>
    <mergeCell ref="B58:E58"/>
    <mergeCell ref="C54:E54"/>
    <mergeCell ref="D5:E5"/>
    <mergeCell ref="B15:B19"/>
    <mergeCell ref="G5:I5"/>
    <mergeCell ref="D9:E9"/>
    <mergeCell ref="C30:E30"/>
    <mergeCell ref="C15:E15"/>
    <mergeCell ref="C24:E24"/>
    <mergeCell ref="C16:U16"/>
    <mergeCell ref="B38:B43"/>
    <mergeCell ref="C43:E43"/>
    <mergeCell ref="B47:B56"/>
    <mergeCell ref="C56:E56"/>
    <mergeCell ref="C42:E42"/>
    <mergeCell ref="C39:E39"/>
  </mergeCells>
  <conditionalFormatting sqref="F30:U36">
    <cfRule type="cellIs" dxfId="17" priority="8" operator="lessThan">
      <formula>0</formula>
    </cfRule>
  </conditionalFormatting>
  <conditionalFormatting sqref="F38:U43">
    <cfRule type="cellIs" dxfId="16" priority="4" operator="lessThan">
      <formula>0</formula>
    </cfRule>
  </conditionalFormatting>
  <conditionalFormatting sqref="F45:U45">
    <cfRule type="cellIs" dxfId="15" priority="1" operator="lessThan">
      <formula>0</formula>
    </cfRule>
  </conditionalFormatting>
  <conditionalFormatting sqref="F47:U56">
    <cfRule type="cellIs" dxfId="14" priority="5" operator="lessThan">
      <formula>0</formula>
    </cfRule>
  </conditionalFormatting>
  <conditionalFormatting sqref="F58:U61">
    <cfRule type="cellIs" dxfId="13" priority="3" operator="lessThan">
      <formula>0</formula>
    </cfRule>
  </conditionalFormatting>
  <conditionalFormatting sqref="F63:U64">
    <cfRule type="cellIs" dxfId="12" priority="2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78669-6CE0-42F9-AC7A-9C2AA6FE03EA}">
  <sheetPr>
    <tabColor theme="4" tint="-0.249977111117893"/>
  </sheetPr>
  <dimension ref="B2:X75"/>
  <sheetViews>
    <sheetView topLeftCell="A44" zoomScale="90" zoomScaleNormal="90" workbookViewId="0">
      <selection activeCell="E85" sqref="E85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6640625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78" t="s">
        <v>48</v>
      </c>
      <c r="C2" s="78"/>
      <c r="D2" s="78"/>
      <c r="E2" s="78"/>
      <c r="G2" s="78" t="s">
        <v>41</v>
      </c>
      <c r="H2" s="78"/>
      <c r="I2" s="78"/>
      <c r="J2" s="78"/>
      <c r="K2" s="78"/>
      <c r="M2" s="30"/>
      <c r="N2" s="30"/>
      <c r="O2" s="30"/>
      <c r="P2" s="30"/>
      <c r="Q2" s="30"/>
    </row>
    <row r="3" spans="2:21" ht="15" customHeight="1" x14ac:dyDescent="0.35">
      <c r="G3" s="5"/>
      <c r="H3" s="5"/>
      <c r="I3" s="5"/>
      <c r="J3" s="5"/>
    </row>
    <row r="4" spans="2:21" x14ac:dyDescent="0.3">
      <c r="B4" s="51" t="s">
        <v>49</v>
      </c>
      <c r="C4" s="51"/>
      <c r="D4" s="51" t="s">
        <v>40</v>
      </c>
      <c r="E4" s="51"/>
      <c r="G4" s="51" t="s">
        <v>17</v>
      </c>
      <c r="H4" s="51"/>
      <c r="I4" s="51"/>
      <c r="J4" s="19">
        <v>0.06</v>
      </c>
      <c r="K4" s="17" t="s">
        <v>29</v>
      </c>
      <c r="L4" s="47"/>
      <c r="M4" s="47"/>
      <c r="N4" s="47"/>
      <c r="O4" s="47"/>
      <c r="P4" s="47"/>
      <c r="R4" s="27" t="s">
        <v>42</v>
      </c>
      <c r="S4" s="28">
        <v>959.36</v>
      </c>
      <c r="T4" s="21" t="s">
        <v>132</v>
      </c>
      <c r="U4" s="31">
        <v>45946</v>
      </c>
    </row>
    <row r="5" spans="2:21" x14ac:dyDescent="0.3">
      <c r="B5" s="47" t="s">
        <v>50</v>
      </c>
      <c r="C5" s="47"/>
      <c r="D5" s="47" t="s">
        <v>134</v>
      </c>
      <c r="E5" s="47"/>
      <c r="G5" s="51" t="s">
        <v>44</v>
      </c>
      <c r="H5" s="51"/>
      <c r="I5" s="51"/>
      <c r="J5" s="20">
        <v>15</v>
      </c>
      <c r="K5" s="21" t="s">
        <v>45</v>
      </c>
      <c r="L5" s="81"/>
      <c r="M5" s="81"/>
      <c r="N5" s="81"/>
      <c r="O5" s="81"/>
      <c r="P5" s="81"/>
      <c r="R5" s="27" t="s">
        <v>43</v>
      </c>
      <c r="S5" s="28">
        <v>39521.26</v>
      </c>
      <c r="T5" s="21" t="s">
        <v>133</v>
      </c>
      <c r="U5" s="31">
        <v>45946</v>
      </c>
    </row>
    <row r="6" spans="2:21" x14ac:dyDescent="0.3">
      <c r="B6" s="47" t="s">
        <v>51</v>
      </c>
      <c r="C6" s="47"/>
      <c r="D6" s="47" t="s">
        <v>134</v>
      </c>
      <c r="E6" s="47"/>
      <c r="G6" s="84" t="s">
        <v>95</v>
      </c>
      <c r="H6" s="84"/>
      <c r="I6" s="84"/>
      <c r="J6" s="21">
        <v>9</v>
      </c>
      <c r="K6" s="21" t="s">
        <v>45</v>
      </c>
      <c r="L6" s="81"/>
      <c r="M6" s="81"/>
      <c r="N6" s="81"/>
      <c r="O6" s="81"/>
      <c r="P6" s="81"/>
    </row>
    <row r="7" spans="2:21" x14ac:dyDescent="0.3">
      <c r="B7" s="47" t="s">
        <v>52</v>
      </c>
      <c r="C7" s="47"/>
      <c r="D7" s="47" t="s">
        <v>135</v>
      </c>
      <c r="E7" s="47"/>
      <c r="G7" s="84" t="s">
        <v>116</v>
      </c>
      <c r="H7" s="84"/>
      <c r="I7" s="84"/>
      <c r="J7" s="22">
        <f>(SUMIF($F$12:$U$12,"&lt;="&amp;$J$6,$F$17:$U$17)) / ($J$6)</f>
        <v>977467.77777777775</v>
      </c>
      <c r="K7" s="21" t="s">
        <v>96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47" t="s">
        <v>53</v>
      </c>
      <c r="C8" s="47"/>
      <c r="D8" s="47" t="s">
        <v>136</v>
      </c>
      <c r="E8" s="47"/>
      <c r="G8" s="84" t="s">
        <v>117</v>
      </c>
      <c r="H8" s="84"/>
      <c r="I8" s="84"/>
      <c r="J8" s="22">
        <f>(SUMIF($F$12:$U$12,"&lt;="&amp;$J$6,$F$18:$U$18)) / ($J$6)</f>
        <v>6825.333333333333</v>
      </c>
      <c r="K8" s="21" t="s">
        <v>96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47" t="s">
        <v>54</v>
      </c>
      <c r="C9" s="47"/>
      <c r="D9" s="47" t="s">
        <v>136</v>
      </c>
      <c r="E9" s="47"/>
      <c r="G9" s="84" t="s">
        <v>118</v>
      </c>
      <c r="H9" s="84"/>
      <c r="I9" s="84"/>
      <c r="J9" s="22">
        <f>(SUMIF($F$12:$U$12,"&lt;="&amp;$J$6,$F$19:$U$19)) / ($J$6)</f>
        <v>24779.111111111109</v>
      </c>
      <c r="K9" s="21" t="s">
        <v>96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64" t="s">
        <v>109</v>
      </c>
      <c r="C12" s="64"/>
      <c r="D12" s="64"/>
      <c r="E12" s="23" t="s">
        <v>46</v>
      </c>
      <c r="F12" s="25">
        <v>0</v>
      </c>
      <c r="G12" s="25">
        <v>1</v>
      </c>
      <c r="H12" s="25">
        <v>2</v>
      </c>
      <c r="I12" s="25">
        <v>3</v>
      </c>
      <c r="J12" s="25">
        <v>4</v>
      </c>
      <c r="K12" s="25">
        <v>5</v>
      </c>
      <c r="L12" s="25">
        <v>6</v>
      </c>
      <c r="M12" s="25">
        <v>7</v>
      </c>
      <c r="N12" s="25">
        <v>8</v>
      </c>
      <c r="O12" s="25">
        <v>9</v>
      </c>
      <c r="P12" s="25">
        <v>10</v>
      </c>
      <c r="Q12" s="25">
        <v>11</v>
      </c>
      <c r="R12" s="25">
        <v>12</v>
      </c>
      <c r="S12" s="25">
        <v>13</v>
      </c>
      <c r="T12" s="25">
        <v>14</v>
      </c>
      <c r="U12" s="25">
        <v>15</v>
      </c>
    </row>
    <row r="13" spans="2:21" x14ac:dyDescent="0.3">
      <c r="B13" s="65"/>
      <c r="C13" s="65"/>
      <c r="D13" s="65"/>
      <c r="E13" s="24" t="s">
        <v>47</v>
      </c>
      <c r="F13" s="26">
        <v>2025</v>
      </c>
      <c r="G13" s="26">
        <v>2026</v>
      </c>
      <c r="H13" s="26">
        <v>2027</v>
      </c>
      <c r="I13" s="26">
        <v>2028</v>
      </c>
      <c r="J13" s="26">
        <v>2029</v>
      </c>
      <c r="K13" s="26">
        <v>2030</v>
      </c>
      <c r="L13" s="26">
        <v>2031</v>
      </c>
      <c r="M13" s="26">
        <v>2032</v>
      </c>
      <c r="N13" s="26">
        <v>2033</v>
      </c>
      <c r="O13" s="26">
        <v>2034</v>
      </c>
      <c r="P13" s="26">
        <v>2035</v>
      </c>
      <c r="Q13" s="26">
        <v>2036</v>
      </c>
      <c r="R13" s="26">
        <v>2037</v>
      </c>
      <c r="S13" s="26">
        <v>2038</v>
      </c>
      <c r="T13" s="26">
        <v>2039</v>
      </c>
      <c r="U13" s="26">
        <v>2040</v>
      </c>
    </row>
    <row r="14" spans="2:21" x14ac:dyDescent="0.3"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</row>
    <row r="15" spans="2:21" x14ac:dyDescent="0.3">
      <c r="B15" s="48" t="s">
        <v>110</v>
      </c>
      <c r="C15" s="52" t="s">
        <v>126</v>
      </c>
      <c r="D15" s="53"/>
      <c r="E15" s="53"/>
      <c r="F15" s="4">
        <f>CB_SMI_Mixto!B2/1000</f>
        <v>34765.766042480063</v>
      </c>
      <c r="G15" s="4">
        <f>CB_SMI_Mixto!C2/1000</f>
        <v>35815.692176962955</v>
      </c>
      <c r="H15" s="4">
        <f>CB_SMI_Mixto!D2/1000</f>
        <v>36897.326080707237</v>
      </c>
      <c r="I15" s="4">
        <f>CB_SMI_Mixto!E2/1000</f>
        <v>38011.625328344599</v>
      </c>
      <c r="J15" s="4">
        <f>CB_SMI_Mixto!F2/1000</f>
        <v>39159.576413260605</v>
      </c>
      <c r="K15" s="4">
        <f>CB_SMI_Mixto!G2/1000</f>
        <v>40342.195620941086</v>
      </c>
      <c r="L15" s="4">
        <f>CB_SMI_Mixto!H2/1000</f>
        <v>41560.529928693504</v>
      </c>
      <c r="M15" s="4">
        <f>CB_SMI_Mixto!I2/1000</f>
        <v>42815.657932540038</v>
      </c>
      <c r="N15" s="4">
        <f>CB_SMI_Mixto!J2/1000</f>
        <v>44108.690802102763</v>
      </c>
      <c r="O15" s="4">
        <f>CB_SMI_Mixto!K2/1000</f>
        <v>45440.773264326257</v>
      </c>
      <c r="P15" s="4">
        <f>CB_SMI_Mixto!L2/1000</f>
        <v>46813.084616908905</v>
      </c>
      <c r="Q15" s="4">
        <f>CB_SMI_Mixto!M2/1000</f>
        <v>48226.839772339561</v>
      </c>
      <c r="R15" s="4">
        <f>CB_SMI_Mixto!N2/1000</f>
        <v>49683.290333464211</v>
      </c>
      <c r="S15" s="4">
        <f>CB_SMI_Mixto!O2/1000</f>
        <v>51183.725701534837</v>
      </c>
      <c r="T15" s="4">
        <f>CB_SMI_Mixto!P2/1000</f>
        <v>52729.474217721188</v>
      </c>
      <c r="U15" s="4">
        <f>CB_SMI_Mixto!Q2/1000</f>
        <v>54321.904339096371</v>
      </c>
    </row>
    <row r="16" spans="2:21" x14ac:dyDescent="0.3">
      <c r="B16" s="49"/>
      <c r="C16" s="54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</row>
    <row r="17" spans="2:21" x14ac:dyDescent="0.3">
      <c r="B17" s="49"/>
      <c r="C17" s="66" t="s">
        <v>103</v>
      </c>
      <c r="D17" s="67"/>
      <c r="E17" s="67"/>
      <c r="F17" s="13">
        <f>CB_SMI_Mixto!B3</f>
        <v>7706817</v>
      </c>
      <c r="G17" s="13">
        <f>CB_SMI_Mixto!C3</f>
        <v>113821</v>
      </c>
      <c r="H17" s="13">
        <f>CB_SMI_Mixto!D3</f>
        <v>115591</v>
      </c>
      <c r="I17" s="13">
        <f>CB_SMI_Mixto!E3</f>
        <v>117376</v>
      </c>
      <c r="J17" s="13">
        <f>CB_SMI_Mixto!F3</f>
        <v>119200</v>
      </c>
      <c r="K17" s="13">
        <f>CB_SMI_Mixto!G3</f>
        <v>121056</v>
      </c>
      <c r="L17" s="13">
        <f>CB_SMI_Mixto!H3</f>
        <v>122935</v>
      </c>
      <c r="M17" s="13">
        <f>CB_SMI_Mixto!I3</f>
        <v>124861</v>
      </c>
      <c r="N17" s="13">
        <f>CB_SMI_Mixto!J3</f>
        <v>126789</v>
      </c>
      <c r="O17" s="13">
        <f>CB_SMI_Mixto!K3</f>
        <v>128764</v>
      </c>
      <c r="P17" s="13">
        <f>CB_SMI_Mixto!L3</f>
        <v>130761</v>
      </c>
      <c r="Q17" s="13">
        <f>CB_SMI_Mixto!M3</f>
        <v>132814</v>
      </c>
      <c r="R17" s="13">
        <f>CB_SMI_Mixto!N3</f>
        <v>134885</v>
      </c>
      <c r="S17" s="13">
        <f>CB_SMI_Mixto!O3</f>
        <v>136990</v>
      </c>
      <c r="T17" s="13">
        <f>CB_SMI_Mixto!P3</f>
        <v>139136</v>
      </c>
      <c r="U17" s="13">
        <f>CB_SMI_Mixto!Q3</f>
        <v>141300</v>
      </c>
    </row>
    <row r="18" spans="2:21" x14ac:dyDescent="0.3">
      <c r="B18" s="49"/>
      <c r="C18" s="66" t="s">
        <v>104</v>
      </c>
      <c r="D18" s="67"/>
      <c r="E18" s="67"/>
      <c r="F18" s="13">
        <f>CB_SMI_Mixto!B4</f>
        <v>56511</v>
      </c>
      <c r="G18" s="13">
        <f>CB_SMI_Mixto!C4</f>
        <v>514</v>
      </c>
      <c r="H18" s="13">
        <f>CB_SMI_Mixto!D4</f>
        <v>519</v>
      </c>
      <c r="I18" s="13">
        <f>CB_SMI_Mixto!E4</f>
        <v>528</v>
      </c>
      <c r="J18" s="13">
        <f>CB_SMI_Mixto!F4</f>
        <v>539</v>
      </c>
      <c r="K18" s="13">
        <f>CB_SMI_Mixto!G4</f>
        <v>549</v>
      </c>
      <c r="L18" s="13">
        <f>CB_SMI_Mixto!H4</f>
        <v>558</v>
      </c>
      <c r="M18" s="13">
        <f>CB_SMI_Mixto!I4</f>
        <v>564</v>
      </c>
      <c r="N18" s="13">
        <f>CB_SMI_Mixto!J4</f>
        <v>570</v>
      </c>
      <c r="O18" s="13">
        <f>CB_SMI_Mixto!K4</f>
        <v>576</v>
      </c>
      <c r="P18" s="13">
        <f>CB_SMI_Mixto!L4</f>
        <v>589</v>
      </c>
      <c r="Q18" s="13">
        <f>CB_SMI_Mixto!M4</f>
        <v>594</v>
      </c>
      <c r="R18" s="13">
        <f>CB_SMI_Mixto!N4</f>
        <v>602</v>
      </c>
      <c r="S18" s="13">
        <f>CB_SMI_Mixto!O4</f>
        <v>612</v>
      </c>
      <c r="T18" s="13">
        <f>CB_SMI_Mixto!P4</f>
        <v>621</v>
      </c>
      <c r="U18" s="13">
        <f>CB_SMI_Mixto!Q4</f>
        <v>632</v>
      </c>
    </row>
    <row r="19" spans="2:21" x14ac:dyDescent="0.3">
      <c r="B19" s="50"/>
      <c r="C19" s="66" t="s">
        <v>105</v>
      </c>
      <c r="D19" s="67"/>
      <c r="E19" s="67"/>
      <c r="F19" s="14">
        <f>CB_SMI_Mixto!B5</f>
        <v>216250</v>
      </c>
      <c r="G19" s="14">
        <f>CB_SMI_Mixto!C5</f>
        <v>739</v>
      </c>
      <c r="H19" s="14">
        <f>CB_SMI_Mixto!D5</f>
        <v>739</v>
      </c>
      <c r="I19" s="14">
        <f>CB_SMI_Mixto!E5</f>
        <v>744</v>
      </c>
      <c r="J19" s="14">
        <f>CB_SMI_Mixto!F5</f>
        <v>746</v>
      </c>
      <c r="K19" s="14">
        <f>CB_SMI_Mixto!G5</f>
        <v>755</v>
      </c>
      <c r="L19" s="14">
        <f>CB_SMI_Mixto!H5</f>
        <v>755</v>
      </c>
      <c r="M19" s="14">
        <f>CB_SMI_Mixto!I5</f>
        <v>760</v>
      </c>
      <c r="N19" s="14">
        <f>CB_SMI_Mixto!J5</f>
        <v>762</v>
      </c>
      <c r="O19" s="14">
        <f>CB_SMI_Mixto!K5</f>
        <v>762</v>
      </c>
      <c r="P19" s="14">
        <f>CB_SMI_Mixto!L5</f>
        <v>762</v>
      </c>
      <c r="Q19" s="14">
        <f>CB_SMI_Mixto!M5</f>
        <v>767</v>
      </c>
      <c r="R19" s="14">
        <f>CB_SMI_Mixto!N5</f>
        <v>773</v>
      </c>
      <c r="S19" s="14">
        <f>CB_SMI_Mixto!O5</f>
        <v>779</v>
      </c>
      <c r="T19" s="14">
        <f>CB_SMI_Mixto!P5</f>
        <v>785</v>
      </c>
      <c r="U19" s="14">
        <f>CB_SMI_Mixto!Q5</f>
        <v>793</v>
      </c>
    </row>
    <row r="20" spans="2:21" x14ac:dyDescent="0.3">
      <c r="B20" s="11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</row>
    <row r="21" spans="2:21" x14ac:dyDescent="0.3">
      <c r="B21" s="85" t="s">
        <v>94</v>
      </c>
      <c r="C21" s="69" t="s">
        <v>113</v>
      </c>
      <c r="D21" s="70"/>
      <c r="E21" s="70"/>
      <c r="F21" s="10">
        <v>0</v>
      </c>
      <c r="G21" s="12">
        <f>IF(G$12&lt;=$J$6,$J7,G17)</f>
        <v>977467.77777777775</v>
      </c>
      <c r="H21" s="12">
        <f t="shared" ref="H21:U23" si="1">IF(H$12&lt;=$J$6,$J7,H17)</f>
        <v>977467.77777777775</v>
      </c>
      <c r="I21" s="12">
        <f t="shared" si="1"/>
        <v>977467.77777777775</v>
      </c>
      <c r="J21" s="12">
        <f t="shared" si="1"/>
        <v>977467.77777777775</v>
      </c>
      <c r="K21" s="12">
        <f t="shared" si="1"/>
        <v>977467.77777777775</v>
      </c>
      <c r="L21" s="12">
        <f t="shared" si="1"/>
        <v>977467.77777777775</v>
      </c>
      <c r="M21" s="12">
        <f t="shared" si="1"/>
        <v>977467.77777777775</v>
      </c>
      <c r="N21" s="12">
        <f t="shared" si="1"/>
        <v>977467.77777777775</v>
      </c>
      <c r="O21" s="12">
        <f t="shared" si="1"/>
        <v>977467.77777777775</v>
      </c>
      <c r="P21" s="12">
        <f t="shared" si="1"/>
        <v>130761</v>
      </c>
      <c r="Q21" s="12">
        <f t="shared" si="1"/>
        <v>132814</v>
      </c>
      <c r="R21" s="12">
        <f t="shared" si="1"/>
        <v>134885</v>
      </c>
      <c r="S21" s="12">
        <f t="shared" si="1"/>
        <v>136990</v>
      </c>
      <c r="T21" s="12">
        <f t="shared" si="1"/>
        <v>139136</v>
      </c>
      <c r="U21" s="12">
        <f t="shared" si="1"/>
        <v>141300</v>
      </c>
    </row>
    <row r="22" spans="2:21" x14ac:dyDescent="0.3">
      <c r="B22" s="86"/>
      <c r="C22" s="69" t="s">
        <v>114</v>
      </c>
      <c r="D22" s="70"/>
      <c r="E22" s="70"/>
      <c r="F22" s="10">
        <v>0</v>
      </c>
      <c r="G22" s="12">
        <f>IF(G$12&lt;=$J$6,$J8,G18)</f>
        <v>6825.333333333333</v>
      </c>
      <c r="H22" s="12">
        <f t="shared" si="1"/>
        <v>6825.333333333333</v>
      </c>
      <c r="I22" s="12">
        <f t="shared" si="1"/>
        <v>6825.333333333333</v>
      </c>
      <c r="J22" s="12">
        <f t="shared" si="1"/>
        <v>6825.333333333333</v>
      </c>
      <c r="K22" s="12">
        <f t="shared" si="1"/>
        <v>6825.333333333333</v>
      </c>
      <c r="L22" s="12">
        <f t="shared" si="1"/>
        <v>6825.333333333333</v>
      </c>
      <c r="M22" s="12">
        <f t="shared" si="1"/>
        <v>6825.333333333333</v>
      </c>
      <c r="N22" s="12">
        <f>IF(N$12&lt;=$J$6,$J8,N18)</f>
        <v>6825.333333333333</v>
      </c>
      <c r="O22" s="12">
        <f t="shared" si="1"/>
        <v>6825.333333333333</v>
      </c>
      <c r="P22" s="12">
        <f t="shared" si="1"/>
        <v>589</v>
      </c>
      <c r="Q22" s="12">
        <f t="shared" si="1"/>
        <v>594</v>
      </c>
      <c r="R22" s="12">
        <f t="shared" si="1"/>
        <v>602</v>
      </c>
      <c r="S22" s="12">
        <f t="shared" si="1"/>
        <v>612</v>
      </c>
      <c r="T22" s="12">
        <f t="shared" si="1"/>
        <v>621</v>
      </c>
      <c r="U22" s="12">
        <f t="shared" si="1"/>
        <v>632</v>
      </c>
    </row>
    <row r="23" spans="2:21" x14ac:dyDescent="0.3">
      <c r="B23" s="86"/>
      <c r="C23" s="69" t="s">
        <v>115</v>
      </c>
      <c r="D23" s="70"/>
      <c r="E23" s="70"/>
      <c r="F23" s="10">
        <v>0</v>
      </c>
      <c r="G23" s="12">
        <f>IF(G$12&lt;=$J$6,$J9,G19)</f>
        <v>24779.111111111109</v>
      </c>
      <c r="H23" s="12">
        <f t="shared" si="1"/>
        <v>24779.111111111109</v>
      </c>
      <c r="I23" s="12">
        <f t="shared" si="1"/>
        <v>24779.111111111109</v>
      </c>
      <c r="J23" s="12">
        <f t="shared" si="1"/>
        <v>24779.111111111109</v>
      </c>
      <c r="K23" s="12">
        <f t="shared" si="1"/>
        <v>24779.111111111109</v>
      </c>
      <c r="L23" s="12">
        <f t="shared" si="1"/>
        <v>24779.111111111109</v>
      </c>
      <c r="M23" s="12">
        <f t="shared" si="1"/>
        <v>24779.111111111109</v>
      </c>
      <c r="N23" s="12">
        <f t="shared" si="1"/>
        <v>24779.111111111109</v>
      </c>
      <c r="O23" s="12">
        <f t="shared" si="1"/>
        <v>24779.111111111109</v>
      </c>
      <c r="P23" s="12">
        <f t="shared" si="1"/>
        <v>762</v>
      </c>
      <c r="Q23" s="12">
        <f t="shared" si="1"/>
        <v>767</v>
      </c>
      <c r="R23" s="12">
        <f t="shared" si="1"/>
        <v>773</v>
      </c>
      <c r="S23" s="12">
        <f t="shared" si="1"/>
        <v>779</v>
      </c>
      <c r="T23" s="12">
        <f t="shared" si="1"/>
        <v>785</v>
      </c>
      <c r="U23" s="12">
        <f t="shared" si="1"/>
        <v>793</v>
      </c>
    </row>
    <row r="24" spans="2:21" x14ac:dyDescent="0.3">
      <c r="B24" s="86"/>
      <c r="C24" s="54" t="s">
        <v>102</v>
      </c>
      <c r="D24" s="55"/>
      <c r="E24" s="55"/>
      <c r="F24" s="4">
        <f>SUM(F17:F19)</f>
        <v>7979578</v>
      </c>
      <c r="G24" s="7">
        <f>SUM(F24,G17:G19)-SUM(G21:G23)</f>
        <v>7085579.777777778</v>
      </c>
      <c r="H24" s="7">
        <f t="shared" ref="H24:U24" si="2">SUM(G24,H17:H19)-SUM(H21:H23)</f>
        <v>6193356.555555556</v>
      </c>
      <c r="I24" s="7">
        <f t="shared" si="2"/>
        <v>5302932.333333334</v>
      </c>
      <c r="J24" s="7">
        <f t="shared" si="2"/>
        <v>4414345.1111111119</v>
      </c>
      <c r="K24" s="7">
        <f t="shared" si="2"/>
        <v>3527632.8888888899</v>
      </c>
      <c r="L24" s="7">
        <f t="shared" si="2"/>
        <v>2642808.6666666679</v>
      </c>
      <c r="M24" s="7">
        <f t="shared" si="2"/>
        <v>1759921.4444444457</v>
      </c>
      <c r="N24" s="7">
        <f t="shared" si="2"/>
        <v>878970.22222222341</v>
      </c>
      <c r="O24" s="7">
        <f t="shared" si="2"/>
        <v>1.1641532182693481E-9</v>
      </c>
      <c r="P24" s="7">
        <f>SUM(O24,P17:P19)-SUM(P21:P23)</f>
        <v>1.1641532182693481E-9</v>
      </c>
      <c r="Q24" s="7">
        <f>SUM(P24,Q17:Q19)-SUM(Q21:Q23)</f>
        <v>1.1641532182693481E-9</v>
      </c>
      <c r="R24" s="7">
        <f t="shared" si="2"/>
        <v>1.1641532182693481E-9</v>
      </c>
      <c r="S24" s="7">
        <f t="shared" si="2"/>
        <v>1.1641532182693481E-9</v>
      </c>
      <c r="T24" s="7">
        <f t="shared" si="2"/>
        <v>1.1641532182693481E-9</v>
      </c>
      <c r="U24" s="7">
        <f t="shared" si="2"/>
        <v>1.1641532182693481E-9</v>
      </c>
    </row>
    <row r="25" spans="2:21" x14ac:dyDescent="0.3">
      <c r="B25" s="87"/>
      <c r="C25" s="68" t="s">
        <v>97</v>
      </c>
      <c r="D25" s="68"/>
      <c r="E25" s="68"/>
      <c r="F25" s="18">
        <v>0</v>
      </c>
      <c r="G25" s="18">
        <f>IF(G$12&lt;=$J$6,SUM($F$21:G23)/SUM($F$17:G19),1)</f>
        <v>0.12465912335974694</v>
      </c>
      <c r="H25" s="18">
        <f>IF(H$12&lt;=$J$6,SUM($F$21:H23)/SUM($F$17:H19),1)</f>
        <v>0.24577046808426914</v>
      </c>
      <c r="I25" s="18">
        <f>IF(I$12&lt;=$J$6,SUM($F$21:I23)/SUM($F$17:I19),1)</f>
        <v>0.36340486426673357</v>
      </c>
      <c r="J25" s="18">
        <f>IF(J$12&lt;=$J$6,SUM($F$21:J23)/SUM($F$17:J19),1)</f>
        <v>0.4776314876361808</v>
      </c>
      <c r="K25" s="18">
        <f>IF(K$12&lt;=$J$6,SUM($F$21:K23)/SUM($F$17:K19),1)</f>
        <v>0.58851797996255562</v>
      </c>
      <c r="L25" s="18">
        <f>IF(L$12&lt;=$J$6,SUM($F$21:L23)/SUM($F$17:L19),1)</f>
        <v>0.69613255941749475</v>
      </c>
      <c r="M25" s="18">
        <f>IF(M$12&lt;=$J$6,SUM($F$21:M23)/SUM($F$17:M19),1)</f>
        <v>0.80053992122964845</v>
      </c>
      <c r="N25" s="18">
        <f>IF(N$12&lt;=$J$6,SUM($F$21:N23)/SUM($F$17:N19),1)</f>
        <v>0.90180801999584603</v>
      </c>
      <c r="O25" s="18">
        <f>IF(O$12&lt;=$J$6,SUM($F$21:O23)/SUM($F$17:O19),1)</f>
        <v>1.0000000000000013</v>
      </c>
      <c r="P25" s="18">
        <f>IF(P$12&lt;=$J$6,SUM($F$21:P23)/SUM($F$17:P19),1)</f>
        <v>1</v>
      </c>
      <c r="Q25" s="18">
        <f>IF(Q$12&lt;=$J$6,SUM($F$21:Q23)/SUM($F$17:Q19),1)</f>
        <v>1</v>
      </c>
      <c r="R25" s="18">
        <f>IF(R$12&lt;=$J$6,SUM($F$21:R23)/SUM($F$17:R19),1)</f>
        <v>1</v>
      </c>
      <c r="S25" s="18">
        <f>IF(S$12&lt;=$J$6,SUM($F$21:S23)/SUM($F$17:S19),1)</f>
        <v>1</v>
      </c>
      <c r="T25" s="18">
        <f>IF(T$12&lt;=$J$6,SUM($F$21:T23)/SUM($F$17:T19),1)</f>
        <v>1</v>
      </c>
      <c r="U25" s="18">
        <f>IF(U$12&lt;=$J$6,SUM($F$21:U23)/SUM($F$17:U19),1)</f>
        <v>1</v>
      </c>
    </row>
    <row r="26" spans="2:21" ht="28.2" customHeight="1" x14ac:dyDescent="0.3"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</row>
    <row r="27" spans="2:21" x14ac:dyDescent="0.3">
      <c r="B27" s="72" t="s">
        <v>112</v>
      </c>
      <c r="C27" s="73"/>
      <c r="D27" s="74"/>
      <c r="E27" s="23" t="s">
        <v>46</v>
      </c>
      <c r="F27" s="25">
        <v>0</v>
      </c>
      <c r="G27" s="25">
        <v>1</v>
      </c>
      <c r="H27" s="25">
        <v>2</v>
      </c>
      <c r="I27" s="25">
        <v>3</v>
      </c>
      <c r="J27" s="25">
        <v>4</v>
      </c>
      <c r="K27" s="25">
        <v>5</v>
      </c>
      <c r="L27" s="25">
        <v>6</v>
      </c>
      <c r="M27" s="25">
        <v>7</v>
      </c>
      <c r="N27" s="25">
        <v>8</v>
      </c>
      <c r="O27" s="25">
        <v>9</v>
      </c>
      <c r="P27" s="25">
        <v>10</v>
      </c>
      <c r="Q27" s="25">
        <v>11</v>
      </c>
      <c r="R27" s="25">
        <v>12</v>
      </c>
      <c r="S27" s="25">
        <v>13</v>
      </c>
      <c r="T27" s="25">
        <v>14</v>
      </c>
      <c r="U27" s="25">
        <v>15</v>
      </c>
    </row>
    <row r="28" spans="2:21" x14ac:dyDescent="0.3">
      <c r="B28" s="75"/>
      <c r="C28" s="76"/>
      <c r="D28" s="77"/>
      <c r="E28" s="24" t="s">
        <v>47</v>
      </c>
      <c r="F28" s="26">
        <v>2025</v>
      </c>
      <c r="G28" s="26">
        <v>2026</v>
      </c>
      <c r="H28" s="26">
        <v>2027</v>
      </c>
      <c r="I28" s="26">
        <v>2028</v>
      </c>
      <c r="J28" s="26">
        <v>2029</v>
      </c>
      <c r="K28" s="26">
        <v>2030</v>
      </c>
      <c r="L28" s="26">
        <v>2031</v>
      </c>
      <c r="M28" s="26">
        <v>2032</v>
      </c>
      <c r="N28" s="26">
        <v>2033</v>
      </c>
      <c r="O28" s="26">
        <v>2034</v>
      </c>
      <c r="P28" s="26">
        <v>2035</v>
      </c>
      <c r="Q28" s="26">
        <v>2036</v>
      </c>
      <c r="R28" s="26">
        <v>2037</v>
      </c>
      <c r="S28" s="26">
        <v>2038</v>
      </c>
      <c r="T28" s="26">
        <v>2039</v>
      </c>
      <c r="U28" s="26">
        <v>2040</v>
      </c>
    </row>
    <row r="29" spans="2:21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1" x14ac:dyDescent="0.3">
      <c r="B30" s="56" t="s">
        <v>106</v>
      </c>
      <c r="C30" s="45" t="s">
        <v>55</v>
      </c>
      <c r="D30" s="46"/>
      <c r="E30" s="46"/>
      <c r="F30" s="9">
        <v>0</v>
      </c>
      <c r="G30" s="9">
        <f>((-CB_SMI_Mixto!C7)*G21)/1000000</f>
        <v>-148.76561301026388</v>
      </c>
      <c r="H30" s="9">
        <f>((-CB_SMI_Mixto!D7)*H21)/1000000</f>
        <v>-148.77154209236153</v>
      </c>
      <c r="I30" s="9">
        <f>((-CB_SMI_Mixto!E7)*I21)/1000000</f>
        <v>-148.78139392954094</v>
      </c>
      <c r="J30" s="9">
        <f>((-CB_SMI_Mixto!F7)*J21)/1000000</f>
        <v>-148.78396510530214</v>
      </c>
      <c r="K30" s="9">
        <f>((-CB_SMI_Mixto!G7)*K21)/1000000</f>
        <v>-148.79129699239388</v>
      </c>
      <c r="L30" s="9">
        <f>((-CB_SMI_Mixto!H7)*L21)/1000000</f>
        <v>-148.80275317403496</v>
      </c>
      <c r="M30" s="9">
        <f>((-CB_SMI_Mixto!I7)*M21)/1000000</f>
        <v>-148.81009485667275</v>
      </c>
      <c r="N30" s="9">
        <f>((-CB_SMI_Mixto!J7)*N21)/1000000</f>
        <v>-148.81338050758967</v>
      </c>
      <c r="O30" s="9">
        <f>((-CB_SMI_Mixto!K7)*O21)/1000000</f>
        <v>-148.82328773403398</v>
      </c>
      <c r="P30" s="9">
        <f>((-CB_SMI_Mixto!L7)*P21)/1000000</f>
        <v>-19.909431360235168</v>
      </c>
      <c r="Q30" s="9">
        <f>((-CB_SMI_Mixto!M7)*Q21)/1000000</f>
        <v>-20.223221447200366</v>
      </c>
      <c r="R30" s="9">
        <f>((-CB_SMI_Mixto!N7)*R21)/1000000</f>
        <v>-20.539860707082969</v>
      </c>
      <c r="S30" s="9">
        <f>((-CB_SMI_Mixto!O7)*S21)/1000000</f>
        <v>-20.861326318049475</v>
      </c>
      <c r="T30" s="9">
        <f>((-CB_SMI_Mixto!P7)*T21)/1000000</f>
        <v>-21.189057200099885</v>
      </c>
      <c r="U30" s="9">
        <f>((-CB_SMI_Mixto!Q7)*U21)/1000000</f>
        <v>-21.51947532390087</v>
      </c>
    </row>
    <row r="31" spans="2:21" x14ac:dyDescent="0.3">
      <c r="B31" s="57"/>
      <c r="C31" s="45" t="s">
        <v>56</v>
      </c>
      <c r="D31" s="46"/>
      <c r="E31" s="46"/>
      <c r="F31" s="9">
        <v>0</v>
      </c>
      <c r="G31" s="9">
        <f>((-CB_SMI_Mixto!C8)*G22)/1000000</f>
        <v>-2.3509908451491013</v>
      </c>
      <c r="H31" s="9">
        <f>((-CB_SMI_Mixto!D8)*H22)/1000000</f>
        <v>-2.3502709817952834</v>
      </c>
      <c r="I31" s="9">
        <f>((-CB_SMI_Mixto!E8)*I22)/1000000</f>
        <v>-2.3526283998821582</v>
      </c>
      <c r="J31" s="9">
        <f>((-CB_SMI_Mixto!F8)*J22)/1000000</f>
        <v>-2.3530396839901417</v>
      </c>
      <c r="K31" s="9">
        <f>((-CB_SMI_Mixto!G8)*K22)/1000000</f>
        <v>-2.3535748616216043</v>
      </c>
      <c r="L31" s="9">
        <f>((-CB_SMI_Mixto!H8)*L22)/1000000</f>
        <v>-2.3542301491335147</v>
      </c>
      <c r="M31" s="9">
        <f>((-CB_SMI_Mixto!I8)*M22)/1000000</f>
        <v>-2.3541523903413348</v>
      </c>
      <c r="N31" s="9">
        <f>((-CB_SMI_Mixto!J8)*N22)/1000000</f>
        <v>-2.3540772873861027</v>
      </c>
      <c r="O31" s="9">
        <f>((-CB_SMI_Mixto!K8)*O22)/1000000</f>
        <v>-2.3538180460946778</v>
      </c>
      <c r="P31" s="9">
        <f>((-CB_SMI_Mixto!L8)*P22)/1000000</f>
        <v>-0.20303987619334751</v>
      </c>
      <c r="Q31" s="9">
        <f>((-CB_SMI_Mixto!M8)*Q22)/1000000</f>
        <v>-0.20480074094359302</v>
      </c>
      <c r="R31" s="9">
        <f>((-CB_SMI_Mixto!N8)*R22)/1000000</f>
        <v>-0.20753090727725379</v>
      </c>
      <c r="S31" s="9">
        <f>((-CB_SMI_Mixto!O8)*S22)/1000000</f>
        <v>-0.21099037519432959</v>
      </c>
      <c r="T31" s="9">
        <f>((-CB_SMI_Mixto!P8)*T22)/1000000</f>
        <v>-0.21417849961156918</v>
      </c>
      <c r="U31" s="9">
        <f>((-CB_SMI_Mixto!Q8)*U22)/1000000</f>
        <v>-0.21794031419531179</v>
      </c>
    </row>
    <row r="32" spans="2:21" x14ac:dyDescent="0.3">
      <c r="B32" s="57"/>
      <c r="C32" s="45" t="s">
        <v>57</v>
      </c>
      <c r="D32" s="46"/>
      <c r="E32" s="46"/>
      <c r="F32" s="9">
        <v>0</v>
      </c>
      <c r="G32" s="9">
        <f>((-CB_SMI_Mixto!C9)*G23)/1000000</f>
        <v>-18.532826132130843</v>
      </c>
      <c r="H32" s="9">
        <f>((-CB_SMI_Mixto!D9)*H23)/1000000</f>
        <v>-18.532826132130843</v>
      </c>
      <c r="I32" s="9">
        <f>((-CB_SMI_Mixto!E9)*I23)/1000000</f>
        <v>-18.529848914847097</v>
      </c>
      <c r="J32" s="9">
        <f>((-CB_SMI_Mixto!F9)*J23)/1000000</f>
        <v>-18.531977774056003</v>
      </c>
      <c r="K32" s="9">
        <f>((-CB_SMI_Mixto!G9)*K23)/1000000</f>
        <v>-18.537331651715299</v>
      </c>
      <c r="L32" s="9">
        <f>((-CB_SMI_Mixto!H9)*L23)/1000000</f>
        <v>-18.537331651715299</v>
      </c>
      <c r="M32" s="9">
        <f>((-CB_SMI_Mixto!I9)*M23)/1000000</f>
        <v>-18.538447001375321</v>
      </c>
      <c r="N32" s="9">
        <f>((-CB_SMI_Mixto!J9)*N23)/1000000</f>
        <v>-18.53645971764584</v>
      </c>
      <c r="O32" s="9">
        <f>((-CB_SMI_Mixto!K9)*O23)/1000000</f>
        <v>-18.53645971764584</v>
      </c>
      <c r="P32" s="9">
        <f>((-CB_SMI_Mixto!L9)*P23)/1000000</f>
        <v>-0.57002780452897239</v>
      </c>
      <c r="Q32" s="9">
        <f>((-CB_SMI_Mixto!M9)*Q23)/1000000</f>
        <v>-0.57380252927921804</v>
      </c>
      <c r="R32" s="9">
        <f>((-CB_SMI_Mixto!N9)*R23)/1000000</f>
        <v>-0.57835710094621195</v>
      </c>
      <c r="S32" s="9">
        <f>((-CB_SMI_Mixto!O9)*S23)/1000000</f>
        <v>-0.58284941769645748</v>
      </c>
      <c r="T32" s="9">
        <f>((-CB_SMI_Mixto!P9)*T23)/1000000</f>
        <v>-0.58727947952995463</v>
      </c>
      <c r="U32" s="9">
        <f>((-CB_SMI_Mixto!Q9)*U23)/1000000</f>
        <v>-0.59314472536345153</v>
      </c>
    </row>
    <row r="33" spans="2:22" x14ac:dyDescent="0.3">
      <c r="B33" s="57"/>
      <c r="C33" s="45" t="s">
        <v>58</v>
      </c>
      <c r="D33" s="46"/>
      <c r="E33" s="46"/>
      <c r="F33" s="9">
        <f>((-CB_SMI_Mixto!B10)*CB_SMI_Mixto!B6)/1000000</f>
        <v>-45.695965846166771</v>
      </c>
      <c r="G33" s="9">
        <f>((-CB_SMI_Mixto!C10)*CB_SMI_Mixto!C6)/1000000</f>
        <v>0</v>
      </c>
      <c r="H33" s="9">
        <f>((-CB_SMI_Mixto!D10)*CB_SMI_Mixto!D6)/1000000</f>
        <v>0</v>
      </c>
      <c r="I33" s="9">
        <f>((-CB_SMI_Mixto!E10)*CB_SMI_Mixto!E6)/1000000</f>
        <v>0</v>
      </c>
      <c r="J33" s="9">
        <f>((-CB_SMI_Mixto!F10)*CB_SMI_Mixto!F6)/1000000</f>
        <v>0</v>
      </c>
      <c r="K33" s="9">
        <f>((-CB_SMI_Mixto!G10)*CB_SMI_Mixto!G6)/1000000</f>
        <v>0</v>
      </c>
      <c r="L33" s="9">
        <f>((-CB_SMI_Mixto!H10)*CB_SMI_Mixto!H6)/1000000</f>
        <v>0</v>
      </c>
      <c r="M33" s="9">
        <f>((-CB_SMI_Mixto!I10)*CB_SMI_Mixto!I6)/1000000</f>
        <v>0</v>
      </c>
      <c r="N33" s="9">
        <f>((-CB_SMI_Mixto!J10)*CB_SMI_Mixto!J6)/1000000</f>
        <v>0</v>
      </c>
      <c r="O33" s="9">
        <f>((-CB_SMI_Mixto!K10)*CB_SMI_Mixto!K6)/1000000</f>
        <v>0</v>
      </c>
      <c r="P33" s="9">
        <f>((-CB_SMI_Mixto!L10)*CB_SMI_Mixto!L6)/1000000</f>
        <v>0</v>
      </c>
      <c r="Q33" s="9">
        <f>((-CB_SMI_Mixto!M10)*CB_SMI_Mixto!M6)/1000000</f>
        <v>0</v>
      </c>
      <c r="R33" s="9">
        <f>((-CB_SMI_Mixto!N10)*CB_SMI_Mixto!N6)/1000000</f>
        <v>0</v>
      </c>
      <c r="S33" s="9">
        <f>((-CB_SMI_Mixto!O10)*CB_SMI_Mixto!O6)/1000000</f>
        <v>0</v>
      </c>
      <c r="T33" s="9">
        <f>((-CB_SMI_Mixto!P10)*CB_SMI_Mixto!P6)/1000000</f>
        <v>0</v>
      </c>
      <c r="U33" s="9">
        <f>((-CB_SMI_Mixto!Q10)*CB_SMI_Mixto!Q6)/1000000</f>
        <v>0</v>
      </c>
    </row>
    <row r="34" spans="2:22" x14ac:dyDescent="0.3">
      <c r="B34" s="57"/>
      <c r="C34" s="45" t="s">
        <v>138</v>
      </c>
      <c r="D34" s="46"/>
      <c r="E34" s="46"/>
      <c r="F34" s="9">
        <f>(-CB_SMI_Mixto!B11)/1000000</f>
        <v>-146.433235878</v>
      </c>
      <c r="G34" s="9">
        <f>(-CB_SMI_Mixto!C11)/1000000</f>
        <v>-2.1117229740000001</v>
      </c>
      <c r="H34" s="9">
        <f>(-CB_SMI_Mixto!D11)/1000000</f>
        <v>-2.1442959989999997</v>
      </c>
      <c r="I34" s="9">
        <f>(-CB_SMI_Mixto!E11)/1000000</f>
        <v>-2.1773094479999999</v>
      </c>
      <c r="J34" s="9">
        <f>(-CB_SMI_Mixto!F11)/1000000</f>
        <v>-2.2110202349999999</v>
      </c>
      <c r="K34" s="9">
        <f>(-CB_SMI_Mixto!G11)/1000000</f>
        <v>-2.24542836</v>
      </c>
      <c r="L34" s="9">
        <f>(-CB_SMI_Mixto!H11)/1000000</f>
        <v>-2.2800750479999992</v>
      </c>
      <c r="M34" s="9">
        <f>(-CB_SMI_Mixto!I11)/1000000</f>
        <v>-2.3156209350000001</v>
      </c>
      <c r="N34" s="9">
        <f>(-CB_SMI_Mixto!J11)/1000000</f>
        <v>-2.3511484709999997</v>
      </c>
      <c r="O34" s="9">
        <f>(-CB_SMI_Mixto!K11)/1000000</f>
        <v>-2.3875018020000001</v>
      </c>
      <c r="P34" s="9">
        <f>(-CB_SMI_Mixto!L11)/1000000</f>
        <v>-2.4243873119999999</v>
      </c>
      <c r="Q34" s="9">
        <f>(-CB_SMI_Mixto!M11)/1000000</f>
        <v>-2.4622454249999999</v>
      </c>
      <c r="R34" s="9">
        <f>(-CB_SMI_Mixto!N11)/1000000</f>
        <v>-2.5005072599999996</v>
      </c>
      <c r="S34" s="9">
        <f>(-CB_SMI_Mixto!O11)/1000000</f>
        <v>-2.5394297310000002</v>
      </c>
      <c r="T34" s="9">
        <f>(-CB_SMI_Mixto!P11)/1000000</f>
        <v>-2.5790862420000003</v>
      </c>
      <c r="U34" s="9">
        <f>(-CB_SMI_Mixto!Q11)/1000000</f>
        <v>-2.619146475</v>
      </c>
    </row>
    <row r="35" spans="2:22" x14ac:dyDescent="0.3">
      <c r="B35" s="57"/>
      <c r="C35" s="45" t="s">
        <v>130</v>
      </c>
      <c r="D35" s="46"/>
      <c r="E35" s="46"/>
      <c r="F35" s="9">
        <f>(-CB_SMI_Mixto!B12)/1000000</f>
        <v>-11.00341808421053</v>
      </c>
      <c r="G35" s="9">
        <f>(-CB_SMI_Mixto!C12)/1000000</f>
        <v>-0.1586809894736842</v>
      </c>
      <c r="H35" s="9">
        <f>(-CB_SMI_Mixto!D12)/1000000</f>
        <v>-0.16112862105263162</v>
      </c>
      <c r="I35" s="9">
        <f>(-CB_SMI_Mixto!E12)/1000000</f>
        <v>-0.16360934736842109</v>
      </c>
      <c r="J35" s="9">
        <f>(-CB_SMI_Mixto!F12)/1000000</f>
        <v>-0.16614247368421051</v>
      </c>
      <c r="K35" s="9">
        <f>(-CB_SMI_Mixto!G12)/1000000</f>
        <v>-0.16872799999999999</v>
      </c>
      <c r="L35" s="9">
        <f>(-CB_SMI_Mixto!H12)/1000000</f>
        <v>-0.17133145263157901</v>
      </c>
      <c r="M35" s="9">
        <f>(-CB_SMI_Mixto!I12)/1000000</f>
        <v>-0.17400247368421051</v>
      </c>
      <c r="N35" s="9">
        <f>(-CB_SMI_Mixto!J12)/1000000</f>
        <v>-0.1766721157894737</v>
      </c>
      <c r="O35" s="9">
        <f>(-CB_SMI_Mixto!K12)/1000000</f>
        <v>-0.17940381052631579</v>
      </c>
      <c r="P35" s="9">
        <f>(-CB_SMI_Mixto!L12)/1000000</f>
        <v>-0.18217549473684211</v>
      </c>
      <c r="Q35" s="9">
        <f>(-CB_SMI_Mixto!M12)/1000000</f>
        <v>-0.18502026315789469</v>
      </c>
      <c r="R35" s="9">
        <f>(-CB_SMI_Mixto!N12)/1000000</f>
        <v>-0.18789536842105262</v>
      </c>
      <c r="S35" s="9">
        <f>(-CB_SMI_Mixto!O12)/1000000</f>
        <v>-0.19082011578947369</v>
      </c>
      <c r="T35" s="9">
        <f>(-CB_SMI_Mixto!P12)/1000000</f>
        <v>-0.19380002105263161</v>
      </c>
      <c r="U35" s="9">
        <f>(-CB_SMI_Mixto!Q12)/1000000</f>
        <v>-0.19681026315789468</v>
      </c>
    </row>
    <row r="36" spans="2:22" x14ac:dyDescent="0.3">
      <c r="B36" s="58"/>
      <c r="C36" s="59" t="s">
        <v>111</v>
      </c>
      <c r="D36" s="59"/>
      <c r="E36" s="59"/>
      <c r="F36" s="16">
        <f>SUM(F30:F35)</f>
        <v>-203.13261980837729</v>
      </c>
      <c r="G36" s="16">
        <f>SUM(G30:G35)</f>
        <v>-171.91983395101752</v>
      </c>
      <c r="H36" s="16">
        <f t="shared" ref="H36:U36" si="3">SUM(H30:H35)</f>
        <v>-171.9600638263403</v>
      </c>
      <c r="I36" s="16">
        <f t="shared" si="3"/>
        <v>-172.00479003963858</v>
      </c>
      <c r="J36" s="16">
        <f t="shared" si="3"/>
        <v>-172.0461452720325</v>
      </c>
      <c r="K36" s="16">
        <f t="shared" si="3"/>
        <v>-172.09635986573079</v>
      </c>
      <c r="L36" s="16">
        <f t="shared" si="3"/>
        <v>-172.14572147551536</v>
      </c>
      <c r="M36" s="16">
        <f t="shared" si="3"/>
        <v>-172.1923176570736</v>
      </c>
      <c r="N36" s="16">
        <f t="shared" si="3"/>
        <v>-172.23173809941107</v>
      </c>
      <c r="O36" s="16">
        <f t="shared" si="3"/>
        <v>-172.28047111030082</v>
      </c>
      <c r="P36" s="16">
        <f t="shared" si="3"/>
        <v>-23.289061847694331</v>
      </c>
      <c r="Q36" s="16">
        <f t="shared" si="3"/>
        <v>-23.64909040558107</v>
      </c>
      <c r="R36" s="16">
        <f t="shared" si="3"/>
        <v>-24.014151343727487</v>
      </c>
      <c r="S36" s="16">
        <f t="shared" si="3"/>
        <v>-24.385415957729737</v>
      </c>
      <c r="T36" s="16">
        <f t="shared" si="3"/>
        <v>-24.76340144229404</v>
      </c>
      <c r="U36" s="16">
        <f t="shared" si="3"/>
        <v>-25.146517101617526</v>
      </c>
    </row>
    <row r="37" spans="2:22" x14ac:dyDescent="0.3"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</row>
    <row r="38" spans="2:22" x14ac:dyDescent="0.3">
      <c r="B38" s="56" t="s">
        <v>107</v>
      </c>
      <c r="C38" s="45" t="s">
        <v>140</v>
      </c>
      <c r="D38" s="46"/>
      <c r="E38" s="46"/>
      <c r="F38" s="9">
        <v>0</v>
      </c>
      <c r="G38" s="9">
        <f>(-CB_SMI_Mixto!C13/1000000)*G$25</f>
        <v>0</v>
      </c>
      <c r="H38" s="9">
        <f>(-CB_SMI_Mixto!D13/1000000)*H$25</f>
        <v>0</v>
      </c>
      <c r="I38" s="9">
        <f>(-CB_SMI_Mixto!E13/1000000)*I$25</f>
        <v>0</v>
      </c>
      <c r="J38" s="9">
        <f>(-CB_SMI_Mixto!F13/1000000)*J$25</f>
        <v>0</v>
      </c>
      <c r="K38" s="9">
        <f>(-CB_SMI_Mixto!G13/1000000)*K$25</f>
        <v>0</v>
      </c>
      <c r="L38" s="9">
        <f>(-CB_SMI_Mixto!H13/1000000)*L$25</f>
        <v>0</v>
      </c>
      <c r="M38" s="9">
        <f>(-CB_SMI_Mixto!I13/1000000)*M$25</f>
        <v>0</v>
      </c>
      <c r="N38" s="9">
        <f>(-CB_SMI_Mixto!J13/1000000)*N$25</f>
        <v>0</v>
      </c>
      <c r="O38" s="9">
        <f>(-CB_SMI_Mixto!K13/1000000)*O$25</f>
        <v>0</v>
      </c>
      <c r="P38" s="9">
        <f>(-CB_SMI_Mixto!L13/1000000)*P$25</f>
        <v>0</v>
      </c>
      <c r="Q38" s="9">
        <f>(-CB_SMI_Mixto!M13/1000000)*Q$25</f>
        <v>0</v>
      </c>
      <c r="R38" s="9">
        <f>(-CB_SMI_Mixto!N13/1000000)*R$25</f>
        <v>0</v>
      </c>
      <c r="S38" s="9">
        <f>(-CB_SMI_Mixto!O13/1000000)*S$25</f>
        <v>0</v>
      </c>
      <c r="T38" s="9">
        <f>(-CB_SMI_Mixto!P13/1000000)*T$25</f>
        <v>0</v>
      </c>
      <c r="U38" s="9">
        <f>(-CB_SMI_Mixto!Q13/1000000)*U$25</f>
        <v>0</v>
      </c>
    </row>
    <row r="39" spans="2:22" x14ac:dyDescent="0.3">
      <c r="B39" s="57"/>
      <c r="C39" s="45" t="s">
        <v>141</v>
      </c>
      <c r="D39" s="46"/>
      <c r="E39" s="46"/>
      <c r="F39" s="9">
        <v>0</v>
      </c>
      <c r="G39" s="9">
        <f>(-CB_SMI_Mixto!C14/1000000)*G$25</f>
        <v>-0.12321275735690936</v>
      </c>
      <c r="H39" s="9">
        <f>(-CB_SMI_Mixto!D14/1000000)*H$25</f>
        <v>-0.24304147313990704</v>
      </c>
      <c r="I39" s="9">
        <f>(-CB_SMI_Mixto!E14/1000000)*I$25</f>
        <v>-0.359556518272653</v>
      </c>
      <c r="J39" s="9">
        <f>(-CB_SMI_Mixto!F14/1000000)*J$25</f>
        <v>-0.47282678252262877</v>
      </c>
      <c r="K39" s="9">
        <f>(-CB_SMI_Mixto!G14/1000000)*K$25</f>
        <v>-0.58291771510493073</v>
      </c>
      <c r="L39" s="9">
        <f>(-CB_SMI_Mixto!H14/1000000)*L$25</f>
        <v>-0.68990077981679343</v>
      </c>
      <c r="M39" s="9">
        <f>(-CB_SMI_Mixto!I14/1000000)*M$25</f>
        <v>-0.79383947151536727</v>
      </c>
      <c r="N39" s="9">
        <f>(-CB_SMI_Mixto!J14/1000000)*N$25</f>
        <v>-0.89480511073263158</v>
      </c>
      <c r="O39" s="9">
        <f>(-CB_SMI_Mixto!K14/1000000)*O$25</f>
        <v>-0.992843295530355</v>
      </c>
      <c r="P39" s="9">
        <f>(-CB_SMI_Mixto!L14/1000000)*P$25</f>
        <v>-0.99345130086724509</v>
      </c>
      <c r="Q39" s="9">
        <f>(-CB_SMI_Mixto!M14/1000000)*Q$25</f>
        <v>-0.99408942628418961</v>
      </c>
      <c r="R39" s="9">
        <f>(-CB_SMI_Mixto!N14/1000000)*R$25</f>
        <v>-0.99474296197464995</v>
      </c>
      <c r="S39" s="9">
        <f>(-CB_SMI_Mixto!O14/1000000)*S$25</f>
        <v>-0.99541330887258195</v>
      </c>
      <c r="T39" s="9">
        <f>(-CB_SMI_Mixto!P14/1000000)*T$25</f>
        <v>-0.99609626417611774</v>
      </c>
      <c r="U39" s="9">
        <f>(-CB_SMI_Mixto!Q14/1000000)*U$25</f>
        <v>-0.99678902601734498</v>
      </c>
    </row>
    <row r="40" spans="2:22" x14ac:dyDescent="0.3">
      <c r="B40" s="57"/>
      <c r="C40" s="45" t="s">
        <v>137</v>
      </c>
      <c r="D40" s="46"/>
      <c r="E40" s="46"/>
      <c r="F40" s="9">
        <v>0</v>
      </c>
      <c r="G40" s="9">
        <f>(-CB_SMI_Mixto!C15/1000000)*G$25</f>
        <v>-8.0577681787858584</v>
      </c>
      <c r="H40" s="9">
        <f>(-CB_SMI_Mixto!D15/1000000)*H$25</f>
        <v>-16.115536357571713</v>
      </c>
      <c r="I40" s="9">
        <f>(-CB_SMI_Mixto!E15/1000000)*I$25</f>
        <v>-24.173304536357577</v>
      </c>
      <c r="J40" s="9">
        <f>(-CB_SMI_Mixto!F15/1000000)*J$25</f>
        <v>-32.231072715143434</v>
      </c>
      <c r="K40" s="9">
        <f>(-CB_SMI_Mixto!G15/1000000)*K$25</f>
        <v>-40.288840893929283</v>
      </c>
      <c r="L40" s="9">
        <f>(-CB_SMI_Mixto!H15/1000000)*L$25</f>
        <v>-48.346609072715133</v>
      </c>
      <c r="M40" s="9">
        <f>(-CB_SMI_Mixto!I15/1000000)*M$25</f>
        <v>-56.404377251500996</v>
      </c>
      <c r="N40" s="9">
        <f>(-CB_SMI_Mixto!J15/1000000)*N$25</f>
        <v>-64.462145430286853</v>
      </c>
      <c r="O40" s="9">
        <f>(-CB_SMI_Mixto!K15/1000000)*O$25</f>
        <v>-72.51991360907283</v>
      </c>
      <c r="P40" s="9">
        <f>(-CB_SMI_Mixto!L15/1000000)*P$25</f>
        <v>-73.574870673782527</v>
      </c>
      <c r="Q40" s="9">
        <f>(-CB_SMI_Mixto!M15/1000000)*Q$25</f>
        <v>-74.646301460974001</v>
      </c>
      <c r="R40" s="9">
        <f>(-CB_SMI_Mixto!N15/1000000)*R$25</f>
        <v>-75.73438164776519</v>
      </c>
      <c r="S40" s="9">
        <f>(-CB_SMI_Mixto!O15/1000000)*S$25</f>
        <v>-76.839398705803887</v>
      </c>
      <c r="T40" s="9">
        <f>(-CB_SMI_Mixto!P15/1000000)*T$25</f>
        <v>-77.961672048032042</v>
      </c>
      <c r="U40" s="9">
        <f>(-CB_SMI_Mixto!Q15/1000000)*U$25</f>
        <v>-79.101377351567734</v>
      </c>
    </row>
    <row r="41" spans="2:22" x14ac:dyDescent="0.3">
      <c r="B41" s="57"/>
      <c r="C41" s="45" t="s">
        <v>131</v>
      </c>
      <c r="D41" s="46"/>
      <c r="E41" s="46"/>
      <c r="F41" s="9">
        <v>0</v>
      </c>
      <c r="G41" s="9">
        <f>(-CB_SMI_Mixto!C16/1000000)*G$25</f>
        <v>-1.1436240366959067</v>
      </c>
      <c r="H41" s="9">
        <f>(-CB_SMI_Mixto!D16/1000000)*H$25</f>
        <v>-2.2872480733918121</v>
      </c>
      <c r="I41" s="9">
        <f>(-CB_SMI_Mixto!E16/1000000)*I$25</f>
        <v>-3.4308721100877189</v>
      </c>
      <c r="J41" s="9">
        <f>(-CB_SMI_Mixto!F16/1000000)*J$25</f>
        <v>-4.574496146783626</v>
      </c>
      <c r="K41" s="9">
        <f>(-CB_SMI_Mixto!G16/1000000)*K$25</f>
        <v>-5.7181201834795292</v>
      </c>
      <c r="L41" s="9">
        <f>(-CB_SMI_Mixto!H16/1000000)*L$25</f>
        <v>-6.8617442201754342</v>
      </c>
      <c r="M41" s="9">
        <f>(-CB_SMI_Mixto!I16/1000000)*M$25</f>
        <v>-8.0053682568713409</v>
      </c>
      <c r="N41" s="9">
        <f>(-CB_SMI_Mixto!J16/1000000)*N$25</f>
        <v>-9.1489922935672485</v>
      </c>
      <c r="O41" s="9">
        <f>(-CB_SMI_Mixto!K16/1000000)*O$25</f>
        <v>-10.292616330263174</v>
      </c>
      <c r="P41" s="9">
        <f>(-CB_SMI_Mixto!L16/1000000)*P$25</f>
        <v>-10.442344422473679</v>
      </c>
      <c r="Q41" s="9">
        <f>(-CB_SMI_Mixto!M16/1000000)*Q$25</f>
        <v>-10.59441059944737</v>
      </c>
      <c r="R41" s="9">
        <f>(-CB_SMI_Mixto!N16/1000000)*R$25</f>
        <v>-10.74883979471052</v>
      </c>
      <c r="S41" s="9">
        <f>(-CB_SMI_Mixto!O16/1000000)*S$25</f>
        <v>-10.905672808578949</v>
      </c>
      <c r="T41" s="9">
        <f>(-CB_SMI_Mixto!P16/1000000)*T$25</f>
        <v>-11.064954974736839</v>
      </c>
      <c r="U41" s="9">
        <f>(-CB_SMI_Mixto!Q16/1000000)*U$25</f>
        <v>-11.22671122671052</v>
      </c>
    </row>
    <row r="42" spans="2:22" x14ac:dyDescent="0.3">
      <c r="B42" s="57"/>
      <c r="C42" s="45" t="s">
        <v>59</v>
      </c>
      <c r="D42" s="46"/>
      <c r="E42" s="46"/>
      <c r="F42" s="9">
        <v>0</v>
      </c>
      <c r="G42" s="9">
        <f>(-CB_SMI_Mixto!C17/1000000)*G$25</f>
        <v>-1.2532677000000001</v>
      </c>
      <c r="H42" s="9">
        <f>(-CB_SMI_Mixto!D17/1000000)*H$25</f>
        <v>-2.5065353999999997</v>
      </c>
      <c r="I42" s="9">
        <f>(-CB_SMI_Mixto!E17/1000000)*I$25</f>
        <v>-3.7598030999999996</v>
      </c>
      <c r="J42" s="9">
        <f>(-CB_SMI_Mixto!F17/1000000)*J$25</f>
        <v>-5.0130708000000004</v>
      </c>
      <c r="K42" s="9">
        <f>(-CB_SMI_Mixto!G17/1000000)*K$25</f>
        <v>-6.266338499999998</v>
      </c>
      <c r="L42" s="9">
        <f>(-CB_SMI_Mixto!H17/1000000)*L$25</f>
        <v>-7.5196061999999966</v>
      </c>
      <c r="M42" s="9">
        <f>(-CB_SMI_Mixto!I17/1000000)*M$25</f>
        <v>-8.7728738999999987</v>
      </c>
      <c r="N42" s="9">
        <f>(-CB_SMI_Mixto!J17/1000000)*N$25</f>
        <v>-10.026141599999997</v>
      </c>
      <c r="O42" s="9">
        <f>(-CB_SMI_Mixto!K17/1000000)*O$25</f>
        <v>-11.279409300000015</v>
      </c>
      <c r="P42" s="9">
        <f>(-CB_SMI_Mixto!L17/1000000)*P$25</f>
        <v>-11.443492403999999</v>
      </c>
      <c r="Q42" s="9">
        <f>(-CB_SMI_Mixto!M17/1000000)*Q$25</f>
        <v>-11.610137754</v>
      </c>
      <c r="R42" s="9">
        <f>(-CB_SMI_Mixto!N17/1000000)*R$25</f>
        <v>-11.779372674000001</v>
      </c>
      <c r="S42" s="9">
        <f>(-CB_SMI_Mixto!O17/1000000)*S$25</f>
        <v>-11.951241876000001</v>
      </c>
      <c r="T42" s="9">
        <f>(-CB_SMI_Mixto!P17/1000000)*T$25</f>
        <v>-12.12579504</v>
      </c>
      <c r="U42" s="9">
        <f>(-CB_SMI_Mixto!Q17/1000000)*U$25</f>
        <v>-12.303059490000001</v>
      </c>
    </row>
    <row r="43" spans="2:22" x14ac:dyDescent="0.3">
      <c r="B43" s="58"/>
      <c r="C43" s="59" t="s">
        <v>119</v>
      </c>
      <c r="D43" s="59"/>
      <c r="E43" s="59"/>
      <c r="F43" s="16">
        <f>SUM(F38:F42)</f>
        <v>0</v>
      </c>
      <c r="G43" s="16">
        <f>SUM(G38:G42)</f>
        <v>-10.577872672838675</v>
      </c>
      <c r="H43" s="16">
        <f t="shared" ref="H43:T43" si="4">SUM(H38:H42)</f>
        <v>-21.152361304103433</v>
      </c>
      <c r="I43" s="16">
        <f t="shared" si="4"/>
        <v>-31.72353626471795</v>
      </c>
      <c r="J43" s="16">
        <f t="shared" si="4"/>
        <v>-42.291466444449689</v>
      </c>
      <c r="K43" s="16">
        <f t="shared" si="4"/>
        <v>-52.85621729251374</v>
      </c>
      <c r="L43" s="16">
        <f t="shared" si="4"/>
        <v>-63.417860272707358</v>
      </c>
      <c r="M43" s="16">
        <f t="shared" si="4"/>
        <v>-73.976458879887701</v>
      </c>
      <c r="N43" s="16">
        <f t="shared" si="4"/>
        <v>-84.532084434586736</v>
      </c>
      <c r="O43" s="16">
        <f t="shared" si="4"/>
        <v>-95.084782534866363</v>
      </c>
      <c r="P43" s="16">
        <f t="shared" si="4"/>
        <v>-96.454158801123455</v>
      </c>
      <c r="Q43" s="16">
        <f t="shared" si="4"/>
        <v>-97.844939240705571</v>
      </c>
      <c r="R43" s="16">
        <f t="shared" si="4"/>
        <v>-99.257337078450362</v>
      </c>
      <c r="S43" s="16">
        <f t="shared" si="4"/>
        <v>-100.69172669925543</v>
      </c>
      <c r="T43" s="16">
        <f t="shared" si="4"/>
        <v>-102.14851832694499</v>
      </c>
      <c r="U43" s="16">
        <f>SUM(U38:U42)</f>
        <v>-103.62793709429559</v>
      </c>
    </row>
    <row r="44" spans="2:22" x14ac:dyDescent="0.3"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</row>
    <row r="45" spans="2:22" x14ac:dyDescent="0.3">
      <c r="B45" s="80" t="s">
        <v>154</v>
      </c>
      <c r="C45" s="59"/>
      <c r="D45" s="59"/>
      <c r="E45" s="59"/>
      <c r="F45" s="16">
        <f>F36+F43</f>
        <v>-203.13261980837729</v>
      </c>
      <c r="G45" s="16">
        <f t="shared" ref="G45:U45" si="5">G36+G43</f>
        <v>-182.4977066238562</v>
      </c>
      <c r="H45" s="16">
        <f t="shared" si="5"/>
        <v>-193.11242513044374</v>
      </c>
      <c r="I45" s="16">
        <f t="shared" si="5"/>
        <v>-203.72832630435653</v>
      </c>
      <c r="J45" s="16">
        <f t="shared" si="5"/>
        <v>-214.3376117164822</v>
      </c>
      <c r="K45" s="16">
        <f t="shared" si="5"/>
        <v>-224.95257715824454</v>
      </c>
      <c r="L45" s="16">
        <f t="shared" si="5"/>
        <v>-235.5635817482227</v>
      </c>
      <c r="M45" s="16">
        <f t="shared" si="5"/>
        <v>-246.1687765369613</v>
      </c>
      <c r="N45" s="16">
        <f t="shared" si="5"/>
        <v>-256.76382253399782</v>
      </c>
      <c r="O45" s="16">
        <f t="shared" si="5"/>
        <v>-267.36525364516717</v>
      </c>
      <c r="P45" s="16">
        <f t="shared" si="5"/>
        <v>-119.74322064881778</v>
      </c>
      <c r="Q45" s="16">
        <f t="shared" si="5"/>
        <v>-121.49402964628663</v>
      </c>
      <c r="R45" s="16">
        <f t="shared" si="5"/>
        <v>-123.27148842217785</v>
      </c>
      <c r="S45" s="16">
        <f t="shared" si="5"/>
        <v>-125.07714265698516</v>
      </c>
      <c r="T45" s="16">
        <f t="shared" si="5"/>
        <v>-126.91191976923903</v>
      </c>
      <c r="U45" s="16">
        <f t="shared" si="5"/>
        <v>-128.77445419591311</v>
      </c>
    </row>
    <row r="46" spans="2:22" x14ac:dyDescent="0.3">
      <c r="B46" s="10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2:22" x14ac:dyDescent="0.3">
      <c r="B47" s="60" t="s">
        <v>108</v>
      </c>
      <c r="C47" s="45" t="s">
        <v>145</v>
      </c>
      <c r="D47" s="46"/>
      <c r="E47" s="46"/>
      <c r="F47" s="9">
        <v>0</v>
      </c>
      <c r="G47" s="9">
        <f>(CB_SMI_Mixto!C18/1000000)*G$25</f>
        <v>3.7102403003167121</v>
      </c>
      <c r="H47" s="9">
        <f>(CB_SMI_Mixto!D18/1000000)*H$25</f>
        <v>7.4234209910462834</v>
      </c>
      <c r="I47" s="9">
        <f>(CB_SMI_Mixto!E18/1000000)*I$25</f>
        <v>11.139506142197213</v>
      </c>
      <c r="J47" s="9">
        <f>(CB_SMI_Mixto!F18/1000000)*J$25</f>
        <v>14.85842517226147</v>
      </c>
      <c r="K47" s="9">
        <f>(CB_SMI_Mixto!G18/1000000)*K$25</f>
        <v>18.580206331334107</v>
      </c>
      <c r="L47" s="9">
        <f>(CB_SMI_Mixto!H18/1000000)*L$25</f>
        <v>22.304817084523979</v>
      </c>
      <c r="M47" s="9">
        <f>(CB_SMI_Mixto!I18/1000000)*M$25</f>
        <v>26.031989789993872</v>
      </c>
      <c r="N47" s="9">
        <f>(CB_SMI_Mixto!J18/1000000)*N$25</f>
        <v>29.762161018491081</v>
      </c>
      <c r="O47" s="9">
        <f>(CB_SMI_Mixto!K18/1000000)*O$25</f>
        <v>33.495107380800043</v>
      </c>
      <c r="P47" s="9">
        <f>(CB_SMI_Mixto!L18/1000000)*P$25</f>
        <v>33.994935216599998</v>
      </c>
      <c r="Q47" s="9">
        <f>(CB_SMI_Mixto!M18/1000000)*Q$25</f>
        <v>34.502614504199997</v>
      </c>
      <c r="R47" s="9">
        <f>(CB_SMI_Mixto!N18/1000000)*R$25</f>
        <v>35.018359464599996</v>
      </c>
      <c r="S47" s="9">
        <f>(CB_SMI_Mixto!O18/1000000)*S$25</f>
        <v>35.542353721800005</v>
      </c>
      <c r="T47" s="9">
        <f>(CB_SMI_Mixto!P18/1000000)*T$25</f>
        <v>36.074364208200002</v>
      </c>
      <c r="U47" s="9">
        <f>(CB_SMI_Mixto!Q18/1000000)*U$25</f>
        <v>36.614733096600006</v>
      </c>
      <c r="V47" s="32">
        <f>U47/$U$56</f>
        <v>0.11041422727427219</v>
      </c>
    </row>
    <row r="48" spans="2:22" x14ac:dyDescent="0.3">
      <c r="B48" s="61"/>
      <c r="C48" s="45" t="s">
        <v>146</v>
      </c>
      <c r="D48" s="46"/>
      <c r="E48" s="46"/>
      <c r="F48" s="9">
        <v>0</v>
      </c>
      <c r="G48" s="9">
        <f>(CB_SMI_Mixto!C19/1000000)*G$25</f>
        <v>0.35962735216754854</v>
      </c>
      <c r="H48" s="9">
        <f>(CB_SMI_Mixto!D19/1000000)*H$25</f>
        <v>0.71949726045865492</v>
      </c>
      <c r="I48" s="9">
        <f>(CB_SMI_Mixto!E19/1000000)*I$25</f>
        <v>1.0796068607795115</v>
      </c>
      <c r="J48" s="9">
        <f>(CB_SMI_Mixto!F19/1000000)*J$25</f>
        <v>1.4399496494685937</v>
      </c>
      <c r="K48" s="9">
        <f>(CB_SMI_Mixto!G19/1000000)*K$25</f>
        <v>1.8005237355586841</v>
      </c>
      <c r="L48" s="9">
        <f>(CB_SMI_Mixto!H19/1000000)*L$25</f>
        <v>2.1613251579281432</v>
      </c>
      <c r="M48" s="9">
        <f>(CB_SMI_Mixto!I19/1000000)*M$25</f>
        <v>2.5223407860525104</v>
      </c>
      <c r="N48" s="9">
        <f>(CB_SMI_Mixto!J19/1000000)*N$25</f>
        <v>2.8835896649555419</v>
      </c>
      <c r="O48" s="9">
        <f>(CB_SMI_Mixto!K19/1000000)*O$25</f>
        <v>3.2450578130160048</v>
      </c>
      <c r="P48" s="9">
        <f>(CB_SMI_Mixto!L19/1000000)*P$25</f>
        <v>3.2932793649780008</v>
      </c>
      <c r="Q48" s="9">
        <f>(CB_SMI_Mixto!M19/1000000)*Q$25</f>
        <v>3.342254522148</v>
      </c>
      <c r="R48" s="9">
        <f>(CB_SMI_Mixto!N19/1000000)*R$25</f>
        <v>3.391998709194</v>
      </c>
      <c r="S48" s="9">
        <f>(CB_SMI_Mixto!O19/1000000)*S$25</f>
        <v>3.4448007489479999</v>
      </c>
      <c r="T48" s="9">
        <f>(CB_SMI_Mixto!P19/1000000)*T$25</f>
        <v>3.4984521999</v>
      </c>
      <c r="U48" s="9">
        <f>(CB_SMI_Mixto!Q19/1000000)*U$25</f>
        <v>3.5529678607499999</v>
      </c>
      <c r="V48" s="32">
        <f t="shared" ref="V48:V55" si="6">U48/$U$56</f>
        <v>1.071421713876875E-2</v>
      </c>
    </row>
    <row r="49" spans="2:24" x14ac:dyDescent="0.3">
      <c r="B49" s="61"/>
      <c r="C49" s="45" t="s">
        <v>147</v>
      </c>
      <c r="D49" s="46"/>
      <c r="E49" s="46"/>
      <c r="F49" s="9">
        <v>0</v>
      </c>
      <c r="G49" s="9">
        <f>(CB_SMI_Mixto!C20/1000000)*G$25</f>
        <v>14.082964241085858</v>
      </c>
      <c r="H49" s="9">
        <f>(CB_SMI_Mixto!D20/1000000)*H$25</f>
        <v>28.603636494416094</v>
      </c>
      <c r="I49" s="9">
        <f>(CB_SMI_Mixto!E20/1000000)*I$25</f>
        <v>43.571632834982154</v>
      </c>
      <c r="J49" s="9">
        <f>(CB_SMI_Mixto!F20/1000000)*J$25</f>
        <v>58.996682953112142</v>
      </c>
      <c r="K49" s="9">
        <f>(CB_SMI_Mixto!G20/1000000)*K$25</f>
        <v>74.888636917756415</v>
      </c>
      <c r="L49" s="9">
        <f>(CB_SMI_Mixto!H20/1000000)*L$25</f>
        <v>91.2577344376556</v>
      </c>
      <c r="M49" s="9">
        <f>(CB_SMI_Mixto!I20/1000000)*M$25</f>
        <v>108.11408459238157</v>
      </c>
      <c r="N49" s="9">
        <f>(CB_SMI_Mixto!J20/1000000)*N$25</f>
        <v>125.46856188276834</v>
      </c>
      <c r="O49" s="9">
        <f>(CB_SMI_Mixto!K20/1000000)*O$25</f>
        <v>143.33173977785589</v>
      </c>
      <c r="P49" s="9">
        <f>(CB_SMI_Mixto!L20/1000000)*P$25</f>
        <v>147.66035831914698</v>
      </c>
      <c r="Q49" s="9">
        <f>(CB_SMI_Mixto!M20/1000000)*Q$25</f>
        <v>152.11970114038522</v>
      </c>
      <c r="R49" s="9">
        <f>(CB_SMI_Mixto!N20/1000000)*R$25</f>
        <v>156.71371611482479</v>
      </c>
      <c r="S49" s="9">
        <f>(CB_SMI_Mixto!O20/1000000)*S$25</f>
        <v>161.4464703414925</v>
      </c>
      <c r="T49" s="9">
        <f>(CB_SMI_Mixto!P20/1000000)*T$25</f>
        <v>166.32215374580559</v>
      </c>
      <c r="U49" s="9">
        <f>(CB_SMI_Mixto!Q20/1000000)*U$25</f>
        <v>171.34508278892898</v>
      </c>
      <c r="V49" s="32">
        <f t="shared" si="6"/>
        <v>0.51670279456830392</v>
      </c>
    </row>
    <row r="50" spans="2:24" x14ac:dyDescent="0.3">
      <c r="B50" s="61"/>
      <c r="C50" s="45" t="s">
        <v>148</v>
      </c>
      <c r="D50" s="46"/>
      <c r="E50" s="46"/>
      <c r="F50" s="9">
        <v>0</v>
      </c>
      <c r="G50" s="9">
        <f>(CB_SMI_Mixto!C21/1000000)*G$25</f>
        <v>0.26684940295868259</v>
      </c>
      <c r="H50" s="9">
        <f>(CB_SMI_Mixto!D21/1000000)*H$25</f>
        <v>0.52610431475519659</v>
      </c>
      <c r="I50" s="9">
        <f>(CB_SMI_Mixto!E21/1000000)*I$25</f>
        <v>0.77791635660717684</v>
      </c>
      <c r="J50" s="9">
        <f>(CB_SMI_Mixto!F21/1000000)*J$25</f>
        <v>1.0224336083462169</v>
      </c>
      <c r="K50" s="9">
        <f>(CB_SMI_Mixto!G21/1000000)*K$25</f>
        <v>1.2598008661608215</v>
      </c>
      <c r="L50" s="9">
        <f>(CB_SMI_Mixto!H21/1000000)*L$25</f>
        <v>1.4901641601038387</v>
      </c>
      <c r="M50" s="9">
        <f>(CB_SMI_Mixto!I21/1000000)*M$25</f>
        <v>1.7136619789009573</v>
      </c>
      <c r="N50" s="9">
        <f>(CB_SMI_Mixto!J21/1000000)*N$25</f>
        <v>1.9304397883881586</v>
      </c>
      <c r="O50" s="9">
        <f>(CB_SMI_Mixto!K21/1000000)*O$25</f>
        <v>2.1406327572880235</v>
      </c>
      <c r="P50" s="9">
        <f>(CB_SMI_Mixto!L21/1000000)*P$25</f>
        <v>2.1406327572880208</v>
      </c>
      <c r="Q50" s="9">
        <f>(CB_SMI_Mixto!M21/1000000)*Q$25</f>
        <v>2.1406327572880208</v>
      </c>
      <c r="R50" s="9">
        <f>(CB_SMI_Mixto!N21/1000000)*R$25</f>
        <v>2.1406327572880208</v>
      </c>
      <c r="S50" s="9">
        <f>(CB_SMI_Mixto!O21/1000000)*S$25</f>
        <v>2.1406327572880208</v>
      </c>
      <c r="T50" s="9">
        <f>(CB_SMI_Mixto!P21/1000000)*T$25</f>
        <v>2.1406327572880208</v>
      </c>
      <c r="U50" s="9">
        <f>(CB_SMI_Mixto!Q21/1000000)*U$25</f>
        <v>2.1406327572880208</v>
      </c>
      <c r="V50" s="32">
        <f t="shared" si="6"/>
        <v>6.4552242167210888E-3</v>
      </c>
      <c r="W50" s="34">
        <f>1700*0.4</f>
        <v>680</v>
      </c>
      <c r="X50" s="34">
        <f>1700*0.23</f>
        <v>391</v>
      </c>
    </row>
    <row r="51" spans="2:24" x14ac:dyDescent="0.3">
      <c r="B51" s="61"/>
      <c r="C51" s="45" t="s">
        <v>149</v>
      </c>
      <c r="D51" s="46"/>
      <c r="E51" s="46"/>
      <c r="F51" s="9">
        <v>0</v>
      </c>
      <c r="G51" s="9">
        <f>(CB_SMI_Mixto!C22/1000000)*G$25</f>
        <v>3.5687429568988045</v>
      </c>
      <c r="H51" s="9">
        <f>(CB_SMI_Mixto!D22/1000000)*H$25</f>
        <v>7.2484048481309129</v>
      </c>
      <c r="I51" s="9">
        <f>(CB_SMI_Mixto!E22/1000000)*I$25</f>
        <v>11.041422468912964</v>
      </c>
      <c r="J51" s="9">
        <f>(CB_SMI_Mixto!F22/1000000)*J$25</f>
        <v>14.950261405554546</v>
      </c>
      <c r="K51" s="9">
        <f>(CB_SMI_Mixto!G22/1000000)*K$25</f>
        <v>18.977417749332311</v>
      </c>
      <c r="L51" s="9">
        <f>(CB_SMI_Mixto!H22/1000000)*L$25</f>
        <v>23.125486329560804</v>
      </c>
      <c r="M51" s="9">
        <f>(CB_SMI_Mixto!I22/1000000)*M$25</f>
        <v>27.397028873011891</v>
      </c>
      <c r="N51" s="9">
        <f>(CB_SMI_Mixto!J22/1000000)*N$25</f>
        <v>31.794801070717362</v>
      </c>
      <c r="O51" s="9">
        <f>(CB_SMI_Mixto!K22/1000000)*O$25</f>
        <v>36.321482329691364</v>
      </c>
      <c r="P51" s="9">
        <f>(CB_SMI_Mixto!L22/1000000)*P$25</f>
        <v>37.418391096047991</v>
      </c>
      <c r="Q51" s="9">
        <f>(CB_SMI_Mixto!M22/1000000)*Q$25</f>
        <v>38.54842650714864</v>
      </c>
      <c r="R51" s="9">
        <f>(CB_SMI_Mixto!N22/1000000)*R$25</f>
        <v>39.712588987664546</v>
      </c>
      <c r="S51" s="9">
        <f>(CB_SMI_Mixto!O22/1000000)*S$25</f>
        <v>40.911909175091999</v>
      </c>
      <c r="T51" s="9">
        <f>(CB_SMI_Mixto!P22/1000000)*T$25</f>
        <v>42.147448832179769</v>
      </c>
      <c r="U51" s="9">
        <f>(CB_SMI_Mixto!Q22/1000000)*U$25</f>
        <v>43.420301786911608</v>
      </c>
      <c r="V51" s="32">
        <f t="shared" si="6"/>
        <v>0.13093688426374819</v>
      </c>
      <c r="W51" s="35">
        <f>+W50*0.06</f>
        <v>40.799999999999997</v>
      </c>
      <c r="X51" s="35">
        <f>+X50*0.06</f>
        <v>23.46</v>
      </c>
    </row>
    <row r="52" spans="2:24" x14ac:dyDescent="0.3">
      <c r="B52" s="61"/>
      <c r="C52" s="45" t="s">
        <v>150</v>
      </c>
      <c r="D52" s="46"/>
      <c r="E52" s="46"/>
      <c r="F52" s="9">
        <v>0</v>
      </c>
      <c r="G52" s="9">
        <f>(CB_SMI_Mixto!C23/1000000)*G$25</f>
        <v>1.4554706435470945</v>
      </c>
      <c r="H52" s="9">
        <f>(CB_SMI_Mixto!D23/1000000)*H$25</f>
        <v>2.9561782948264419</v>
      </c>
      <c r="I52" s="9">
        <f>(CB_SMI_Mixto!E23/1000000)*I$25</f>
        <v>4.5031167726546322</v>
      </c>
      <c r="J52" s="9">
        <f>(CB_SMI_Mixto!F23/1000000)*J$25</f>
        <v>6.0972916379633713</v>
      </c>
      <c r="K52" s="9">
        <f>(CB_SMI_Mixto!G23/1000000)*K$25</f>
        <v>7.7397208927832475</v>
      </c>
      <c r="L52" s="9">
        <f>(CB_SMI_Mixto!H23/1000000)*L$25</f>
        <v>9.4314628083144996</v>
      </c>
      <c r="M52" s="9">
        <f>(CB_SMI_Mixto!I23/1000000)*M$25</f>
        <v>11.173562155267231</v>
      </c>
      <c r="N52" s="9">
        <f>(CB_SMI_Mixto!J23/1000000)*N$25</f>
        <v>12.967142810437238</v>
      </c>
      <c r="O52" s="9">
        <f>(CB_SMI_Mixto!K23/1000000)*O$25</f>
        <v>14.81329753906379</v>
      </c>
      <c r="P52" s="9">
        <f>(CB_SMI_Mixto!L23/1000000)*P$25</f>
        <v>15.260659124743501</v>
      </c>
      <c r="Q52" s="9">
        <f>(CB_SMI_Mixto!M23/1000000)*Q$25</f>
        <v>15.72153103031075</v>
      </c>
      <c r="R52" s="9">
        <f>(CB_SMI_Mixto!N23/1000000)*R$25</f>
        <v>16.196321267426139</v>
      </c>
      <c r="S52" s="9">
        <f>(CB_SMI_Mixto!O23/1000000)*S$25</f>
        <v>16.68545016970241</v>
      </c>
      <c r="T52" s="9">
        <f>(CB_SMI_Mixto!P23/1000000)*T$25</f>
        <v>17.18935076482742</v>
      </c>
      <c r="U52" s="9">
        <f>(CB_SMI_Mixto!Q23/1000000)*U$25</f>
        <v>17.708469157925212</v>
      </c>
      <c r="V52" s="32">
        <f t="shared" si="6"/>
        <v>5.34010976708214E-2</v>
      </c>
      <c r="W52" s="35">
        <f>+W51/7</f>
        <v>5.8285714285714283</v>
      </c>
      <c r="X52" s="35">
        <f>+X51/7</f>
        <v>3.3514285714285714</v>
      </c>
    </row>
    <row r="53" spans="2:24" x14ac:dyDescent="0.3">
      <c r="B53" s="61"/>
      <c r="C53" s="45" t="s">
        <v>151</v>
      </c>
      <c r="D53" s="46"/>
      <c r="E53" s="46"/>
      <c r="F53" s="9">
        <v>0</v>
      </c>
      <c r="G53" s="9">
        <f>(CB_SMI_Mixto!C24/1000000)*G$25</f>
        <v>2.040162511957472</v>
      </c>
      <c r="H53" s="9">
        <f>(CB_SMI_Mixto!D24/1000000)*H$25</f>
        <v>4.3268657247632687</v>
      </c>
      <c r="I53" s="9">
        <f>(CB_SMI_Mixto!E24/1000000)*I$25</f>
        <v>6.8276325837303808</v>
      </c>
      <c r="J53" s="9">
        <f>(CB_SMI_Mixto!F24/1000000)*J$25</f>
        <v>9.5145773505861531</v>
      </c>
      <c r="K53" s="9">
        <f>(CB_SMI_Mixto!G24/1000000)*K$25</f>
        <v>12.361244510295903</v>
      </c>
      <c r="L53" s="9">
        <f>(CB_SMI_Mixto!H24/1000000)*L$25</f>
        <v>15.329148118605159</v>
      </c>
      <c r="M53" s="9">
        <f>(CB_SMI_Mixto!I24/1000000)*M$25</f>
        <v>18.411755601147597</v>
      </c>
      <c r="N53" s="9">
        <f>(CB_SMI_Mixto!J24/1000000)*N$25</f>
        <v>21.582514460729829</v>
      </c>
      <c r="O53" s="9">
        <f>(CB_SMI_Mixto!K24/1000000)*O$25</f>
        <v>24.808160146919022</v>
      </c>
      <c r="P53" s="9">
        <f>(CB_SMI_Mixto!L24/1000000)*P$25</f>
        <v>25.649117974188599</v>
      </c>
      <c r="Q53" s="9">
        <f>(CB_SMI_Mixto!M24/1000000)*Q$25</f>
        <v>26.438330813938659</v>
      </c>
      <c r="R53" s="9">
        <f>(CB_SMI_Mixto!N24/1000000)*R$25</f>
        <v>27.203655796077229</v>
      </c>
      <c r="S53" s="9">
        <f>(CB_SMI_Mixto!O24/1000000)*S$25</f>
        <v>27.905835559449152</v>
      </c>
      <c r="T53" s="9">
        <f>(CB_SMI_Mixto!P24/1000000)*T$25</f>
        <v>28.57086107602461</v>
      </c>
      <c r="U53" s="9">
        <f>(CB_SMI_Mixto!Q24/1000000)*U$25</f>
        <v>29.204692362853109</v>
      </c>
      <c r="V53" s="32">
        <f t="shared" si="6"/>
        <v>8.8068743571606101E-2</v>
      </c>
      <c r="W53" s="35">
        <f>+W52/12</f>
        <v>0.48571428571428571</v>
      </c>
      <c r="X53" s="35">
        <f>+X52/12</f>
        <v>0.2792857142857143</v>
      </c>
    </row>
    <row r="54" spans="2:24" x14ac:dyDescent="0.3">
      <c r="B54" s="61"/>
      <c r="C54" s="45" t="s">
        <v>152</v>
      </c>
      <c r="D54" s="46"/>
      <c r="E54" s="46"/>
      <c r="F54" s="9">
        <v>0</v>
      </c>
      <c r="G54" s="9">
        <f>(CB_SMI_Mixto!C25/1000000)*G$25</f>
        <v>1.2201442961759676</v>
      </c>
      <c r="H54" s="9">
        <f>(CB_SMI_Mixto!D25/1000000)*H$25</f>
        <v>2.4411115371832386</v>
      </c>
      <c r="I54" s="9">
        <f>(CB_SMI_Mixto!E25/1000000)*I$25</f>
        <v>3.6628920057194372</v>
      </c>
      <c r="J54" s="9">
        <f>(CB_SMI_Mixto!F25/1000000)*J$25</f>
        <v>4.8854636361506127</v>
      </c>
      <c r="K54" s="9">
        <f>(CB_SMI_Mixto!G25/1000000)*K$25</f>
        <v>6.1088200127999448</v>
      </c>
      <c r="L54" s="9">
        <f>(CB_SMI_Mixto!H25/1000000)*L$25</f>
        <v>7.3329476963671603</v>
      </c>
      <c r="M54" s="9">
        <f>(CB_SMI_Mixto!I25/1000000)*M$25</f>
        <v>8.5578021375863802</v>
      </c>
      <c r="N54" s="9">
        <f>(CB_SMI_Mixto!J25/1000000)*N$25</f>
        <v>9.7834479524468172</v>
      </c>
      <c r="O54" s="9">
        <f>(CB_SMI_Mixto!K25/1000000)*O$25</f>
        <v>11.009837704080015</v>
      </c>
      <c r="P54" s="9">
        <f>(CB_SMI_Mixto!L25/1000000)*P$25</f>
        <v>11.173443868140001</v>
      </c>
      <c r="Q54" s="9">
        <f>(CB_SMI_Mixto!M25/1000000)*Q$25</f>
        <v>11.33960686524</v>
      </c>
      <c r="R54" s="9">
        <f>(CB_SMI_Mixto!N25/1000000)*R$25</f>
        <v>11.50837902822</v>
      </c>
      <c r="S54" s="9">
        <f>(CB_SMI_Mixto!O25/1000000)*S$25</f>
        <v>11.67979773768</v>
      </c>
      <c r="T54" s="9">
        <f>(CB_SMI_Mixto!P25/1000000)*T$25</f>
        <v>11.8538679777</v>
      </c>
      <c r="U54" s="9">
        <f>(CB_SMI_Mixto!Q25/1000000)*U$25</f>
        <v>12.030634605000001</v>
      </c>
      <c r="V54" s="32">
        <f t="shared" si="6"/>
        <v>3.6279199960999937E-2</v>
      </c>
    </row>
    <row r="55" spans="2:24" x14ac:dyDescent="0.3">
      <c r="B55" s="61"/>
      <c r="C55" s="45" t="s">
        <v>153</v>
      </c>
      <c r="D55" s="46"/>
      <c r="E55" s="46"/>
      <c r="F55" s="9">
        <v>0</v>
      </c>
      <c r="G55" s="9">
        <f>(CB_SMI_Mixto!C26/1000000)*G$25</f>
        <v>1.8636498334572733</v>
      </c>
      <c r="H55" s="9">
        <f>(CB_SMI_Mixto!D26/1000000)*H$25</f>
        <v>3.6770398978218677</v>
      </c>
      <c r="I55" s="9">
        <f>(CB_SMI_Mixto!E26/1000000)*I$25</f>
        <v>5.496921475360014</v>
      </c>
      <c r="J55" s="9">
        <f>(CB_SMI_Mixto!F26/1000000)*J$25</f>
        <v>7.241675915934632</v>
      </c>
      <c r="K55" s="9">
        <f>(CB_SMI_Mixto!G26/1000000)*K$25</f>
        <v>8.9364856695351005</v>
      </c>
      <c r="L55" s="9">
        <f>(CB_SMI_Mixto!H26/1000000)*L$25</f>
        <v>10.582156422432533</v>
      </c>
      <c r="M55" s="9">
        <f>(CB_SMI_Mixto!I26/1000000)*M$25</f>
        <v>12.18227707233269</v>
      </c>
      <c r="N55" s="9">
        <f>(CB_SMI_Mixto!J26/1000000)*N$25</f>
        <v>13.836762373714203</v>
      </c>
      <c r="O55" s="9">
        <f>(CB_SMI_Mixto!K26/1000000)*O$25</f>
        <v>15.375860550000022</v>
      </c>
      <c r="P55" s="9">
        <f>(CB_SMI_Mixto!L26/1000000)*P$25</f>
        <v>15.401599574999999</v>
      </c>
      <c r="Q55" s="9">
        <f>(CB_SMI_Mixto!M26/1000000)*Q$25</f>
        <v>15.427400775000001</v>
      </c>
      <c r="R55" s="9">
        <f>(CB_SMI_Mixto!N26/1000000)*R$25</f>
        <v>15.4579956</v>
      </c>
      <c r="S55" s="9">
        <f>(CB_SMI_Mixto!O26/1000000)*S$25</f>
        <v>15.503510175000001</v>
      </c>
      <c r="T55" s="9">
        <f>(CB_SMI_Mixto!P26/1000000)*T$25</f>
        <v>15.549158775</v>
      </c>
      <c r="U55" s="9">
        <f>(CB_SMI_Mixto!Q26/1000000)*U$25</f>
        <v>15.5949417</v>
      </c>
      <c r="V55" s="32">
        <f t="shared" si="6"/>
        <v>4.702761133475853E-2</v>
      </c>
    </row>
    <row r="56" spans="2:24" x14ac:dyDescent="0.3">
      <c r="B56" s="62"/>
      <c r="C56" s="63" t="s">
        <v>120</v>
      </c>
      <c r="D56" s="63"/>
      <c r="E56" s="63"/>
      <c r="F56" s="15">
        <f t="shared" ref="F56:T56" si="7">SUM(F47:F55)</f>
        <v>0</v>
      </c>
      <c r="G56" s="15">
        <f t="shared" si="7"/>
        <v>28.567851538565414</v>
      </c>
      <c r="H56" s="15">
        <f t="shared" si="7"/>
        <v>57.922259363401956</v>
      </c>
      <c r="I56" s="15">
        <f t="shared" si="7"/>
        <v>88.100647500943495</v>
      </c>
      <c r="J56" s="15">
        <f t="shared" si="7"/>
        <v>119.00676132937774</v>
      </c>
      <c r="K56" s="15">
        <f t="shared" si="7"/>
        <v>150.65285668555654</v>
      </c>
      <c r="L56" s="15">
        <f t="shared" si="7"/>
        <v>183.01524221549175</v>
      </c>
      <c r="M56" s="15">
        <f t="shared" si="7"/>
        <v>216.10450298667467</v>
      </c>
      <c r="N56" s="15">
        <f t="shared" si="7"/>
        <v>250.00942102264858</v>
      </c>
      <c r="O56" s="15">
        <f t="shared" si="7"/>
        <v>284.54117599871421</v>
      </c>
      <c r="P56" s="15">
        <f t="shared" si="7"/>
        <v>291.99241729613306</v>
      </c>
      <c r="Q56" s="15">
        <f t="shared" si="7"/>
        <v>299.58049891565929</v>
      </c>
      <c r="R56" s="15">
        <f t="shared" si="7"/>
        <v>307.34364772529472</v>
      </c>
      <c r="S56" s="15">
        <f t="shared" si="7"/>
        <v>315.26076038645209</v>
      </c>
      <c r="T56" s="15">
        <f t="shared" si="7"/>
        <v>323.34629033692545</v>
      </c>
      <c r="U56" s="15">
        <f>SUM(U47:U55)</f>
        <v>331.61245611625691</v>
      </c>
    </row>
    <row r="58" spans="2:24" x14ac:dyDescent="0.3">
      <c r="B58" s="43" t="s">
        <v>60</v>
      </c>
      <c r="C58" s="44"/>
      <c r="D58" s="44"/>
      <c r="E58" s="44"/>
      <c r="F58" s="29">
        <f>F45+F56</f>
        <v>-203.13261980837729</v>
      </c>
      <c r="G58" s="29">
        <f t="shared" ref="G58:U58" si="8">G45+G56</f>
        <v>-153.9298550852908</v>
      </c>
      <c r="H58" s="29">
        <f t="shared" si="8"/>
        <v>-135.19016576704178</v>
      </c>
      <c r="I58" s="29">
        <f t="shared" si="8"/>
        <v>-115.62767880341303</v>
      </c>
      <c r="J58" s="29">
        <f t="shared" si="8"/>
        <v>-95.330850387104462</v>
      </c>
      <c r="K58" s="29">
        <f t="shared" si="8"/>
        <v>-74.299720472687994</v>
      </c>
      <c r="L58" s="29">
        <f t="shared" si="8"/>
        <v>-52.548339532730949</v>
      </c>
      <c r="M58" s="29">
        <f t="shared" si="8"/>
        <v>-30.064273550286629</v>
      </c>
      <c r="N58" s="29">
        <f t="shared" si="8"/>
        <v>-6.7544015113492435</v>
      </c>
      <c r="O58" s="29">
        <f t="shared" si="8"/>
        <v>17.175922353547037</v>
      </c>
      <c r="P58" s="29">
        <f t="shared" si="8"/>
        <v>172.24919664731527</v>
      </c>
      <c r="Q58" s="29">
        <f t="shared" si="8"/>
        <v>178.08646926937266</v>
      </c>
      <c r="R58" s="29">
        <f t="shared" si="8"/>
        <v>184.07215930311685</v>
      </c>
      <c r="S58" s="29">
        <f t="shared" si="8"/>
        <v>190.18361772946693</v>
      </c>
      <c r="T58" s="29">
        <f t="shared" si="8"/>
        <v>196.43437056768641</v>
      </c>
      <c r="U58" s="29">
        <f t="shared" si="8"/>
        <v>202.8380019203438</v>
      </c>
    </row>
    <row r="60" spans="2:24" x14ac:dyDescent="0.3">
      <c r="B60" s="43" t="s">
        <v>142</v>
      </c>
      <c r="C60" s="44"/>
      <c r="D60" s="44"/>
      <c r="E60" s="44"/>
      <c r="F60" s="33">
        <v>0</v>
      </c>
      <c r="G60" s="29">
        <f>F61</f>
        <v>-203.13261980837729</v>
      </c>
      <c r="H60" s="29">
        <f t="shared" ref="H60:U60" si="9">G61</f>
        <v>-357.06247489366808</v>
      </c>
      <c r="I60" s="29">
        <f t="shared" si="9"/>
        <v>-492.25264066070986</v>
      </c>
      <c r="J60" s="29">
        <f t="shared" si="9"/>
        <v>-607.88031946412286</v>
      </c>
      <c r="K60" s="29">
        <f t="shared" si="9"/>
        <v>-703.21116985122728</v>
      </c>
      <c r="L60" s="29">
        <f>K61</f>
        <v>-777.51089032391531</v>
      </c>
      <c r="M60" s="29">
        <f t="shared" si="9"/>
        <v>-830.0592298566462</v>
      </c>
      <c r="N60" s="29">
        <f t="shared" si="9"/>
        <v>-860.12350340693285</v>
      </c>
      <c r="O60" s="29">
        <f t="shared" si="9"/>
        <v>-866.87790491828207</v>
      </c>
      <c r="P60" s="29">
        <f t="shared" si="9"/>
        <v>-849.70198256473509</v>
      </c>
      <c r="Q60" s="29">
        <f t="shared" si="9"/>
        <v>-677.45278591741976</v>
      </c>
      <c r="R60" s="29">
        <f t="shared" si="9"/>
        <v>-499.36631664804713</v>
      </c>
      <c r="S60" s="29">
        <f t="shared" si="9"/>
        <v>-315.29415734493028</v>
      </c>
      <c r="T60" s="29">
        <f t="shared" si="9"/>
        <v>-125.11053961546335</v>
      </c>
      <c r="U60" s="29">
        <f t="shared" si="9"/>
        <v>71.323830952223062</v>
      </c>
    </row>
    <row r="61" spans="2:24" x14ac:dyDescent="0.3">
      <c r="B61" s="43" t="s">
        <v>98</v>
      </c>
      <c r="C61" s="44"/>
      <c r="D61" s="44"/>
      <c r="E61" s="44"/>
      <c r="F61" s="29">
        <f>F58+F60</f>
        <v>-203.13261980837729</v>
      </c>
      <c r="G61" s="29">
        <f>G58+G60</f>
        <v>-357.06247489366808</v>
      </c>
      <c r="H61" s="29">
        <f t="shared" ref="H61:U61" si="10">H58+H60</f>
        <v>-492.25264066070986</v>
      </c>
      <c r="I61" s="29">
        <f t="shared" si="10"/>
        <v>-607.88031946412286</v>
      </c>
      <c r="J61" s="29">
        <f t="shared" si="10"/>
        <v>-703.21116985122728</v>
      </c>
      <c r="K61" s="29">
        <f t="shared" si="10"/>
        <v>-777.51089032391531</v>
      </c>
      <c r="L61" s="29">
        <f t="shared" si="10"/>
        <v>-830.0592298566462</v>
      </c>
      <c r="M61" s="29">
        <f t="shared" si="10"/>
        <v>-860.12350340693285</v>
      </c>
      <c r="N61" s="29">
        <f t="shared" si="10"/>
        <v>-866.87790491828207</v>
      </c>
      <c r="O61" s="29">
        <f t="shared" si="10"/>
        <v>-849.70198256473509</v>
      </c>
      <c r="P61" s="29">
        <f t="shared" si="10"/>
        <v>-677.45278591741976</v>
      </c>
      <c r="Q61" s="29">
        <f t="shared" si="10"/>
        <v>-499.36631664804713</v>
      </c>
      <c r="R61" s="29">
        <f t="shared" si="10"/>
        <v>-315.29415734493028</v>
      </c>
      <c r="S61" s="29">
        <f t="shared" si="10"/>
        <v>-125.11053961546335</v>
      </c>
      <c r="T61" s="29">
        <f t="shared" si="10"/>
        <v>71.323830952223062</v>
      </c>
      <c r="U61" s="29">
        <f t="shared" si="10"/>
        <v>274.16183287256683</v>
      </c>
    </row>
    <row r="63" spans="2:24" x14ac:dyDescent="0.3">
      <c r="B63" s="82" t="s">
        <v>143</v>
      </c>
      <c r="C63" s="83"/>
      <c r="D63" s="83"/>
      <c r="E63" s="83"/>
      <c r="F63" s="36">
        <f>F58/(1+0.06)^F27</f>
        <v>-203.13261980837729</v>
      </c>
      <c r="G63" s="36">
        <f>G58/(1+0.06)^G27</f>
        <v>-145.21684442008564</v>
      </c>
      <c r="H63" s="36">
        <f t="shared" ref="H63:T63" si="11">H58/(1+0.06)^H27</f>
        <v>-120.31876625760214</v>
      </c>
      <c r="I63" s="36">
        <f t="shared" si="11"/>
        <v>-97.083228775610905</v>
      </c>
      <c r="J63" s="36">
        <f t="shared" si="11"/>
        <v>-75.510962502717234</v>
      </c>
      <c r="K63" s="36">
        <f t="shared" si="11"/>
        <v>-55.521073364879591</v>
      </c>
      <c r="L63" s="36">
        <f t="shared" si="11"/>
        <v>-37.044505836201616</v>
      </c>
      <c r="M63" s="36">
        <f t="shared" si="11"/>
        <v>-19.994458990505965</v>
      </c>
      <c r="N63" s="36">
        <f t="shared" si="11"/>
        <v>-4.2377950692304456</v>
      </c>
      <c r="O63" s="36">
        <f t="shared" si="11"/>
        <v>10.166402050775503</v>
      </c>
      <c r="P63" s="36">
        <f t="shared" si="11"/>
        <v>96.183051735685879</v>
      </c>
      <c r="Q63" s="36">
        <f t="shared" si="11"/>
        <v>93.813730452143702</v>
      </c>
      <c r="R63" s="36">
        <f t="shared" si="11"/>
        <v>91.47822386111423</v>
      </c>
      <c r="S63" s="36">
        <f t="shared" si="11"/>
        <v>89.165501382815776</v>
      </c>
      <c r="T63" s="36">
        <f t="shared" si="11"/>
        <v>86.883111539401739</v>
      </c>
      <c r="U63" s="36">
        <f>U58/(1+0.06)^U27</f>
        <v>84.6372111907679</v>
      </c>
    </row>
    <row r="64" spans="2:24" x14ac:dyDescent="0.3">
      <c r="B64" s="82" t="s">
        <v>144</v>
      </c>
      <c r="C64" s="83"/>
      <c r="D64" s="83"/>
      <c r="E64" s="83"/>
      <c r="F64" s="36">
        <f>F63</f>
        <v>-203.13261980837729</v>
      </c>
      <c r="G64" s="36">
        <f>F64+G63</f>
        <v>-348.34946422846292</v>
      </c>
      <c r="H64" s="36">
        <f t="shared" ref="H64:U64" si="12">G64+H63</f>
        <v>-468.66823048606506</v>
      </c>
      <c r="I64" s="36">
        <f t="shared" si="12"/>
        <v>-565.75145926167602</v>
      </c>
      <c r="J64" s="36">
        <f t="shared" si="12"/>
        <v>-641.26242176439325</v>
      </c>
      <c r="K64" s="36">
        <f t="shared" si="12"/>
        <v>-696.78349512927286</v>
      </c>
      <c r="L64" s="36">
        <f t="shared" si="12"/>
        <v>-733.82800096547453</v>
      </c>
      <c r="M64" s="36">
        <f t="shared" si="12"/>
        <v>-753.82245995598055</v>
      </c>
      <c r="N64" s="36">
        <f t="shared" si="12"/>
        <v>-758.06025502521095</v>
      </c>
      <c r="O64" s="36">
        <f t="shared" si="12"/>
        <v>-747.8938529744355</v>
      </c>
      <c r="P64" s="36">
        <f t="shared" si="12"/>
        <v>-651.71080123874958</v>
      </c>
      <c r="Q64" s="36">
        <f t="shared" si="12"/>
        <v>-557.89707078660592</v>
      </c>
      <c r="R64" s="36">
        <f t="shared" si="12"/>
        <v>-466.41884692549172</v>
      </c>
      <c r="S64" s="36">
        <f t="shared" si="12"/>
        <v>-377.25334554267596</v>
      </c>
      <c r="T64" s="36">
        <f t="shared" si="12"/>
        <v>-290.37023400327422</v>
      </c>
      <c r="U64" s="36">
        <f t="shared" si="12"/>
        <v>-205.73302281250631</v>
      </c>
    </row>
    <row r="68" spans="3:18" x14ac:dyDescent="0.3">
      <c r="C68" t="s">
        <v>155</v>
      </c>
      <c r="D68" s="38">
        <f>J4</f>
        <v>0.06</v>
      </c>
      <c r="F68" t="s">
        <v>157</v>
      </c>
      <c r="G68" s="37">
        <f>NPV(D68,G45:U45)+F45</f>
        <v>-2065.8612646143511</v>
      </c>
      <c r="H68" s="37">
        <f>G68/7.744865</f>
        <v>-266.73948023811278</v>
      </c>
      <c r="Q68" t="s">
        <v>159</v>
      </c>
      <c r="R68">
        <f>(0.06 * (1+0.06)^15) / ( (1+0.06)^15 - 1)</f>
        <v>0.10296276395531262</v>
      </c>
    </row>
    <row r="69" spans="3:18" x14ac:dyDescent="0.3">
      <c r="F69" s="37" t="s">
        <v>160</v>
      </c>
      <c r="G69" s="37">
        <f>PMT(D68,15,-G68)</f>
        <v>-212.70678575291123</v>
      </c>
    </row>
    <row r="70" spans="3:18" x14ac:dyDescent="0.3">
      <c r="C70" t="s">
        <v>99</v>
      </c>
      <c r="D70" s="6">
        <f>NPV(D68,G58:U58)+F58</f>
        <v>-205.73302281250599</v>
      </c>
      <c r="G70" s="37"/>
      <c r="H70" s="6"/>
    </row>
    <row r="71" spans="3:18" x14ac:dyDescent="0.3">
      <c r="C71" t="s">
        <v>100</v>
      </c>
      <c r="D71" s="8">
        <f>IRR(F58:U58)</f>
        <v>2.7493753707740876E-2</v>
      </c>
      <c r="F71" t="s">
        <v>158</v>
      </c>
      <c r="G71" s="37">
        <f>NPV(D68,G56:U56)</f>
        <v>1860.128241801845</v>
      </c>
      <c r="H71" s="37">
        <f>G71/7.744865</f>
        <v>240.17568308832304</v>
      </c>
    </row>
    <row r="72" spans="3:18" x14ac:dyDescent="0.3">
      <c r="C72" t="s">
        <v>139</v>
      </c>
      <c r="D72" s="32">
        <f>NPV(D68,G56:U56)/-(F36+NPV(D68,G36:U36)+NPV(D68,G43:U43))</f>
        <v>0.90041295302039015</v>
      </c>
      <c r="F72" t="s">
        <v>161</v>
      </c>
      <c r="G72" s="37">
        <f>PMT(D68,15,-G71)</f>
        <v>191.52394508725419</v>
      </c>
    </row>
    <row r="74" spans="3:18" x14ac:dyDescent="0.3">
      <c r="F74" t="s">
        <v>99</v>
      </c>
      <c r="G74" s="39">
        <f>G71+G68</f>
        <v>-205.73302281250608</v>
      </c>
    </row>
    <row r="75" spans="3:18" x14ac:dyDescent="0.3">
      <c r="F75" t="s">
        <v>156</v>
      </c>
      <c r="G75" s="39">
        <f>PMT(D68,15,-G74)</f>
        <v>-21.182840665657029</v>
      </c>
    </row>
  </sheetData>
  <mergeCells count="77">
    <mergeCell ref="B63:E63"/>
    <mergeCell ref="B64:E64"/>
    <mergeCell ref="C54:E54"/>
    <mergeCell ref="C55:E55"/>
    <mergeCell ref="C56:E56"/>
    <mergeCell ref="B58:E58"/>
    <mergeCell ref="B60:E60"/>
    <mergeCell ref="B61:E61"/>
    <mergeCell ref="B44:U44"/>
    <mergeCell ref="B45:E45"/>
    <mergeCell ref="B47:B56"/>
    <mergeCell ref="C47:E47"/>
    <mergeCell ref="C48:E48"/>
    <mergeCell ref="C49:E49"/>
    <mergeCell ref="C50:E50"/>
    <mergeCell ref="C51:E51"/>
    <mergeCell ref="C52:E52"/>
    <mergeCell ref="C53:E53"/>
    <mergeCell ref="B37:U37"/>
    <mergeCell ref="B38:B43"/>
    <mergeCell ref="C38:E38"/>
    <mergeCell ref="C39:E39"/>
    <mergeCell ref="C40:E40"/>
    <mergeCell ref="C41:E41"/>
    <mergeCell ref="C42:E42"/>
    <mergeCell ref="C43:E43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C20:U20"/>
    <mergeCell ref="B21:B25"/>
    <mergeCell ref="C21:E21"/>
    <mergeCell ref="C22:E22"/>
    <mergeCell ref="C23:E23"/>
    <mergeCell ref="C24:E24"/>
    <mergeCell ref="C25:E25"/>
    <mergeCell ref="B15:B19"/>
    <mergeCell ref="C15:E15"/>
    <mergeCell ref="C16:U16"/>
    <mergeCell ref="C17:E17"/>
    <mergeCell ref="C18:E18"/>
    <mergeCell ref="C19:E19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5:C5"/>
    <mergeCell ref="D5:E5"/>
    <mergeCell ref="G5:I5"/>
    <mergeCell ref="L5:P5"/>
    <mergeCell ref="B6:C6"/>
    <mergeCell ref="D6:E6"/>
    <mergeCell ref="G6:I6"/>
    <mergeCell ref="L6:P6"/>
    <mergeCell ref="L4:P4"/>
    <mergeCell ref="B2:E2"/>
    <mergeCell ref="G2:K2"/>
    <mergeCell ref="B4:C4"/>
    <mergeCell ref="D4:E4"/>
    <mergeCell ref="G4:I4"/>
  </mergeCells>
  <conditionalFormatting sqref="F30:U36">
    <cfRule type="cellIs" dxfId="11" priority="6" operator="lessThan">
      <formula>0</formula>
    </cfRule>
  </conditionalFormatting>
  <conditionalFormatting sqref="F38:U43">
    <cfRule type="cellIs" dxfId="10" priority="4" operator="lessThan">
      <formula>0</formula>
    </cfRule>
  </conditionalFormatting>
  <conditionalFormatting sqref="F45:U45">
    <cfRule type="cellIs" dxfId="9" priority="1" operator="lessThan">
      <formula>0</formula>
    </cfRule>
  </conditionalFormatting>
  <conditionalFormatting sqref="F47:U56">
    <cfRule type="cellIs" dxfId="8" priority="5" operator="lessThan">
      <formula>0</formula>
    </cfRule>
  </conditionalFormatting>
  <conditionalFormatting sqref="F58:U61">
    <cfRule type="cellIs" dxfId="7" priority="3" operator="lessThan">
      <formula>0</formula>
    </cfRule>
  </conditionalFormatting>
  <conditionalFormatting sqref="F63:U64">
    <cfRule type="cellIs" dxfId="6" priority="2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99BAF-1D0F-4CC5-9050-5D641F2AEA7C}">
  <sheetPr>
    <tabColor theme="4" tint="-0.249977111117893"/>
  </sheetPr>
  <dimension ref="B2:X75"/>
  <sheetViews>
    <sheetView topLeftCell="A47" zoomScale="90" zoomScaleNormal="90" workbookViewId="0">
      <selection activeCell="F81" sqref="F81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6640625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78" t="s">
        <v>48</v>
      </c>
      <c r="C2" s="78"/>
      <c r="D2" s="78"/>
      <c r="E2" s="78"/>
      <c r="G2" s="78" t="s">
        <v>41</v>
      </c>
      <c r="H2" s="78"/>
      <c r="I2" s="78"/>
      <c r="J2" s="78"/>
      <c r="K2" s="78"/>
      <c r="M2" s="30"/>
      <c r="N2" s="30"/>
      <c r="O2" s="30"/>
      <c r="P2" s="30"/>
      <c r="Q2" s="30"/>
    </row>
    <row r="3" spans="2:21" ht="15" customHeight="1" x14ac:dyDescent="0.35">
      <c r="G3" s="5"/>
      <c r="H3" s="5"/>
      <c r="I3" s="5"/>
      <c r="J3" s="5"/>
    </row>
    <row r="4" spans="2:21" x14ac:dyDescent="0.3">
      <c r="B4" s="51" t="s">
        <v>49</v>
      </c>
      <c r="C4" s="51"/>
      <c r="D4" s="51" t="s">
        <v>40</v>
      </c>
      <c r="E4" s="51"/>
      <c r="G4" s="51" t="s">
        <v>17</v>
      </c>
      <c r="H4" s="51"/>
      <c r="I4" s="51"/>
      <c r="J4" s="19">
        <v>0.06</v>
      </c>
      <c r="K4" s="17" t="s">
        <v>29</v>
      </c>
      <c r="L4" s="47"/>
      <c r="M4" s="47"/>
      <c r="N4" s="47"/>
      <c r="O4" s="47"/>
      <c r="P4" s="47"/>
      <c r="R4" s="27" t="s">
        <v>42</v>
      </c>
      <c r="S4" s="28">
        <v>959.36</v>
      </c>
      <c r="T4" s="21" t="s">
        <v>132</v>
      </c>
      <c r="U4" s="31">
        <v>45946</v>
      </c>
    </row>
    <row r="5" spans="2:21" x14ac:dyDescent="0.3">
      <c r="B5" s="47" t="s">
        <v>50</v>
      </c>
      <c r="C5" s="47"/>
      <c r="D5" s="47" t="s">
        <v>134</v>
      </c>
      <c r="E5" s="47"/>
      <c r="G5" s="51" t="s">
        <v>44</v>
      </c>
      <c r="H5" s="51"/>
      <c r="I5" s="51"/>
      <c r="J5" s="20">
        <v>15</v>
      </c>
      <c r="K5" s="21" t="s">
        <v>45</v>
      </c>
      <c r="L5" s="81"/>
      <c r="M5" s="81"/>
      <c r="N5" s="81"/>
      <c r="O5" s="81"/>
      <c r="P5" s="81"/>
      <c r="R5" s="27" t="s">
        <v>43</v>
      </c>
      <c r="S5" s="28">
        <v>39521.26</v>
      </c>
      <c r="T5" s="21" t="s">
        <v>133</v>
      </c>
      <c r="U5" s="31">
        <v>45946</v>
      </c>
    </row>
    <row r="6" spans="2:21" x14ac:dyDescent="0.3">
      <c r="B6" s="47" t="s">
        <v>51</v>
      </c>
      <c r="C6" s="47"/>
      <c r="D6" s="47" t="s">
        <v>134</v>
      </c>
      <c r="E6" s="47"/>
      <c r="G6" s="84" t="s">
        <v>95</v>
      </c>
      <c r="H6" s="84"/>
      <c r="I6" s="84"/>
      <c r="J6" s="21">
        <v>11</v>
      </c>
      <c r="K6" s="21" t="s">
        <v>45</v>
      </c>
      <c r="L6" s="81"/>
      <c r="M6" s="81"/>
      <c r="N6" s="81"/>
      <c r="O6" s="81"/>
      <c r="P6" s="81"/>
    </row>
    <row r="7" spans="2:21" x14ac:dyDescent="0.3">
      <c r="B7" s="47" t="s">
        <v>52</v>
      </c>
      <c r="C7" s="47"/>
      <c r="D7" s="47" t="s">
        <v>135</v>
      </c>
      <c r="E7" s="47"/>
      <c r="G7" s="84" t="s">
        <v>116</v>
      </c>
      <c r="H7" s="84"/>
      <c r="I7" s="84"/>
      <c r="J7" s="22">
        <f>(SUMIF($F$12:$U$12,"&lt;="&amp;$J$6,$F$17:$U$17)) / ($J$6)</f>
        <v>823707.72727272729</v>
      </c>
      <c r="K7" s="21" t="s">
        <v>96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47" t="s">
        <v>53</v>
      </c>
      <c r="C8" s="47"/>
      <c r="D8" s="47" t="s">
        <v>136</v>
      </c>
      <c r="E8" s="47"/>
      <c r="G8" s="84" t="s">
        <v>117</v>
      </c>
      <c r="H8" s="84"/>
      <c r="I8" s="84"/>
      <c r="J8" s="22">
        <f>(SUMIF($F$12:$U$12,"&lt;="&amp;$J$6,$F$18:$U$18)) / ($J$6)</f>
        <v>5691.909090909091</v>
      </c>
      <c r="K8" s="21" t="s">
        <v>96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47" t="s">
        <v>54</v>
      </c>
      <c r="C9" s="47"/>
      <c r="D9" s="47" t="s">
        <v>136</v>
      </c>
      <c r="E9" s="47"/>
      <c r="G9" s="84" t="s">
        <v>118</v>
      </c>
      <c r="H9" s="84"/>
      <c r="I9" s="84"/>
      <c r="J9" s="22">
        <f>(SUMIF($F$12:$U$12,"&lt;="&amp;$J$6,$F$19:$U$19)) / ($J$6)</f>
        <v>20412.81818181818</v>
      </c>
      <c r="K9" s="21" t="s">
        <v>96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64" t="s">
        <v>109</v>
      </c>
      <c r="C12" s="64"/>
      <c r="D12" s="64"/>
      <c r="E12" s="23" t="s">
        <v>46</v>
      </c>
      <c r="F12" s="25">
        <v>0</v>
      </c>
      <c r="G12" s="25">
        <v>1</v>
      </c>
      <c r="H12" s="25">
        <v>2</v>
      </c>
      <c r="I12" s="25">
        <v>3</v>
      </c>
      <c r="J12" s="25">
        <v>4</v>
      </c>
      <c r="K12" s="25">
        <v>5</v>
      </c>
      <c r="L12" s="25">
        <v>6</v>
      </c>
      <c r="M12" s="25">
        <v>7</v>
      </c>
      <c r="N12" s="25">
        <v>8</v>
      </c>
      <c r="O12" s="25">
        <v>9</v>
      </c>
      <c r="P12" s="25">
        <v>10</v>
      </c>
      <c r="Q12" s="25">
        <v>11</v>
      </c>
      <c r="R12" s="25">
        <v>12</v>
      </c>
      <c r="S12" s="25">
        <v>13</v>
      </c>
      <c r="T12" s="25">
        <v>14</v>
      </c>
      <c r="U12" s="25">
        <v>15</v>
      </c>
    </row>
    <row r="13" spans="2:21" x14ac:dyDescent="0.3">
      <c r="B13" s="65"/>
      <c r="C13" s="65"/>
      <c r="D13" s="65"/>
      <c r="E13" s="24" t="s">
        <v>47</v>
      </c>
      <c r="F13" s="26">
        <v>2025</v>
      </c>
      <c r="G13" s="26">
        <v>2026</v>
      </c>
      <c r="H13" s="26">
        <v>2027</v>
      </c>
      <c r="I13" s="26">
        <v>2028</v>
      </c>
      <c r="J13" s="26">
        <v>2029</v>
      </c>
      <c r="K13" s="26">
        <v>2030</v>
      </c>
      <c r="L13" s="26">
        <v>2031</v>
      </c>
      <c r="M13" s="26">
        <v>2032</v>
      </c>
      <c r="N13" s="26">
        <v>2033</v>
      </c>
      <c r="O13" s="26">
        <v>2034</v>
      </c>
      <c r="P13" s="26">
        <v>2035</v>
      </c>
      <c r="Q13" s="26">
        <v>2036</v>
      </c>
      <c r="R13" s="26">
        <v>2037</v>
      </c>
      <c r="S13" s="26">
        <v>2038</v>
      </c>
      <c r="T13" s="26">
        <v>2039</v>
      </c>
      <c r="U13" s="26">
        <v>2040</v>
      </c>
    </row>
    <row r="14" spans="2:21" x14ac:dyDescent="0.3"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</row>
    <row r="15" spans="2:21" x14ac:dyDescent="0.3">
      <c r="B15" s="48" t="s">
        <v>110</v>
      </c>
      <c r="C15" s="52" t="s">
        <v>126</v>
      </c>
      <c r="D15" s="53"/>
      <c r="E15" s="53"/>
      <c r="F15" s="4">
        <f>CB_SMI_Mixto!B2/1000</f>
        <v>34765.766042480063</v>
      </c>
      <c r="G15" s="4">
        <f>CB_SMI_Mixto!C2/1000</f>
        <v>35815.692176962955</v>
      </c>
      <c r="H15" s="4">
        <f>CB_SMI_Mixto!D2/1000</f>
        <v>36897.326080707237</v>
      </c>
      <c r="I15" s="4">
        <f>CB_SMI_Mixto!E2/1000</f>
        <v>38011.625328344599</v>
      </c>
      <c r="J15" s="4">
        <f>CB_SMI_Mixto!F2/1000</f>
        <v>39159.576413260605</v>
      </c>
      <c r="K15" s="4">
        <f>CB_SMI_Mixto!G2/1000</f>
        <v>40342.195620941086</v>
      </c>
      <c r="L15" s="4">
        <f>CB_SMI_Mixto!H2/1000</f>
        <v>41560.529928693504</v>
      </c>
      <c r="M15" s="4">
        <f>CB_SMI_Mixto!I2/1000</f>
        <v>42815.657932540038</v>
      </c>
      <c r="N15" s="4">
        <f>CB_SMI_Mixto!J2/1000</f>
        <v>44108.690802102763</v>
      </c>
      <c r="O15" s="4">
        <f>CB_SMI_Mixto!K2/1000</f>
        <v>45440.773264326257</v>
      </c>
      <c r="P15" s="4">
        <f>CB_SMI_Mixto!L2/1000</f>
        <v>46813.084616908905</v>
      </c>
      <c r="Q15" s="4">
        <f>CB_SMI_Mixto!M2/1000</f>
        <v>48226.839772339561</v>
      </c>
      <c r="R15" s="4">
        <f>CB_SMI_Mixto!N2/1000</f>
        <v>49683.290333464211</v>
      </c>
      <c r="S15" s="4">
        <f>CB_SMI_Mixto!O2/1000</f>
        <v>51183.725701534837</v>
      </c>
      <c r="T15" s="4">
        <f>CB_SMI_Mixto!P2/1000</f>
        <v>52729.474217721188</v>
      </c>
      <c r="U15" s="4">
        <f>CB_SMI_Mixto!Q2/1000</f>
        <v>54321.904339096371</v>
      </c>
    </row>
    <row r="16" spans="2:21" x14ac:dyDescent="0.3">
      <c r="B16" s="49"/>
      <c r="C16" s="54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</row>
    <row r="17" spans="2:21" x14ac:dyDescent="0.3">
      <c r="B17" s="49"/>
      <c r="C17" s="66" t="s">
        <v>103</v>
      </c>
      <c r="D17" s="67"/>
      <c r="E17" s="67"/>
      <c r="F17" s="13">
        <f>CB_SMI_Mixto!B3</f>
        <v>7706817</v>
      </c>
      <c r="G17" s="13">
        <f>CB_SMI_Mixto!C3</f>
        <v>113821</v>
      </c>
      <c r="H17" s="13">
        <f>CB_SMI_Mixto!D3</f>
        <v>115591</v>
      </c>
      <c r="I17" s="13">
        <f>CB_SMI_Mixto!E3</f>
        <v>117376</v>
      </c>
      <c r="J17" s="13">
        <f>CB_SMI_Mixto!F3</f>
        <v>119200</v>
      </c>
      <c r="K17" s="13">
        <f>CB_SMI_Mixto!G3</f>
        <v>121056</v>
      </c>
      <c r="L17" s="13">
        <f>CB_SMI_Mixto!H3</f>
        <v>122935</v>
      </c>
      <c r="M17" s="13">
        <f>CB_SMI_Mixto!I3</f>
        <v>124861</v>
      </c>
      <c r="N17" s="13">
        <f>CB_SMI_Mixto!J3</f>
        <v>126789</v>
      </c>
      <c r="O17" s="13">
        <f>CB_SMI_Mixto!K3</f>
        <v>128764</v>
      </c>
      <c r="P17" s="13">
        <f>CB_SMI_Mixto!L3</f>
        <v>130761</v>
      </c>
      <c r="Q17" s="13">
        <f>CB_SMI_Mixto!M3</f>
        <v>132814</v>
      </c>
      <c r="R17" s="13">
        <f>CB_SMI_Mixto!N3</f>
        <v>134885</v>
      </c>
      <c r="S17" s="13">
        <f>CB_SMI_Mixto!O3</f>
        <v>136990</v>
      </c>
      <c r="T17" s="13">
        <f>CB_SMI_Mixto!P3</f>
        <v>139136</v>
      </c>
      <c r="U17" s="13">
        <f>CB_SMI_Mixto!Q3</f>
        <v>141300</v>
      </c>
    </row>
    <row r="18" spans="2:21" x14ac:dyDescent="0.3">
      <c r="B18" s="49"/>
      <c r="C18" s="66" t="s">
        <v>104</v>
      </c>
      <c r="D18" s="67"/>
      <c r="E18" s="67"/>
      <c r="F18" s="13">
        <f>CB_SMI_Mixto!B4</f>
        <v>56511</v>
      </c>
      <c r="G18" s="13">
        <f>CB_SMI_Mixto!C4</f>
        <v>514</v>
      </c>
      <c r="H18" s="13">
        <f>CB_SMI_Mixto!D4</f>
        <v>519</v>
      </c>
      <c r="I18" s="13">
        <f>CB_SMI_Mixto!E4</f>
        <v>528</v>
      </c>
      <c r="J18" s="13">
        <f>CB_SMI_Mixto!F4</f>
        <v>539</v>
      </c>
      <c r="K18" s="13">
        <f>CB_SMI_Mixto!G4</f>
        <v>549</v>
      </c>
      <c r="L18" s="13">
        <f>CB_SMI_Mixto!H4</f>
        <v>558</v>
      </c>
      <c r="M18" s="13">
        <f>CB_SMI_Mixto!I4</f>
        <v>564</v>
      </c>
      <c r="N18" s="13">
        <f>CB_SMI_Mixto!J4</f>
        <v>570</v>
      </c>
      <c r="O18" s="13">
        <f>CB_SMI_Mixto!K4</f>
        <v>576</v>
      </c>
      <c r="P18" s="13">
        <f>CB_SMI_Mixto!L4</f>
        <v>589</v>
      </c>
      <c r="Q18" s="13">
        <f>CB_SMI_Mixto!M4</f>
        <v>594</v>
      </c>
      <c r="R18" s="13">
        <f>CB_SMI_Mixto!N4</f>
        <v>602</v>
      </c>
      <c r="S18" s="13">
        <f>CB_SMI_Mixto!O4</f>
        <v>612</v>
      </c>
      <c r="T18" s="13">
        <f>CB_SMI_Mixto!P4</f>
        <v>621</v>
      </c>
      <c r="U18" s="13">
        <f>CB_SMI_Mixto!Q4</f>
        <v>632</v>
      </c>
    </row>
    <row r="19" spans="2:21" x14ac:dyDescent="0.3">
      <c r="B19" s="50"/>
      <c r="C19" s="66" t="s">
        <v>105</v>
      </c>
      <c r="D19" s="67"/>
      <c r="E19" s="67"/>
      <c r="F19" s="14">
        <f>CB_SMI_Mixto!B5</f>
        <v>216250</v>
      </c>
      <c r="G19" s="14">
        <f>CB_SMI_Mixto!C5</f>
        <v>739</v>
      </c>
      <c r="H19" s="14">
        <f>CB_SMI_Mixto!D5</f>
        <v>739</v>
      </c>
      <c r="I19" s="14">
        <f>CB_SMI_Mixto!E5</f>
        <v>744</v>
      </c>
      <c r="J19" s="14">
        <f>CB_SMI_Mixto!F5</f>
        <v>746</v>
      </c>
      <c r="K19" s="14">
        <f>CB_SMI_Mixto!G5</f>
        <v>755</v>
      </c>
      <c r="L19" s="14">
        <f>CB_SMI_Mixto!H5</f>
        <v>755</v>
      </c>
      <c r="M19" s="14">
        <f>CB_SMI_Mixto!I5</f>
        <v>760</v>
      </c>
      <c r="N19" s="14">
        <f>CB_SMI_Mixto!J5</f>
        <v>762</v>
      </c>
      <c r="O19" s="14">
        <f>CB_SMI_Mixto!K5</f>
        <v>762</v>
      </c>
      <c r="P19" s="14">
        <f>CB_SMI_Mixto!L5</f>
        <v>762</v>
      </c>
      <c r="Q19" s="14">
        <f>CB_SMI_Mixto!M5</f>
        <v>767</v>
      </c>
      <c r="R19" s="14">
        <f>CB_SMI_Mixto!N5</f>
        <v>773</v>
      </c>
      <c r="S19" s="14">
        <f>CB_SMI_Mixto!O5</f>
        <v>779</v>
      </c>
      <c r="T19" s="14">
        <f>CB_SMI_Mixto!P5</f>
        <v>785</v>
      </c>
      <c r="U19" s="14">
        <f>CB_SMI_Mixto!Q5</f>
        <v>793</v>
      </c>
    </row>
    <row r="20" spans="2:21" x14ac:dyDescent="0.3">
      <c r="B20" s="11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</row>
    <row r="21" spans="2:21" x14ac:dyDescent="0.3">
      <c r="B21" s="85" t="s">
        <v>94</v>
      </c>
      <c r="C21" s="69" t="s">
        <v>113</v>
      </c>
      <c r="D21" s="70"/>
      <c r="E21" s="70"/>
      <c r="F21" s="10">
        <v>0</v>
      </c>
      <c r="G21" s="12">
        <f>IF(G$12&lt;=$J$6,$J7,G17)</f>
        <v>823707.72727272729</v>
      </c>
      <c r="H21" s="12">
        <f t="shared" ref="H21:U23" si="1">IF(H$12&lt;=$J$6,$J7,H17)</f>
        <v>823707.72727272729</v>
      </c>
      <c r="I21" s="12">
        <f t="shared" si="1"/>
        <v>823707.72727272729</v>
      </c>
      <c r="J21" s="12">
        <f t="shared" si="1"/>
        <v>823707.72727272729</v>
      </c>
      <c r="K21" s="12">
        <f t="shared" si="1"/>
        <v>823707.72727272729</v>
      </c>
      <c r="L21" s="12">
        <f t="shared" si="1"/>
        <v>823707.72727272729</v>
      </c>
      <c r="M21" s="12">
        <f t="shared" si="1"/>
        <v>823707.72727272729</v>
      </c>
      <c r="N21" s="12">
        <f t="shared" si="1"/>
        <v>823707.72727272729</v>
      </c>
      <c r="O21" s="12">
        <f t="shared" si="1"/>
        <v>823707.72727272729</v>
      </c>
      <c r="P21" s="12">
        <f t="shared" si="1"/>
        <v>823707.72727272729</v>
      </c>
      <c r="Q21" s="12">
        <f t="shared" si="1"/>
        <v>823707.72727272729</v>
      </c>
      <c r="R21" s="12">
        <f t="shared" si="1"/>
        <v>134885</v>
      </c>
      <c r="S21" s="12">
        <f t="shared" si="1"/>
        <v>136990</v>
      </c>
      <c r="T21" s="12">
        <f t="shared" si="1"/>
        <v>139136</v>
      </c>
      <c r="U21" s="12">
        <f t="shared" si="1"/>
        <v>141300</v>
      </c>
    </row>
    <row r="22" spans="2:21" x14ac:dyDescent="0.3">
      <c r="B22" s="86"/>
      <c r="C22" s="69" t="s">
        <v>114</v>
      </c>
      <c r="D22" s="70"/>
      <c r="E22" s="70"/>
      <c r="F22" s="10">
        <v>0</v>
      </c>
      <c r="G22" s="12">
        <f>IF(G$12&lt;=$J$6,$J8,G18)</f>
        <v>5691.909090909091</v>
      </c>
      <c r="H22" s="12">
        <f t="shared" si="1"/>
        <v>5691.909090909091</v>
      </c>
      <c r="I22" s="12">
        <f t="shared" si="1"/>
        <v>5691.909090909091</v>
      </c>
      <c r="J22" s="12">
        <f t="shared" si="1"/>
        <v>5691.909090909091</v>
      </c>
      <c r="K22" s="12">
        <f t="shared" si="1"/>
        <v>5691.909090909091</v>
      </c>
      <c r="L22" s="12">
        <f t="shared" si="1"/>
        <v>5691.909090909091</v>
      </c>
      <c r="M22" s="12">
        <f t="shared" si="1"/>
        <v>5691.909090909091</v>
      </c>
      <c r="N22" s="12">
        <f>IF(N$12&lt;=$J$6,$J8,N18)</f>
        <v>5691.909090909091</v>
      </c>
      <c r="O22" s="12">
        <f t="shared" si="1"/>
        <v>5691.909090909091</v>
      </c>
      <c r="P22" s="12">
        <f t="shared" si="1"/>
        <v>5691.909090909091</v>
      </c>
      <c r="Q22" s="12">
        <f t="shared" si="1"/>
        <v>5691.909090909091</v>
      </c>
      <c r="R22" s="12">
        <f t="shared" si="1"/>
        <v>602</v>
      </c>
      <c r="S22" s="12">
        <f t="shared" si="1"/>
        <v>612</v>
      </c>
      <c r="T22" s="12">
        <f t="shared" si="1"/>
        <v>621</v>
      </c>
      <c r="U22" s="12">
        <f t="shared" si="1"/>
        <v>632</v>
      </c>
    </row>
    <row r="23" spans="2:21" x14ac:dyDescent="0.3">
      <c r="B23" s="86"/>
      <c r="C23" s="69" t="s">
        <v>115</v>
      </c>
      <c r="D23" s="70"/>
      <c r="E23" s="70"/>
      <c r="F23" s="10">
        <v>0</v>
      </c>
      <c r="G23" s="12">
        <f>IF(G$12&lt;=$J$6,$J9,G19)</f>
        <v>20412.81818181818</v>
      </c>
      <c r="H23" s="12">
        <f t="shared" si="1"/>
        <v>20412.81818181818</v>
      </c>
      <c r="I23" s="12">
        <f t="shared" si="1"/>
        <v>20412.81818181818</v>
      </c>
      <c r="J23" s="12">
        <f t="shared" si="1"/>
        <v>20412.81818181818</v>
      </c>
      <c r="K23" s="12">
        <f t="shared" si="1"/>
        <v>20412.81818181818</v>
      </c>
      <c r="L23" s="12">
        <f t="shared" si="1"/>
        <v>20412.81818181818</v>
      </c>
      <c r="M23" s="12">
        <f t="shared" si="1"/>
        <v>20412.81818181818</v>
      </c>
      <c r="N23" s="12">
        <f t="shared" si="1"/>
        <v>20412.81818181818</v>
      </c>
      <c r="O23" s="12">
        <f t="shared" si="1"/>
        <v>20412.81818181818</v>
      </c>
      <c r="P23" s="12">
        <f t="shared" si="1"/>
        <v>20412.81818181818</v>
      </c>
      <c r="Q23" s="12">
        <f t="shared" si="1"/>
        <v>20412.81818181818</v>
      </c>
      <c r="R23" s="12">
        <f t="shared" si="1"/>
        <v>773</v>
      </c>
      <c r="S23" s="12">
        <f t="shared" si="1"/>
        <v>779</v>
      </c>
      <c r="T23" s="12">
        <f t="shared" si="1"/>
        <v>785</v>
      </c>
      <c r="U23" s="12">
        <f t="shared" si="1"/>
        <v>793</v>
      </c>
    </row>
    <row r="24" spans="2:21" x14ac:dyDescent="0.3">
      <c r="B24" s="86"/>
      <c r="C24" s="54" t="s">
        <v>102</v>
      </c>
      <c r="D24" s="55"/>
      <c r="E24" s="55"/>
      <c r="F24" s="4">
        <f>SUM(F17:F19)</f>
        <v>7979578</v>
      </c>
      <c r="G24" s="7">
        <f>SUM(F24,G17:G19)-SUM(G21:G23)</f>
        <v>7244839.5454545449</v>
      </c>
      <c r="H24" s="7">
        <f t="shared" ref="H24:U24" si="2">SUM(G24,H17:H19)-SUM(H21:H23)</f>
        <v>6511876.0909090899</v>
      </c>
      <c r="I24" s="7">
        <f t="shared" si="2"/>
        <v>5780711.6363636348</v>
      </c>
      <c r="J24" s="7">
        <f t="shared" si="2"/>
        <v>5051384.1818181798</v>
      </c>
      <c r="K24" s="7">
        <f t="shared" si="2"/>
        <v>4323931.7272727247</v>
      </c>
      <c r="L24" s="7">
        <f t="shared" si="2"/>
        <v>3598367.2727272701</v>
      </c>
      <c r="M24" s="7">
        <f t="shared" si="2"/>
        <v>2874739.8181818156</v>
      </c>
      <c r="N24" s="7">
        <f t="shared" si="2"/>
        <v>2153048.363636361</v>
      </c>
      <c r="O24" s="7">
        <f t="shared" si="2"/>
        <v>1433337.9090909064</v>
      </c>
      <c r="P24" s="7">
        <f>SUM(O24,P17:P19)-SUM(P21:P23)</f>
        <v>715637.45454545179</v>
      </c>
      <c r="Q24" s="7">
        <f>SUM(P24,Q17:Q19)-SUM(Q21:Q23)</f>
        <v>-2.7939677238464355E-9</v>
      </c>
      <c r="R24" s="7">
        <f t="shared" si="2"/>
        <v>-2.7939677238464355E-9</v>
      </c>
      <c r="S24" s="7">
        <f t="shared" si="2"/>
        <v>-2.7939677238464355E-9</v>
      </c>
      <c r="T24" s="7">
        <f t="shared" si="2"/>
        <v>-2.7939677238464355E-9</v>
      </c>
      <c r="U24" s="7">
        <f t="shared" si="2"/>
        <v>-2.7939677238464355E-9</v>
      </c>
    </row>
    <row r="25" spans="2:21" x14ac:dyDescent="0.3">
      <c r="B25" s="87"/>
      <c r="C25" s="68" t="s">
        <v>97</v>
      </c>
      <c r="D25" s="68"/>
      <c r="E25" s="68"/>
      <c r="F25" s="18">
        <v>0</v>
      </c>
      <c r="G25" s="18">
        <f>IF(G$12&lt;=$J$6,SUM($F$21:G23)/SUM($F$17:G19),1)</f>
        <v>0.10498443349330577</v>
      </c>
      <c r="H25" s="18">
        <f>IF(H$12&lt;=$J$6,SUM($F$21:H23)/SUM($F$17:H19),1)</f>
        <v>0.20698102686596631</v>
      </c>
      <c r="I25" s="18">
        <f>IF(I$12&lt;=$J$6,SUM($F$21:I23)/SUM($F$17:I19),1)</f>
        <v>0.30604943124503103</v>
      </c>
      <c r="J25" s="18">
        <f>IF(J$12&lt;=$J$6,SUM($F$21:J23)/SUM($F$17:J19),1)</f>
        <v>0.4022479044982683</v>
      </c>
      <c r="K25" s="18">
        <f>IF(K$12&lt;=$J$6,SUM($F$21:K23)/SUM($F$17:K19),1)</f>
        <v>0.49563341263592092</v>
      </c>
      <c r="L25" s="18">
        <f>IF(L$12&lt;=$J$6,SUM($F$21:L23)/SUM($F$17:L19),1)</f>
        <v>0.58626340709764424</v>
      </c>
      <c r="M25" s="18">
        <f>IF(M$12&lt;=$J$6,SUM($F$21:M23)/SUM($F$17:M19),1)</f>
        <v>0.6741923723988632</v>
      </c>
      <c r="N25" s="18">
        <f>IF(N$12&lt;=$J$6,SUM($F$21:N23)/SUM($F$17:N19),1)</f>
        <v>0.75947753800388929</v>
      </c>
      <c r="O25" s="18">
        <f>IF(O$12&lt;=$J$6,SUM($F$21:O23)/SUM($F$17:O19),1)</f>
        <v>0.8421720822657881</v>
      </c>
      <c r="P25" s="18">
        <f>IF(P$12&lt;=$J$6,SUM($F$21:P23)/SUM($F$17:P19),1)</f>
        <v>0.92232950508755807</v>
      </c>
      <c r="Q25" s="18">
        <f>IF(Q$12&lt;=$J$6,SUM($F$21:Q23)/SUM($F$17:Q19),1)</f>
        <v>0.99999999999999944</v>
      </c>
      <c r="R25" s="18">
        <f>IF(R$12&lt;=$J$6,SUM($F$21:R23)/SUM($F$17:R19),1)</f>
        <v>1</v>
      </c>
      <c r="S25" s="18">
        <f>IF(S$12&lt;=$J$6,SUM($F$21:S23)/SUM($F$17:S19),1)</f>
        <v>1</v>
      </c>
      <c r="T25" s="18">
        <f>IF(T$12&lt;=$J$6,SUM($F$21:T23)/SUM($F$17:T19),1)</f>
        <v>1</v>
      </c>
      <c r="U25" s="18">
        <f>IF(U$12&lt;=$J$6,SUM($F$21:U23)/SUM($F$17:U19),1)</f>
        <v>1</v>
      </c>
    </row>
    <row r="26" spans="2:21" ht="28.2" customHeight="1" x14ac:dyDescent="0.3"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</row>
    <row r="27" spans="2:21" x14ac:dyDescent="0.3">
      <c r="B27" s="72" t="s">
        <v>112</v>
      </c>
      <c r="C27" s="73"/>
      <c r="D27" s="74"/>
      <c r="E27" s="23" t="s">
        <v>46</v>
      </c>
      <c r="F27" s="25">
        <v>0</v>
      </c>
      <c r="G27" s="25">
        <v>1</v>
      </c>
      <c r="H27" s="25">
        <v>2</v>
      </c>
      <c r="I27" s="25">
        <v>3</v>
      </c>
      <c r="J27" s="25">
        <v>4</v>
      </c>
      <c r="K27" s="25">
        <v>5</v>
      </c>
      <c r="L27" s="25">
        <v>6</v>
      </c>
      <c r="M27" s="25">
        <v>7</v>
      </c>
      <c r="N27" s="25">
        <v>8</v>
      </c>
      <c r="O27" s="25">
        <v>9</v>
      </c>
      <c r="P27" s="25">
        <v>10</v>
      </c>
      <c r="Q27" s="25">
        <v>11</v>
      </c>
      <c r="R27" s="25">
        <v>12</v>
      </c>
      <c r="S27" s="25">
        <v>13</v>
      </c>
      <c r="T27" s="25">
        <v>14</v>
      </c>
      <c r="U27" s="25">
        <v>15</v>
      </c>
    </row>
    <row r="28" spans="2:21" x14ac:dyDescent="0.3">
      <c r="B28" s="75"/>
      <c r="C28" s="76"/>
      <c r="D28" s="77"/>
      <c r="E28" s="24" t="s">
        <v>47</v>
      </c>
      <c r="F28" s="26">
        <v>2025</v>
      </c>
      <c r="G28" s="26">
        <v>2026</v>
      </c>
      <c r="H28" s="26">
        <v>2027</v>
      </c>
      <c r="I28" s="26">
        <v>2028</v>
      </c>
      <c r="J28" s="26">
        <v>2029</v>
      </c>
      <c r="K28" s="26">
        <v>2030</v>
      </c>
      <c r="L28" s="26">
        <v>2031</v>
      </c>
      <c r="M28" s="26">
        <v>2032</v>
      </c>
      <c r="N28" s="26">
        <v>2033</v>
      </c>
      <c r="O28" s="26">
        <v>2034</v>
      </c>
      <c r="P28" s="26">
        <v>2035</v>
      </c>
      <c r="Q28" s="26">
        <v>2036</v>
      </c>
      <c r="R28" s="26">
        <v>2037</v>
      </c>
      <c r="S28" s="26">
        <v>2038</v>
      </c>
      <c r="T28" s="26">
        <v>2039</v>
      </c>
      <c r="U28" s="26">
        <v>2040</v>
      </c>
    </row>
    <row r="29" spans="2:21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1" x14ac:dyDescent="0.3">
      <c r="B30" s="56" t="s">
        <v>106</v>
      </c>
      <c r="C30" s="45" t="s">
        <v>55</v>
      </c>
      <c r="D30" s="46"/>
      <c r="E30" s="46"/>
      <c r="F30" s="9">
        <v>0</v>
      </c>
      <c r="G30" s="9">
        <f>((-CB_SMI_Mixto!C7)*G21)/1000000</f>
        <v>-125.36411713499702</v>
      </c>
      <c r="H30" s="9">
        <f>((-CB_SMI_Mixto!D7)*H21)/1000000</f>
        <v>-125.36911354597902</v>
      </c>
      <c r="I30" s="9">
        <f>((-CB_SMI_Mixto!E7)*I21)/1000000</f>
        <v>-125.3774156451346</v>
      </c>
      <c r="J30" s="9">
        <f>((-CB_SMI_Mixto!F7)*J21)/1000000</f>
        <v>-125.379582363456</v>
      </c>
      <c r="K30" s="9">
        <f>((-CB_SMI_Mixto!G7)*K21)/1000000</f>
        <v>-125.38576091193633</v>
      </c>
      <c r="L30" s="9">
        <f>((-CB_SMI_Mixto!H7)*L21)/1000000</f>
        <v>-125.39541498499872</v>
      </c>
      <c r="M30" s="9">
        <f>((-CB_SMI_Mixto!I7)*M21)/1000000</f>
        <v>-125.4016017881419</v>
      </c>
      <c r="N30" s="9">
        <f>((-CB_SMI_Mixto!J7)*N21)/1000000</f>
        <v>-125.40437059148347</v>
      </c>
      <c r="O30" s="9">
        <f>((-CB_SMI_Mixto!K7)*O21)/1000000</f>
        <v>-125.41271936692503</v>
      </c>
      <c r="P30" s="9">
        <f>((-CB_SMI_Mixto!L7)*P21)/1000000</f>
        <v>-125.41623616393017</v>
      </c>
      <c r="Q30" s="9">
        <f>((-CB_SMI_Mixto!M7)*Q21)/1000000</f>
        <v>-125.42370364876059</v>
      </c>
      <c r="R30" s="9">
        <f>((-CB_SMI_Mixto!N7)*R21)/1000000</f>
        <v>-20.539860707082969</v>
      </c>
      <c r="S30" s="9">
        <f>((-CB_SMI_Mixto!O7)*S21)/1000000</f>
        <v>-20.861326318049475</v>
      </c>
      <c r="T30" s="9">
        <f>((-CB_SMI_Mixto!P7)*T21)/1000000</f>
        <v>-21.189057200099885</v>
      </c>
      <c r="U30" s="9">
        <f>((-CB_SMI_Mixto!Q7)*U21)/1000000</f>
        <v>-21.51947532390087</v>
      </c>
    </row>
    <row r="31" spans="2:21" x14ac:dyDescent="0.3">
      <c r="B31" s="57"/>
      <c r="C31" s="45" t="s">
        <v>56</v>
      </c>
      <c r="D31" s="46"/>
      <c r="E31" s="46"/>
      <c r="F31" s="9">
        <v>0</v>
      </c>
      <c r="G31" s="9">
        <f>((-CB_SMI_Mixto!C8)*G22)/1000000</f>
        <v>-1.9605820713247046</v>
      </c>
      <c r="H31" s="9">
        <f>((-CB_SMI_Mixto!D8)*H22)/1000000</f>
        <v>-1.959981749469683</v>
      </c>
      <c r="I31" s="9">
        <f>((-CB_SMI_Mixto!E8)*I22)/1000000</f>
        <v>-1.9619476914661309</v>
      </c>
      <c r="J31" s="9">
        <f>((-CB_SMI_Mixto!F8)*J22)/1000000</f>
        <v>-1.9622906771693704</v>
      </c>
      <c r="K31" s="9">
        <f>((-CB_SMI_Mixto!G8)*K22)/1000000</f>
        <v>-1.9627369824671492</v>
      </c>
      <c r="L31" s="9">
        <f>((-CB_SMI_Mixto!H8)*L22)/1000000</f>
        <v>-1.9632834520334024</v>
      </c>
      <c r="M31" s="9">
        <f>((-CB_SMI_Mixto!I8)*M22)/1000000</f>
        <v>-1.9632186059732193</v>
      </c>
      <c r="N31" s="9">
        <f>((-CB_SMI_Mixto!J8)*N22)/1000000</f>
        <v>-1.9631559747180458</v>
      </c>
      <c r="O31" s="9">
        <f>((-CB_SMI_Mixto!K8)*O22)/1000000</f>
        <v>-1.9629397833920941</v>
      </c>
      <c r="P31" s="9">
        <f>((-CB_SMI_Mixto!L8)*P22)/1000000</f>
        <v>-1.9621129322953668</v>
      </c>
      <c r="Q31" s="9">
        <f>((-CB_SMI_Mixto!M8)*Q22)/1000000</f>
        <v>-1.9624700323261866</v>
      </c>
      <c r="R31" s="9">
        <f>((-CB_SMI_Mixto!N8)*R22)/1000000</f>
        <v>-0.20753090727725379</v>
      </c>
      <c r="S31" s="9">
        <f>((-CB_SMI_Mixto!O8)*S22)/1000000</f>
        <v>-0.21099037519432959</v>
      </c>
      <c r="T31" s="9">
        <f>((-CB_SMI_Mixto!P8)*T22)/1000000</f>
        <v>-0.21417849961156918</v>
      </c>
      <c r="U31" s="9">
        <f>((-CB_SMI_Mixto!Q8)*U22)/1000000</f>
        <v>-0.21794031419531179</v>
      </c>
    </row>
    <row r="32" spans="2:21" x14ac:dyDescent="0.3">
      <c r="B32" s="57"/>
      <c r="C32" s="45" t="s">
        <v>57</v>
      </c>
      <c r="D32" s="46"/>
      <c r="E32" s="46"/>
      <c r="F32" s="9">
        <v>0</v>
      </c>
      <c r="G32" s="9">
        <f>((-CB_SMI_Mixto!C9)*G23)/1000000</f>
        <v>-15.267182447912759</v>
      </c>
      <c r="H32" s="9">
        <f>((-CB_SMI_Mixto!D9)*H23)/1000000</f>
        <v>-15.267182447912759</v>
      </c>
      <c r="I32" s="9">
        <f>((-CB_SMI_Mixto!E9)*I23)/1000000</f>
        <v>-15.264729841972686</v>
      </c>
      <c r="J32" s="9">
        <f>((-CB_SMI_Mixto!F9)*J23)/1000000</f>
        <v>-15.266483577842031</v>
      </c>
      <c r="K32" s="9">
        <f>((-CB_SMI_Mixto!G9)*K23)/1000000</f>
        <v>-15.270894056116932</v>
      </c>
      <c r="L32" s="9">
        <f>((-CB_SMI_Mixto!H9)*L23)/1000000</f>
        <v>-15.270894056116932</v>
      </c>
      <c r="M32" s="9">
        <f>((-CB_SMI_Mixto!I9)*M23)/1000000</f>
        <v>-15.271812871554545</v>
      </c>
      <c r="N32" s="9">
        <f>((-CB_SMI_Mixto!J9)*N23)/1000000</f>
        <v>-15.270175764345021</v>
      </c>
      <c r="O32" s="9">
        <f>((-CB_SMI_Mixto!K9)*O23)/1000000</f>
        <v>-15.270175764345021</v>
      </c>
      <c r="P32" s="9">
        <f>((-CB_SMI_Mixto!L9)*P23)/1000000</f>
        <v>-15.270175764345021</v>
      </c>
      <c r="Q32" s="9">
        <f>((-CB_SMI_Mixto!M9)*Q23)/1000000</f>
        <v>-15.271090876719791</v>
      </c>
      <c r="R32" s="9">
        <f>((-CB_SMI_Mixto!N9)*R23)/1000000</f>
        <v>-0.57835710094621195</v>
      </c>
      <c r="S32" s="9">
        <f>((-CB_SMI_Mixto!O9)*S23)/1000000</f>
        <v>-0.58284941769645748</v>
      </c>
      <c r="T32" s="9">
        <f>((-CB_SMI_Mixto!P9)*T23)/1000000</f>
        <v>-0.58727947952995463</v>
      </c>
      <c r="U32" s="9">
        <f>((-CB_SMI_Mixto!Q9)*U23)/1000000</f>
        <v>-0.59314472536345153</v>
      </c>
    </row>
    <row r="33" spans="2:22" x14ac:dyDescent="0.3">
      <c r="B33" s="57"/>
      <c r="C33" s="45" t="s">
        <v>58</v>
      </c>
      <c r="D33" s="46"/>
      <c r="E33" s="46"/>
      <c r="F33" s="9">
        <f>((-CB_SMI_Mixto!B10)*CB_SMI_Mixto!B6)/1000000</f>
        <v>-45.695965846166771</v>
      </c>
      <c r="G33" s="9">
        <f>((-CB_SMI_Mixto!C10)*CB_SMI_Mixto!C6)/1000000</f>
        <v>0</v>
      </c>
      <c r="H33" s="9">
        <f>((-CB_SMI_Mixto!D10)*CB_SMI_Mixto!D6)/1000000</f>
        <v>0</v>
      </c>
      <c r="I33" s="9">
        <f>((-CB_SMI_Mixto!E10)*CB_SMI_Mixto!E6)/1000000</f>
        <v>0</v>
      </c>
      <c r="J33" s="9">
        <f>((-CB_SMI_Mixto!F10)*CB_SMI_Mixto!F6)/1000000</f>
        <v>0</v>
      </c>
      <c r="K33" s="9">
        <f>((-CB_SMI_Mixto!G10)*CB_SMI_Mixto!G6)/1000000</f>
        <v>0</v>
      </c>
      <c r="L33" s="9">
        <f>((-CB_SMI_Mixto!H10)*CB_SMI_Mixto!H6)/1000000</f>
        <v>0</v>
      </c>
      <c r="M33" s="9">
        <f>((-CB_SMI_Mixto!I10)*CB_SMI_Mixto!I6)/1000000</f>
        <v>0</v>
      </c>
      <c r="N33" s="9">
        <f>((-CB_SMI_Mixto!J10)*CB_SMI_Mixto!J6)/1000000</f>
        <v>0</v>
      </c>
      <c r="O33" s="9">
        <f>((-CB_SMI_Mixto!K10)*CB_SMI_Mixto!K6)/1000000</f>
        <v>0</v>
      </c>
      <c r="P33" s="9">
        <f>((-CB_SMI_Mixto!L10)*CB_SMI_Mixto!L6)/1000000</f>
        <v>0</v>
      </c>
      <c r="Q33" s="9">
        <f>((-CB_SMI_Mixto!M10)*CB_SMI_Mixto!M6)/1000000</f>
        <v>0</v>
      </c>
      <c r="R33" s="9">
        <f>((-CB_SMI_Mixto!N10)*CB_SMI_Mixto!N6)/1000000</f>
        <v>0</v>
      </c>
      <c r="S33" s="9">
        <f>((-CB_SMI_Mixto!O10)*CB_SMI_Mixto!O6)/1000000</f>
        <v>0</v>
      </c>
      <c r="T33" s="9">
        <f>((-CB_SMI_Mixto!P10)*CB_SMI_Mixto!P6)/1000000</f>
        <v>0</v>
      </c>
      <c r="U33" s="9">
        <f>((-CB_SMI_Mixto!Q10)*CB_SMI_Mixto!Q6)/1000000</f>
        <v>0</v>
      </c>
    </row>
    <row r="34" spans="2:22" x14ac:dyDescent="0.3">
      <c r="B34" s="57"/>
      <c r="C34" s="45" t="s">
        <v>138</v>
      </c>
      <c r="D34" s="46"/>
      <c r="E34" s="46"/>
      <c r="F34" s="9">
        <f>(-CB_SMI_Mixto!B11)/1000000</f>
        <v>-146.433235878</v>
      </c>
      <c r="G34" s="9">
        <f>(-CB_SMI_Mixto!C11)/1000000</f>
        <v>-2.1117229740000001</v>
      </c>
      <c r="H34" s="9">
        <f>(-CB_SMI_Mixto!D11)/1000000</f>
        <v>-2.1442959989999997</v>
      </c>
      <c r="I34" s="9">
        <f>(-CB_SMI_Mixto!E11)/1000000</f>
        <v>-2.1773094479999999</v>
      </c>
      <c r="J34" s="9">
        <f>(-CB_SMI_Mixto!F11)/1000000</f>
        <v>-2.2110202349999999</v>
      </c>
      <c r="K34" s="9">
        <f>(-CB_SMI_Mixto!G11)/1000000</f>
        <v>-2.24542836</v>
      </c>
      <c r="L34" s="9">
        <f>(-CB_SMI_Mixto!H11)/1000000</f>
        <v>-2.2800750479999992</v>
      </c>
      <c r="M34" s="9">
        <f>(-CB_SMI_Mixto!I11)/1000000</f>
        <v>-2.3156209350000001</v>
      </c>
      <c r="N34" s="9">
        <f>(-CB_SMI_Mixto!J11)/1000000</f>
        <v>-2.3511484709999997</v>
      </c>
      <c r="O34" s="9">
        <f>(-CB_SMI_Mixto!K11)/1000000</f>
        <v>-2.3875018020000001</v>
      </c>
      <c r="P34" s="9">
        <f>(-CB_SMI_Mixto!L11)/1000000</f>
        <v>-2.4243873119999999</v>
      </c>
      <c r="Q34" s="9">
        <f>(-CB_SMI_Mixto!M11)/1000000</f>
        <v>-2.4622454249999999</v>
      </c>
      <c r="R34" s="9">
        <f>(-CB_SMI_Mixto!N11)/1000000</f>
        <v>-2.5005072599999996</v>
      </c>
      <c r="S34" s="9">
        <f>(-CB_SMI_Mixto!O11)/1000000</f>
        <v>-2.5394297310000002</v>
      </c>
      <c r="T34" s="9">
        <f>(-CB_SMI_Mixto!P11)/1000000</f>
        <v>-2.5790862420000003</v>
      </c>
      <c r="U34" s="9">
        <f>(-CB_SMI_Mixto!Q11)/1000000</f>
        <v>-2.619146475</v>
      </c>
    </row>
    <row r="35" spans="2:22" x14ac:dyDescent="0.3">
      <c r="B35" s="57"/>
      <c r="C35" s="45" t="s">
        <v>130</v>
      </c>
      <c r="D35" s="46"/>
      <c r="E35" s="46"/>
      <c r="F35" s="9">
        <f>(-CB_SMI_Mixto!B12)/1000000</f>
        <v>-11.00341808421053</v>
      </c>
      <c r="G35" s="9">
        <f>(-CB_SMI_Mixto!C12)/1000000</f>
        <v>-0.1586809894736842</v>
      </c>
      <c r="H35" s="9">
        <f>(-CB_SMI_Mixto!D12)/1000000</f>
        <v>-0.16112862105263162</v>
      </c>
      <c r="I35" s="9">
        <f>(-CB_SMI_Mixto!E12)/1000000</f>
        <v>-0.16360934736842109</v>
      </c>
      <c r="J35" s="9">
        <f>(-CB_SMI_Mixto!F12)/1000000</f>
        <v>-0.16614247368421051</v>
      </c>
      <c r="K35" s="9">
        <f>(-CB_SMI_Mixto!G12)/1000000</f>
        <v>-0.16872799999999999</v>
      </c>
      <c r="L35" s="9">
        <f>(-CB_SMI_Mixto!H12)/1000000</f>
        <v>-0.17133145263157901</v>
      </c>
      <c r="M35" s="9">
        <f>(-CB_SMI_Mixto!I12)/1000000</f>
        <v>-0.17400247368421051</v>
      </c>
      <c r="N35" s="9">
        <f>(-CB_SMI_Mixto!J12)/1000000</f>
        <v>-0.1766721157894737</v>
      </c>
      <c r="O35" s="9">
        <f>(-CB_SMI_Mixto!K12)/1000000</f>
        <v>-0.17940381052631579</v>
      </c>
      <c r="P35" s="9">
        <f>(-CB_SMI_Mixto!L12)/1000000</f>
        <v>-0.18217549473684211</v>
      </c>
      <c r="Q35" s="9">
        <f>(-CB_SMI_Mixto!M12)/1000000</f>
        <v>-0.18502026315789469</v>
      </c>
      <c r="R35" s="9">
        <f>(-CB_SMI_Mixto!N12)/1000000</f>
        <v>-0.18789536842105262</v>
      </c>
      <c r="S35" s="9">
        <f>(-CB_SMI_Mixto!O12)/1000000</f>
        <v>-0.19082011578947369</v>
      </c>
      <c r="T35" s="9">
        <f>(-CB_SMI_Mixto!P12)/1000000</f>
        <v>-0.19380002105263161</v>
      </c>
      <c r="U35" s="9">
        <f>(-CB_SMI_Mixto!Q12)/1000000</f>
        <v>-0.19681026315789468</v>
      </c>
    </row>
    <row r="36" spans="2:22" x14ac:dyDescent="0.3">
      <c r="B36" s="58"/>
      <c r="C36" s="59" t="s">
        <v>111</v>
      </c>
      <c r="D36" s="59"/>
      <c r="E36" s="59"/>
      <c r="F36" s="16">
        <f>SUM(F30:F35)</f>
        <v>-203.13261980837729</v>
      </c>
      <c r="G36" s="16">
        <f>SUM(G30:G35)</f>
        <v>-144.86228561770818</v>
      </c>
      <c r="H36" s="16">
        <f t="shared" ref="H36:U36" si="3">SUM(H30:H35)</f>
        <v>-144.90170236341407</v>
      </c>
      <c r="I36" s="16">
        <f t="shared" si="3"/>
        <v>-144.94501197394183</v>
      </c>
      <c r="J36" s="16">
        <f t="shared" si="3"/>
        <v>-144.98551932715159</v>
      </c>
      <c r="K36" s="16">
        <f t="shared" si="3"/>
        <v>-145.03354831052042</v>
      </c>
      <c r="L36" s="16">
        <f t="shared" si="3"/>
        <v>-145.08099899378064</v>
      </c>
      <c r="M36" s="16">
        <f t="shared" si="3"/>
        <v>-145.12625667435387</v>
      </c>
      <c r="N36" s="16">
        <f t="shared" si="3"/>
        <v>-145.16552291733601</v>
      </c>
      <c r="O36" s="16">
        <f t="shared" si="3"/>
        <v>-145.21274052718846</v>
      </c>
      <c r="P36" s="16">
        <f t="shared" si="3"/>
        <v>-145.25508766730738</v>
      </c>
      <c r="Q36" s="16">
        <f t="shared" si="3"/>
        <v>-145.30453024596446</v>
      </c>
      <c r="R36" s="16">
        <f t="shared" si="3"/>
        <v>-24.014151343727487</v>
      </c>
      <c r="S36" s="16">
        <f t="shared" si="3"/>
        <v>-24.385415957729737</v>
      </c>
      <c r="T36" s="16">
        <f t="shared" si="3"/>
        <v>-24.76340144229404</v>
      </c>
      <c r="U36" s="16">
        <f t="shared" si="3"/>
        <v>-25.146517101617526</v>
      </c>
    </row>
    <row r="37" spans="2:22" x14ac:dyDescent="0.3"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</row>
    <row r="38" spans="2:22" x14ac:dyDescent="0.3">
      <c r="B38" s="56" t="s">
        <v>107</v>
      </c>
      <c r="C38" s="45" t="s">
        <v>140</v>
      </c>
      <c r="D38" s="46"/>
      <c r="E38" s="46"/>
      <c r="F38" s="9">
        <v>0</v>
      </c>
      <c r="G38" s="9">
        <f>(-CB_SMI_Mixto!C13/1000000)*G$25</f>
        <v>0</v>
      </c>
      <c r="H38" s="9">
        <f>(-CB_SMI_Mixto!D13/1000000)*H$25</f>
        <v>0</v>
      </c>
      <c r="I38" s="9">
        <f>(-CB_SMI_Mixto!E13/1000000)*I$25</f>
        <v>0</v>
      </c>
      <c r="J38" s="9">
        <f>(-CB_SMI_Mixto!F13/1000000)*J$25</f>
        <v>0</v>
      </c>
      <c r="K38" s="9">
        <f>(-CB_SMI_Mixto!G13/1000000)*K$25</f>
        <v>0</v>
      </c>
      <c r="L38" s="9">
        <f>(-CB_SMI_Mixto!H13/1000000)*L$25</f>
        <v>0</v>
      </c>
      <c r="M38" s="9">
        <f>(-CB_SMI_Mixto!I13/1000000)*M$25</f>
        <v>0</v>
      </c>
      <c r="N38" s="9">
        <f>(-CB_SMI_Mixto!J13/1000000)*N$25</f>
        <v>0</v>
      </c>
      <c r="O38" s="9">
        <f>(-CB_SMI_Mixto!K13/1000000)*O$25</f>
        <v>0</v>
      </c>
      <c r="P38" s="9">
        <f>(-CB_SMI_Mixto!L13/1000000)*P$25</f>
        <v>0</v>
      </c>
      <c r="Q38" s="9">
        <f>(-CB_SMI_Mixto!M13/1000000)*Q$25</f>
        <v>0</v>
      </c>
      <c r="R38" s="9">
        <f>(-CB_SMI_Mixto!N13/1000000)*R$25</f>
        <v>0</v>
      </c>
      <c r="S38" s="9">
        <f>(-CB_SMI_Mixto!O13/1000000)*S$25</f>
        <v>0</v>
      </c>
      <c r="T38" s="9">
        <f>(-CB_SMI_Mixto!P13/1000000)*T$25</f>
        <v>0</v>
      </c>
      <c r="U38" s="9">
        <f>(-CB_SMI_Mixto!Q13/1000000)*U$25</f>
        <v>0</v>
      </c>
    </row>
    <row r="39" spans="2:22" x14ac:dyDescent="0.3">
      <c r="B39" s="57"/>
      <c r="C39" s="45" t="s">
        <v>141</v>
      </c>
      <c r="D39" s="46"/>
      <c r="E39" s="46"/>
      <c r="F39" s="9">
        <v>0</v>
      </c>
      <c r="G39" s="9">
        <f>(-CB_SMI_Mixto!C14/1000000)*G$25</f>
        <v>-0.10376634442497761</v>
      </c>
      <c r="H39" s="9">
        <f>(-CB_SMI_Mixto!D14/1000000)*H$25</f>
        <v>-0.20468274351118007</v>
      </c>
      <c r="I39" s="9">
        <f>(-CB_SMI_Mixto!E14/1000000)*I$25</f>
        <v>-0.30280846168591702</v>
      </c>
      <c r="J39" s="9">
        <f>(-CB_SMI_Mixto!F14/1000000)*J$25</f>
        <v>-0.3982015159881151</v>
      </c>
      <c r="K39" s="9">
        <f>(-CB_SMI_Mixto!G14/1000000)*K$25</f>
        <v>-0.49091702591953512</v>
      </c>
      <c r="L39" s="9">
        <f>(-CB_SMI_Mixto!H14/1000000)*L$25</f>
        <v>-0.58101517629510013</v>
      </c>
      <c r="M39" s="9">
        <f>(-CB_SMI_Mixto!I14/1000000)*M$25</f>
        <v>-0.66854944071086975</v>
      </c>
      <c r="N39" s="9">
        <f>(-CB_SMI_Mixto!J14/1000000)*N$25</f>
        <v>-0.7535798833277696</v>
      </c>
      <c r="O39" s="9">
        <f>(-CB_SMI_Mixto!K14/1000000)*O$25</f>
        <v>-0.8361449055604252</v>
      </c>
      <c r="P39" s="9">
        <f>(-CB_SMI_Mixto!L14/1000000)*P$25</f>
        <v>-0.91628944665747691</v>
      </c>
      <c r="Q39" s="9">
        <f>(-CB_SMI_Mixto!M14/1000000)*Q$25</f>
        <v>-0.99408942628418906</v>
      </c>
      <c r="R39" s="9">
        <f>(-CB_SMI_Mixto!N14/1000000)*R$25</f>
        <v>-0.99474296197464995</v>
      </c>
      <c r="S39" s="9">
        <f>(-CB_SMI_Mixto!O14/1000000)*S$25</f>
        <v>-0.99541330887258195</v>
      </c>
      <c r="T39" s="9">
        <f>(-CB_SMI_Mixto!P14/1000000)*T$25</f>
        <v>-0.99609626417611774</v>
      </c>
      <c r="U39" s="9">
        <f>(-CB_SMI_Mixto!Q14/1000000)*U$25</f>
        <v>-0.99678902601734498</v>
      </c>
    </row>
    <row r="40" spans="2:22" x14ac:dyDescent="0.3">
      <c r="B40" s="57"/>
      <c r="C40" s="45" t="s">
        <v>137</v>
      </c>
      <c r="D40" s="46"/>
      <c r="E40" s="46"/>
      <c r="F40" s="9">
        <v>0</v>
      </c>
      <c r="G40" s="9">
        <f>(-CB_SMI_Mixto!C15/1000000)*G$25</f>
        <v>-6.7860274055430905</v>
      </c>
      <c r="H40" s="9">
        <f>(-CB_SMI_Mixto!D15/1000000)*H$25</f>
        <v>-13.572054811086181</v>
      </c>
      <c r="I40" s="9">
        <f>(-CB_SMI_Mixto!E15/1000000)*I$25</f>
        <v>-20.358082216629278</v>
      </c>
      <c r="J40" s="9">
        <f>(-CB_SMI_Mixto!F15/1000000)*J$25</f>
        <v>-27.144109622172369</v>
      </c>
      <c r="K40" s="9">
        <f>(-CB_SMI_Mixto!G15/1000000)*K$25</f>
        <v>-33.930137027715467</v>
      </c>
      <c r="L40" s="9">
        <f>(-CB_SMI_Mixto!H15/1000000)*L$25</f>
        <v>-40.716164433258562</v>
      </c>
      <c r="M40" s="9">
        <f>(-CB_SMI_Mixto!I15/1000000)*M$25</f>
        <v>-47.502191838801657</v>
      </c>
      <c r="N40" s="9">
        <f>(-CB_SMI_Mixto!J15/1000000)*N$25</f>
        <v>-54.288219244344752</v>
      </c>
      <c r="O40" s="9">
        <f>(-CB_SMI_Mixto!K15/1000000)*O$25</f>
        <v>-61.074246649887847</v>
      </c>
      <c r="P40" s="9">
        <f>(-CB_SMI_Mixto!L15/1000000)*P$25</f>
        <v>-67.860274055430935</v>
      </c>
      <c r="Q40" s="9">
        <f>(-CB_SMI_Mixto!M15/1000000)*Q$25</f>
        <v>-74.646301460973959</v>
      </c>
      <c r="R40" s="9">
        <f>(-CB_SMI_Mixto!N15/1000000)*R$25</f>
        <v>-75.73438164776519</v>
      </c>
      <c r="S40" s="9">
        <f>(-CB_SMI_Mixto!O15/1000000)*S$25</f>
        <v>-76.839398705803887</v>
      </c>
      <c r="T40" s="9">
        <f>(-CB_SMI_Mixto!P15/1000000)*T$25</f>
        <v>-77.961672048032042</v>
      </c>
      <c r="U40" s="9">
        <f>(-CB_SMI_Mixto!Q15/1000000)*U$25</f>
        <v>-79.101377351567734</v>
      </c>
    </row>
    <row r="41" spans="2:22" x14ac:dyDescent="0.3">
      <c r="B41" s="57"/>
      <c r="C41" s="45" t="s">
        <v>131</v>
      </c>
      <c r="D41" s="46"/>
      <c r="E41" s="46"/>
      <c r="F41" s="9">
        <v>0</v>
      </c>
      <c r="G41" s="9">
        <f>(-CB_SMI_Mixto!C16/1000000)*G$25</f>
        <v>-0.96312823631339728</v>
      </c>
      <c r="H41" s="9">
        <f>(-CB_SMI_Mixto!D16/1000000)*H$25</f>
        <v>-1.9262564726267941</v>
      </c>
      <c r="I41" s="9">
        <f>(-CB_SMI_Mixto!E16/1000000)*I$25</f>
        <v>-2.8893847089401916</v>
      </c>
      <c r="J41" s="9">
        <f>(-CB_SMI_Mixto!F16/1000000)*J$25</f>
        <v>-3.8525129452535896</v>
      </c>
      <c r="K41" s="9">
        <f>(-CB_SMI_Mixto!G16/1000000)*K$25</f>
        <v>-4.8156411815669866</v>
      </c>
      <c r="L41" s="9">
        <f>(-CB_SMI_Mixto!H16/1000000)*L$25</f>
        <v>-5.7787694178803841</v>
      </c>
      <c r="M41" s="9">
        <f>(-CB_SMI_Mixto!I16/1000000)*M$25</f>
        <v>-6.7418976541937816</v>
      </c>
      <c r="N41" s="9">
        <f>(-CB_SMI_Mixto!J16/1000000)*N$25</f>
        <v>-7.7050258905071791</v>
      </c>
      <c r="O41" s="9">
        <f>(-CB_SMI_Mixto!K16/1000000)*O$25</f>
        <v>-8.6681541268205802</v>
      </c>
      <c r="P41" s="9">
        <f>(-CB_SMI_Mixto!L16/1000000)*P$25</f>
        <v>-9.6312823631339715</v>
      </c>
      <c r="Q41" s="9">
        <f>(-CB_SMI_Mixto!M16/1000000)*Q$25</f>
        <v>-10.594410599447365</v>
      </c>
      <c r="R41" s="9">
        <f>(-CB_SMI_Mixto!N16/1000000)*R$25</f>
        <v>-10.74883979471052</v>
      </c>
      <c r="S41" s="9">
        <f>(-CB_SMI_Mixto!O16/1000000)*S$25</f>
        <v>-10.905672808578949</v>
      </c>
      <c r="T41" s="9">
        <f>(-CB_SMI_Mixto!P16/1000000)*T$25</f>
        <v>-11.064954974736839</v>
      </c>
      <c r="U41" s="9">
        <f>(-CB_SMI_Mixto!Q16/1000000)*U$25</f>
        <v>-11.22671122671052</v>
      </c>
    </row>
    <row r="42" spans="2:22" x14ac:dyDescent="0.3">
      <c r="B42" s="57"/>
      <c r="C42" s="45" t="s">
        <v>59</v>
      </c>
      <c r="D42" s="46"/>
      <c r="E42" s="46"/>
      <c r="F42" s="9">
        <v>0</v>
      </c>
      <c r="G42" s="9">
        <f>(-CB_SMI_Mixto!C17/1000000)*G$25</f>
        <v>-1.0554670685454546</v>
      </c>
      <c r="H42" s="9">
        <f>(-CB_SMI_Mixto!D17/1000000)*H$25</f>
        <v>-2.1109341370909096</v>
      </c>
      <c r="I42" s="9">
        <f>(-CB_SMI_Mixto!E17/1000000)*I$25</f>
        <v>-3.166401205636364</v>
      </c>
      <c r="J42" s="9">
        <f>(-CB_SMI_Mixto!F17/1000000)*J$25</f>
        <v>-4.2218682741818192</v>
      </c>
      <c r="K42" s="9">
        <f>(-CB_SMI_Mixto!G17/1000000)*K$25</f>
        <v>-5.2773353427272749</v>
      </c>
      <c r="L42" s="9">
        <f>(-CB_SMI_Mixto!H17/1000000)*L$25</f>
        <v>-6.3328024112727306</v>
      </c>
      <c r="M42" s="9">
        <f>(-CB_SMI_Mixto!I17/1000000)*M$25</f>
        <v>-7.3882694798181854</v>
      </c>
      <c r="N42" s="9">
        <f>(-CB_SMI_Mixto!J17/1000000)*N$25</f>
        <v>-8.4437365483636402</v>
      </c>
      <c r="O42" s="9">
        <f>(-CB_SMI_Mixto!K17/1000000)*O$25</f>
        <v>-9.4992036169090959</v>
      </c>
      <c r="P42" s="9">
        <f>(-CB_SMI_Mixto!L17/1000000)*P$25</f>
        <v>-10.55467068545455</v>
      </c>
      <c r="Q42" s="9">
        <f>(-CB_SMI_Mixto!M17/1000000)*Q$25</f>
        <v>-11.610137753999993</v>
      </c>
      <c r="R42" s="9">
        <f>(-CB_SMI_Mixto!N17/1000000)*R$25</f>
        <v>-11.779372674000001</v>
      </c>
      <c r="S42" s="9">
        <f>(-CB_SMI_Mixto!O17/1000000)*S$25</f>
        <v>-11.951241876000001</v>
      </c>
      <c r="T42" s="9">
        <f>(-CB_SMI_Mixto!P17/1000000)*T$25</f>
        <v>-12.12579504</v>
      </c>
      <c r="U42" s="9">
        <f>(-CB_SMI_Mixto!Q17/1000000)*U$25</f>
        <v>-12.303059490000001</v>
      </c>
    </row>
    <row r="43" spans="2:22" x14ac:dyDescent="0.3">
      <c r="B43" s="58"/>
      <c r="C43" s="59" t="s">
        <v>119</v>
      </c>
      <c r="D43" s="59"/>
      <c r="E43" s="59"/>
      <c r="F43" s="16">
        <f>SUM(F38:F42)</f>
        <v>0</v>
      </c>
      <c r="G43" s="16">
        <f>SUM(G38:G42)</f>
        <v>-8.9083890548269196</v>
      </c>
      <c r="H43" s="16">
        <f t="shared" ref="H43:T43" si="4">SUM(H38:H42)</f>
        <v>-17.813928164315065</v>
      </c>
      <c r="I43" s="16">
        <f t="shared" si="4"/>
        <v>-26.716676592891751</v>
      </c>
      <c r="J43" s="16">
        <f t="shared" si="4"/>
        <v>-35.616692357595895</v>
      </c>
      <c r="K43" s="16">
        <f t="shared" si="4"/>
        <v>-44.514030577929269</v>
      </c>
      <c r="L43" s="16">
        <f t="shared" si="4"/>
        <v>-53.40875143870678</v>
      </c>
      <c r="M43" s="16">
        <f t="shared" si="4"/>
        <v>-62.300908413524489</v>
      </c>
      <c r="N43" s="16">
        <f t="shared" si="4"/>
        <v>-71.190561566543337</v>
      </c>
      <c r="O43" s="16">
        <f t="shared" si="4"/>
        <v>-80.077749299177952</v>
      </c>
      <c r="P43" s="16">
        <f t="shared" si="4"/>
        <v>-88.962516550676938</v>
      </c>
      <c r="Q43" s="16">
        <f t="shared" si="4"/>
        <v>-97.844939240705514</v>
      </c>
      <c r="R43" s="16">
        <f t="shared" si="4"/>
        <v>-99.257337078450362</v>
      </c>
      <c r="S43" s="16">
        <f t="shared" si="4"/>
        <v>-100.69172669925543</v>
      </c>
      <c r="T43" s="16">
        <f t="shared" si="4"/>
        <v>-102.14851832694499</v>
      </c>
      <c r="U43" s="16">
        <f>SUM(U38:U42)</f>
        <v>-103.62793709429559</v>
      </c>
    </row>
    <row r="44" spans="2:22" x14ac:dyDescent="0.3"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</row>
    <row r="45" spans="2:22" x14ac:dyDescent="0.3">
      <c r="B45" s="80" t="s">
        <v>154</v>
      </c>
      <c r="C45" s="59"/>
      <c r="D45" s="59"/>
      <c r="E45" s="59"/>
      <c r="F45" s="16">
        <f>F36+F43</f>
        <v>-203.13261980837729</v>
      </c>
      <c r="G45" s="16">
        <f t="shared" ref="G45:U45" si="5">G36+G43</f>
        <v>-153.77067467253511</v>
      </c>
      <c r="H45" s="16">
        <f t="shared" si="5"/>
        <v>-162.71563052772913</v>
      </c>
      <c r="I45" s="16">
        <f t="shared" si="5"/>
        <v>-171.66168856683359</v>
      </c>
      <c r="J45" s="16">
        <f t="shared" si="5"/>
        <v>-180.60221168474749</v>
      </c>
      <c r="K45" s="16">
        <f t="shared" si="5"/>
        <v>-189.54757888844969</v>
      </c>
      <c r="L45" s="16">
        <f t="shared" si="5"/>
        <v>-198.48975043248743</v>
      </c>
      <c r="M45" s="16">
        <f t="shared" si="5"/>
        <v>-207.42716508787836</v>
      </c>
      <c r="N45" s="16">
        <f t="shared" si="5"/>
        <v>-216.35608448387933</v>
      </c>
      <c r="O45" s="16">
        <f t="shared" si="5"/>
        <v>-225.29048982636641</v>
      </c>
      <c r="P45" s="16">
        <f t="shared" si="5"/>
        <v>-234.21760421798433</v>
      </c>
      <c r="Q45" s="16">
        <f t="shared" si="5"/>
        <v>-243.14946948666997</v>
      </c>
      <c r="R45" s="16">
        <f t="shared" si="5"/>
        <v>-123.27148842217785</v>
      </c>
      <c r="S45" s="16">
        <f t="shared" si="5"/>
        <v>-125.07714265698516</v>
      </c>
      <c r="T45" s="16">
        <f t="shared" si="5"/>
        <v>-126.91191976923903</v>
      </c>
      <c r="U45" s="16">
        <f t="shared" si="5"/>
        <v>-128.77445419591311</v>
      </c>
    </row>
    <row r="46" spans="2:22" x14ac:dyDescent="0.3">
      <c r="B46" s="10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2:22" x14ac:dyDescent="0.3">
      <c r="B47" s="60" t="s">
        <v>108</v>
      </c>
      <c r="C47" s="45" t="s">
        <v>145</v>
      </c>
      <c r="D47" s="46"/>
      <c r="E47" s="46"/>
      <c r="F47" s="9">
        <v>0</v>
      </c>
      <c r="G47" s="9">
        <f>(CB_SMI_Mixto!C18/1000000)*G$25</f>
        <v>3.1246607994241669</v>
      </c>
      <c r="H47" s="9">
        <f>(CB_SMI_Mixto!D18/1000000)*H$25</f>
        <v>6.2517979135650075</v>
      </c>
      <c r="I47" s="9">
        <f>(CB_SMI_Mixto!E18/1000000)*I$25</f>
        <v>9.3813810831867617</v>
      </c>
      <c r="J47" s="9">
        <f>(CB_SMI_Mixto!F18/1000000)*J$25</f>
        <v>12.513350866513839</v>
      </c>
      <c r="K47" s="9">
        <f>(CB_SMI_Mixto!G18/1000000)*K$25</f>
        <v>15.647731054987627</v>
      </c>
      <c r="L47" s="9">
        <f>(CB_SMI_Mixto!H18/1000000)*L$25</f>
        <v>18.784494248631091</v>
      </c>
      <c r="M47" s="9">
        <f>(CB_SMI_Mixto!I18/1000000)*M$25</f>
        <v>21.92341504696088</v>
      </c>
      <c r="N47" s="9">
        <f>(CB_SMI_Mixto!J18/1000000)*N$25</f>
        <v>25.064861117672308</v>
      </c>
      <c r="O47" s="9">
        <f>(CB_SMI_Mixto!K18/1000000)*O$25</f>
        <v>28.208644328604503</v>
      </c>
      <c r="P47" s="9">
        <f>(CB_SMI_Mixto!L18/1000000)*P$25</f>
        <v>31.354531773810276</v>
      </c>
      <c r="Q47" s="9">
        <f>(CB_SMI_Mixto!M18/1000000)*Q$25</f>
        <v>34.502614504199975</v>
      </c>
      <c r="R47" s="9">
        <f>(CB_SMI_Mixto!N18/1000000)*R$25</f>
        <v>35.018359464599996</v>
      </c>
      <c r="S47" s="9">
        <f>(CB_SMI_Mixto!O18/1000000)*S$25</f>
        <v>35.542353721800005</v>
      </c>
      <c r="T47" s="9">
        <f>(CB_SMI_Mixto!P18/1000000)*T$25</f>
        <v>36.074364208200002</v>
      </c>
      <c r="U47" s="9">
        <f>(CB_SMI_Mixto!Q18/1000000)*U$25</f>
        <v>36.614733096600006</v>
      </c>
      <c r="V47" s="32">
        <f>U47/$U$56</f>
        <v>0.11041422727427219</v>
      </c>
    </row>
    <row r="48" spans="2:22" x14ac:dyDescent="0.3">
      <c r="B48" s="61"/>
      <c r="C48" s="45" t="s">
        <v>146</v>
      </c>
      <c r="D48" s="46"/>
      <c r="E48" s="46"/>
      <c r="F48" s="9">
        <v>0</v>
      </c>
      <c r="G48" s="9">
        <f>(CB_SMI_Mixto!C19/1000000)*G$25</f>
        <v>0.30286811601467611</v>
      </c>
      <c r="H48" s="9">
        <f>(CB_SMI_Mixto!D19/1000000)*H$25</f>
        <v>0.60594050602499538</v>
      </c>
      <c r="I48" s="9">
        <f>(CB_SMI_Mixto!E19/1000000)*I$25</f>
        <v>0.90921475797111184</v>
      </c>
      <c r="J48" s="9">
        <f>(CB_SMI_Mixto!F19/1000000)*J$25</f>
        <v>1.2126853946508569</v>
      </c>
      <c r="K48" s="9">
        <f>(CB_SMI_Mixto!G19/1000000)*K$25</f>
        <v>1.5163508235444325</v>
      </c>
      <c r="L48" s="9">
        <f>(CB_SMI_Mixto!H19/1000000)*L$25</f>
        <v>1.8202077087057784</v>
      </c>
      <c r="M48" s="9">
        <f>(CB_SMI_Mixto!I19/1000000)*M$25</f>
        <v>2.124244991973768</v>
      </c>
      <c r="N48" s="9">
        <f>(CB_SMI_Mixto!J19/1000000)*N$25</f>
        <v>2.4284787125357155</v>
      </c>
      <c r="O48" s="9">
        <f>(CB_SMI_Mixto!K19/1000000)*O$25</f>
        <v>2.7328970954605496</v>
      </c>
      <c r="P48" s="9">
        <f>(CB_SMI_Mixto!L19/1000000)*P$25</f>
        <v>3.0374887268152269</v>
      </c>
      <c r="Q48" s="9">
        <f>(CB_SMI_Mixto!M19/1000000)*Q$25</f>
        <v>3.3422545221479982</v>
      </c>
      <c r="R48" s="9">
        <f>(CB_SMI_Mixto!N19/1000000)*R$25</f>
        <v>3.391998709194</v>
      </c>
      <c r="S48" s="9">
        <f>(CB_SMI_Mixto!O19/1000000)*S$25</f>
        <v>3.4448007489479999</v>
      </c>
      <c r="T48" s="9">
        <f>(CB_SMI_Mixto!P19/1000000)*T$25</f>
        <v>3.4984521999</v>
      </c>
      <c r="U48" s="9">
        <f>(CB_SMI_Mixto!Q19/1000000)*U$25</f>
        <v>3.5529678607499999</v>
      </c>
      <c r="V48" s="32">
        <f t="shared" ref="V48:V55" si="6">U48/$U$56</f>
        <v>1.071421713876875E-2</v>
      </c>
    </row>
    <row r="49" spans="2:24" x14ac:dyDescent="0.3">
      <c r="B49" s="61"/>
      <c r="C49" s="45" t="s">
        <v>147</v>
      </c>
      <c r="D49" s="46"/>
      <c r="E49" s="46"/>
      <c r="F49" s="9">
        <v>0</v>
      </c>
      <c r="G49" s="9">
        <f>(CB_SMI_Mixto!C20/1000000)*G$25</f>
        <v>11.860279319389905</v>
      </c>
      <c r="H49" s="9">
        <f>(CB_SMI_Mixto!D20/1000000)*H$25</f>
        <v>24.089184106876083</v>
      </c>
      <c r="I49" s="9">
        <f>(CB_SMI_Mixto!E20/1000000)*I$25</f>
        <v>36.694812752357294</v>
      </c>
      <c r="J49" s="9">
        <f>(CB_SMI_Mixto!F20/1000000)*J$25</f>
        <v>49.685359329396967</v>
      </c>
      <c r="K49" s="9">
        <f>(CB_SMI_Mixto!G20/1000000)*K$25</f>
        <v>63.069119291073498</v>
      </c>
      <c r="L49" s="9">
        <f>(CB_SMI_Mixto!H20/1000000)*L$25</f>
        <v>76.85471623421877</v>
      </c>
      <c r="M49" s="9">
        <f>(CB_SMI_Mixto!I20/1000000)*M$25</f>
        <v>91.050663743425574</v>
      </c>
      <c r="N49" s="9">
        <f>(CB_SMI_Mixto!J20/1000000)*N$25</f>
        <v>105.66612001970492</v>
      </c>
      <c r="O49" s="9">
        <f>(CB_SMI_Mixto!K20/1000000)*O$25</f>
        <v>120.70998974349482</v>
      </c>
      <c r="P49" s="9">
        <f>(CB_SMI_Mixto!L20/1000000)*P$25</f>
        <v>136.19150520955031</v>
      </c>
      <c r="Q49" s="9">
        <f>(CB_SMI_Mixto!M20/1000000)*Q$25</f>
        <v>152.11970114038513</v>
      </c>
      <c r="R49" s="9">
        <f>(CB_SMI_Mixto!N20/1000000)*R$25</f>
        <v>156.71371611482479</v>
      </c>
      <c r="S49" s="9">
        <f>(CB_SMI_Mixto!O20/1000000)*S$25</f>
        <v>161.4464703414925</v>
      </c>
      <c r="T49" s="9">
        <f>(CB_SMI_Mixto!P20/1000000)*T$25</f>
        <v>166.32215374580559</v>
      </c>
      <c r="U49" s="9">
        <f>(CB_SMI_Mixto!Q20/1000000)*U$25</f>
        <v>171.34508278892898</v>
      </c>
      <c r="V49" s="32">
        <f t="shared" si="6"/>
        <v>0.51670279456830392</v>
      </c>
    </row>
    <row r="50" spans="2:24" x14ac:dyDescent="0.3">
      <c r="B50" s="61"/>
      <c r="C50" s="45" t="s">
        <v>148</v>
      </c>
      <c r="D50" s="46"/>
      <c r="E50" s="46"/>
      <c r="F50" s="9">
        <v>0</v>
      </c>
      <c r="G50" s="9">
        <f>(CB_SMI_Mixto!C21/1000000)*G$25</f>
        <v>0.22473311734109599</v>
      </c>
      <c r="H50" s="9">
        <f>(CB_SMI_Mixto!D21/1000000)*H$25</f>
        <v>0.44307036624639939</v>
      </c>
      <c r="I50" s="9">
        <f>(CB_SMI_Mixto!E21/1000000)*I$25</f>
        <v>0.6551394378724813</v>
      </c>
      <c r="J50" s="9">
        <f>(CB_SMI_Mixto!F21/1000000)*J$25</f>
        <v>0.86106504091945657</v>
      </c>
      <c r="K50" s="9">
        <f>(CB_SMI_Mixto!G21/1000000)*K$25</f>
        <v>1.0609691186949028</v>
      </c>
      <c r="L50" s="9">
        <f>(CB_SMI_Mixto!H21/1000000)*L$25</f>
        <v>1.2549746536324997</v>
      </c>
      <c r="M50" s="9">
        <f>(CB_SMI_Mixto!I21/1000000)*M$25</f>
        <v>1.4431982770707308</v>
      </c>
      <c r="N50" s="9">
        <f>(CB_SMI_Mixto!J21/1000000)*N$25</f>
        <v>1.6257624962755832</v>
      </c>
      <c r="O50" s="9">
        <f>(CB_SMI_Mixto!K21/1000000)*O$25</f>
        <v>1.8027811465716079</v>
      </c>
      <c r="P50" s="9">
        <f>(CB_SMI_Mixto!L21/1000000)*P$25</f>
        <v>1.974368751603675</v>
      </c>
      <c r="Q50" s="9">
        <f>(CB_SMI_Mixto!M21/1000000)*Q$25</f>
        <v>2.1406327572880195</v>
      </c>
      <c r="R50" s="9">
        <f>(CB_SMI_Mixto!N21/1000000)*R$25</f>
        <v>2.1406327572880208</v>
      </c>
      <c r="S50" s="9">
        <f>(CB_SMI_Mixto!O21/1000000)*S$25</f>
        <v>2.1406327572880208</v>
      </c>
      <c r="T50" s="9">
        <f>(CB_SMI_Mixto!P21/1000000)*T$25</f>
        <v>2.1406327572880208</v>
      </c>
      <c r="U50" s="9">
        <f>(CB_SMI_Mixto!Q21/1000000)*U$25</f>
        <v>2.1406327572880208</v>
      </c>
      <c r="V50" s="32">
        <f t="shared" si="6"/>
        <v>6.4552242167210888E-3</v>
      </c>
      <c r="W50" s="34">
        <f>1700*0.4</f>
        <v>680</v>
      </c>
      <c r="X50" s="34">
        <f>1700*0.23</f>
        <v>391</v>
      </c>
    </row>
    <row r="51" spans="2:24" x14ac:dyDescent="0.3">
      <c r="B51" s="61"/>
      <c r="C51" s="45" t="s">
        <v>149</v>
      </c>
      <c r="D51" s="46"/>
      <c r="E51" s="46"/>
      <c r="F51" s="9">
        <v>0</v>
      </c>
      <c r="G51" s="9">
        <f>(CB_SMI_Mixto!C22/1000000)*G$25</f>
        <v>3.0054956870828304</v>
      </c>
      <c r="H51" s="9">
        <f>(CB_SMI_Mixto!D22/1000000)*H$25</f>
        <v>6.1044042040558431</v>
      </c>
      <c r="I51" s="9">
        <f>(CB_SMI_Mixto!E22/1000000)*I$25</f>
        <v>9.2987777518206887</v>
      </c>
      <c r="J51" s="9">
        <f>(CB_SMI_Mixto!F22/1000000)*J$25</f>
        <v>12.590692778333716</v>
      </c>
      <c r="K51" s="9">
        <f>(CB_SMI_Mixto!G22/1000000)*K$25</f>
        <v>15.982251421982921</v>
      </c>
      <c r="L51" s="9">
        <f>(CB_SMI_Mixto!H22/1000000)*L$25</f>
        <v>19.475638975575247</v>
      </c>
      <c r="M51" s="9">
        <f>(CB_SMI_Mixto!I22/1000000)*M$25</f>
        <v>23.07301285388035</v>
      </c>
      <c r="N51" s="9">
        <f>(CB_SMI_Mixto!J22/1000000)*N$25</f>
        <v>26.776693822952556</v>
      </c>
      <c r="O51" s="9">
        <f>(CB_SMI_Mixto!K22/1000000)*O$25</f>
        <v>30.588938404576162</v>
      </c>
      <c r="P51" s="9">
        <f>(CB_SMI_Mixto!L22/1000000)*P$25</f>
        <v>34.512086140790636</v>
      </c>
      <c r="Q51" s="9">
        <f>(CB_SMI_Mixto!M22/1000000)*Q$25</f>
        <v>38.548426507148619</v>
      </c>
      <c r="R51" s="9">
        <f>(CB_SMI_Mixto!N22/1000000)*R$25</f>
        <v>39.712588987664546</v>
      </c>
      <c r="S51" s="9">
        <f>(CB_SMI_Mixto!O22/1000000)*S$25</f>
        <v>40.911909175091999</v>
      </c>
      <c r="T51" s="9">
        <f>(CB_SMI_Mixto!P22/1000000)*T$25</f>
        <v>42.147448832179769</v>
      </c>
      <c r="U51" s="9">
        <f>(CB_SMI_Mixto!Q22/1000000)*U$25</f>
        <v>43.420301786911608</v>
      </c>
      <c r="V51" s="32">
        <f t="shared" si="6"/>
        <v>0.13093688426374819</v>
      </c>
      <c r="W51" s="35">
        <f>+W50*0.06</f>
        <v>40.799999999999997</v>
      </c>
      <c r="X51" s="35">
        <f>+X50*0.06</f>
        <v>23.46</v>
      </c>
    </row>
    <row r="52" spans="2:24" x14ac:dyDescent="0.3">
      <c r="B52" s="61"/>
      <c r="C52" s="45" t="s">
        <v>150</v>
      </c>
      <c r="D52" s="46"/>
      <c r="E52" s="46"/>
      <c r="F52" s="9">
        <v>0</v>
      </c>
      <c r="G52" s="9">
        <f>(CB_SMI_Mixto!C23/1000000)*G$25</f>
        <v>1.2257567425527827</v>
      </c>
      <c r="H52" s="9">
        <f>(CB_SMI_Mixto!D23/1000000)*H$25</f>
        <v>2.4896108301029112</v>
      </c>
      <c r="I52" s="9">
        <f>(CB_SMI_Mixto!E23/1000000)*I$25</f>
        <v>3.7923992291125463</v>
      </c>
      <c r="J52" s="9">
        <f>(CB_SMI_Mixto!F23/1000000)*J$25</f>
        <v>5.1349687949253893</v>
      </c>
      <c r="K52" s="9">
        <f>(CB_SMI_Mixto!G23/1000000)*K$25</f>
        <v>6.5181768604312929</v>
      </c>
      <c r="L52" s="9">
        <f>(CB_SMI_Mixto!H23/1000000)*L$25</f>
        <v>7.9429146720905619</v>
      </c>
      <c r="M52" s="9">
        <f>(CB_SMI_Mixto!I23/1000000)*M$25</f>
        <v>9.4100621066276133</v>
      </c>
      <c r="N52" s="9">
        <f>(CB_SMI_Mixto!J23/1000000)*N$25</f>
        <v>10.920565661703774</v>
      </c>
      <c r="O52" s="9">
        <f>(CB_SMI_Mixto!K23/1000000)*O$25</f>
        <v>12.47534563369601</v>
      </c>
      <c r="P52" s="9">
        <f>(CB_SMI_Mixto!L23/1000000)*P$25</f>
        <v>14.075356177834601</v>
      </c>
      <c r="Q52" s="9">
        <f>(CB_SMI_Mixto!M23/1000000)*Q$25</f>
        <v>15.721531030310741</v>
      </c>
      <c r="R52" s="9">
        <f>(CB_SMI_Mixto!N23/1000000)*R$25</f>
        <v>16.196321267426139</v>
      </c>
      <c r="S52" s="9">
        <f>(CB_SMI_Mixto!O23/1000000)*S$25</f>
        <v>16.68545016970241</v>
      </c>
      <c r="T52" s="9">
        <f>(CB_SMI_Mixto!P23/1000000)*T$25</f>
        <v>17.18935076482742</v>
      </c>
      <c r="U52" s="9">
        <f>(CB_SMI_Mixto!Q23/1000000)*U$25</f>
        <v>17.708469157925212</v>
      </c>
      <c r="V52" s="32">
        <f t="shared" si="6"/>
        <v>5.34010976708214E-2</v>
      </c>
      <c r="W52" s="35">
        <f>+W51/7</f>
        <v>5.8285714285714283</v>
      </c>
      <c r="X52" s="35">
        <f>+X51/7</f>
        <v>3.3514285714285714</v>
      </c>
    </row>
    <row r="53" spans="2:24" x14ac:dyDescent="0.3">
      <c r="B53" s="61"/>
      <c r="C53" s="45" t="s">
        <v>151</v>
      </c>
      <c r="D53" s="46"/>
      <c r="E53" s="46"/>
      <c r="F53" s="9">
        <v>0</v>
      </c>
      <c r="G53" s="9">
        <f>(CB_SMI_Mixto!C24/1000000)*G$25</f>
        <v>1.7181679108558241</v>
      </c>
      <c r="H53" s="9">
        <f>(CB_SMI_Mixto!D24/1000000)*H$25</f>
        <v>3.64396551710835</v>
      </c>
      <c r="I53" s="9">
        <f>(CB_SMI_Mixto!E24/1000000)*I$25</f>
        <v>5.7500415499859567</v>
      </c>
      <c r="J53" s="9">
        <f>(CB_SMI_Mixto!F24/1000000)*J$25</f>
        <v>8.0129114192220428</v>
      </c>
      <c r="K53" s="9">
        <f>(CB_SMI_Mixto!G24/1000000)*K$25</f>
        <v>10.410295028632445</v>
      </c>
      <c r="L53" s="9">
        <f>(CB_SMI_Mixto!H24/1000000)*L$25</f>
        <v>12.909780590406401</v>
      </c>
      <c r="M53" s="9">
        <f>(CB_SMI_Mixto!I24/1000000)*M$25</f>
        <v>15.505866552787264</v>
      </c>
      <c r="N53" s="9">
        <f>(CB_SMI_Mixto!J24/1000000)*N$25</f>
        <v>18.176191143924328</v>
      </c>
      <c r="O53" s="9">
        <f>(CB_SMI_Mixto!K24/1000000)*O$25</f>
        <v>20.892739888113905</v>
      </c>
      <c r="P53" s="9">
        <f>(CB_SMI_Mixto!L24/1000000)*P$25</f>
        <v>23.65693828706576</v>
      </c>
      <c r="Q53" s="9">
        <f>(CB_SMI_Mixto!M24/1000000)*Q$25</f>
        <v>26.438330813938645</v>
      </c>
      <c r="R53" s="9">
        <f>(CB_SMI_Mixto!N24/1000000)*R$25</f>
        <v>27.203655796077229</v>
      </c>
      <c r="S53" s="9">
        <f>(CB_SMI_Mixto!O24/1000000)*S$25</f>
        <v>27.905835559449152</v>
      </c>
      <c r="T53" s="9">
        <f>(CB_SMI_Mixto!P24/1000000)*T$25</f>
        <v>28.57086107602461</v>
      </c>
      <c r="U53" s="9">
        <f>(CB_SMI_Mixto!Q24/1000000)*U$25</f>
        <v>29.204692362853109</v>
      </c>
      <c r="V53" s="32">
        <f t="shared" si="6"/>
        <v>8.8068743571606101E-2</v>
      </c>
      <c r="W53" s="35">
        <f>+W52/12</f>
        <v>0.48571428571428571</v>
      </c>
      <c r="X53" s="35">
        <f>+X52/12</f>
        <v>0.2792857142857143</v>
      </c>
    </row>
    <row r="54" spans="2:24" x14ac:dyDescent="0.3">
      <c r="B54" s="61"/>
      <c r="C54" s="45" t="s">
        <v>152</v>
      </c>
      <c r="D54" s="46"/>
      <c r="E54" s="46"/>
      <c r="F54" s="9">
        <v>0</v>
      </c>
      <c r="G54" s="9">
        <f>(CB_SMI_Mixto!C25/1000000)*G$25</f>
        <v>1.0275714625752388</v>
      </c>
      <c r="H54" s="9">
        <f>(CB_SMI_Mixto!D25/1000000)*H$25</f>
        <v>2.0558359863126463</v>
      </c>
      <c r="I54" s="9">
        <f>(CB_SMI_Mixto!E25/1000000)*I$25</f>
        <v>3.0847853875714466</v>
      </c>
      <c r="J54" s="9">
        <f>(CB_SMI_Mixto!F25/1000000)*J$25</f>
        <v>4.1144010832907485</v>
      </c>
      <c r="K54" s="9">
        <f>(CB_SMI_Mixto!G25/1000000)*K$25</f>
        <v>5.144677670366649</v>
      </c>
      <c r="L54" s="9">
        <f>(CB_SMI_Mixto!H25/1000000)*L$25</f>
        <v>6.175603830595648</v>
      </c>
      <c r="M54" s="9">
        <f>(CB_SMI_Mixto!I25/1000000)*M$25</f>
        <v>7.2071420458297357</v>
      </c>
      <c r="N54" s="9">
        <f>(CB_SMI_Mixto!J25/1000000)*N$25</f>
        <v>8.2393467338510984</v>
      </c>
      <c r="O54" s="9">
        <f>(CB_SMI_Mixto!K25/1000000)*O$25</f>
        <v>9.2721779446534374</v>
      </c>
      <c r="P54" s="9">
        <f>(CB_SMI_Mixto!L25/1000000)*P$25</f>
        <v>10.305596953025178</v>
      </c>
      <c r="Q54" s="9">
        <f>(CB_SMI_Mixto!M25/1000000)*Q$25</f>
        <v>11.339606865239993</v>
      </c>
      <c r="R54" s="9">
        <f>(CB_SMI_Mixto!N25/1000000)*R$25</f>
        <v>11.50837902822</v>
      </c>
      <c r="S54" s="9">
        <f>(CB_SMI_Mixto!O25/1000000)*S$25</f>
        <v>11.67979773768</v>
      </c>
      <c r="T54" s="9">
        <f>(CB_SMI_Mixto!P25/1000000)*T$25</f>
        <v>11.8538679777</v>
      </c>
      <c r="U54" s="9">
        <f>(CB_SMI_Mixto!Q25/1000000)*U$25</f>
        <v>12.030634605000001</v>
      </c>
      <c r="V54" s="32">
        <f t="shared" si="6"/>
        <v>3.6279199960999937E-2</v>
      </c>
    </row>
    <row r="55" spans="2:24" x14ac:dyDescent="0.3">
      <c r="B55" s="61"/>
      <c r="C55" s="45" t="s">
        <v>153</v>
      </c>
      <c r="D55" s="46"/>
      <c r="E55" s="46"/>
      <c r="F55" s="9">
        <v>0</v>
      </c>
      <c r="G55" s="9">
        <f>(CB_SMI_Mixto!C26/1000000)*G$25</f>
        <v>1.5695138608570003</v>
      </c>
      <c r="H55" s="9">
        <f>(CB_SMI_Mixto!D26/1000000)*H$25</f>
        <v>3.0967003473230221</v>
      </c>
      <c r="I55" s="9">
        <f>(CB_SMI_Mixto!E26/1000000)*I$25</f>
        <v>4.6293538049554703</v>
      </c>
      <c r="J55" s="9">
        <f>(CB_SMI_Mixto!F26/1000000)*J$25</f>
        <v>6.0987372852166759</v>
      </c>
      <c r="K55" s="9">
        <f>(CB_SMI_Mixto!G26/1000000)*K$25</f>
        <v>7.5260587444507525</v>
      </c>
      <c r="L55" s="9">
        <f>(CB_SMI_Mixto!H26/1000000)*L$25</f>
        <v>8.9119967091422918</v>
      </c>
      <c r="M55" s="9">
        <f>(CB_SMI_Mixto!I26/1000000)*M$25</f>
        <v>10.259573648745192</v>
      </c>
      <c r="N55" s="9">
        <f>(CB_SMI_Mixto!J26/1000000)*N$25</f>
        <v>11.652934980087801</v>
      </c>
      <c r="O55" s="9">
        <f>(CB_SMI_Mixto!K26/1000000)*O$25</f>
        <v>12.949120496021886</v>
      </c>
      <c r="P55" s="9">
        <f>(CB_SMI_Mixto!L26/1000000)*P$25</f>
        <v>14.205349713566493</v>
      </c>
      <c r="Q55" s="9">
        <f>(CB_SMI_Mixto!M26/1000000)*Q$25</f>
        <v>15.427400774999992</v>
      </c>
      <c r="R55" s="9">
        <f>(CB_SMI_Mixto!N26/1000000)*R$25</f>
        <v>15.4579956</v>
      </c>
      <c r="S55" s="9">
        <f>(CB_SMI_Mixto!O26/1000000)*S$25</f>
        <v>15.503510175000001</v>
      </c>
      <c r="T55" s="9">
        <f>(CB_SMI_Mixto!P26/1000000)*T$25</f>
        <v>15.549158775</v>
      </c>
      <c r="U55" s="9">
        <f>(CB_SMI_Mixto!Q26/1000000)*U$25</f>
        <v>15.5949417</v>
      </c>
      <c r="V55" s="32">
        <f t="shared" si="6"/>
        <v>4.702761133475853E-2</v>
      </c>
    </row>
    <row r="56" spans="2:24" x14ac:dyDescent="0.3">
      <c r="B56" s="62"/>
      <c r="C56" s="63" t="s">
        <v>120</v>
      </c>
      <c r="D56" s="63"/>
      <c r="E56" s="63"/>
      <c r="F56" s="15">
        <f t="shared" ref="F56:T56" si="7">SUM(F47:F55)</f>
        <v>0</v>
      </c>
      <c r="G56" s="15">
        <f t="shared" si="7"/>
        <v>24.059047016093523</v>
      </c>
      <c r="H56" s="15">
        <f t="shared" si="7"/>
        <v>48.780509777615251</v>
      </c>
      <c r="I56" s="15">
        <f t="shared" si="7"/>
        <v>74.195905754833746</v>
      </c>
      <c r="J56" s="15">
        <f t="shared" si="7"/>
        <v>100.22417199246969</v>
      </c>
      <c r="K56" s="15">
        <f t="shared" si="7"/>
        <v>126.87563001416453</v>
      </c>
      <c r="L56" s="15">
        <f t="shared" si="7"/>
        <v>154.13032762299829</v>
      </c>
      <c r="M56" s="15">
        <f t="shared" si="7"/>
        <v>181.99717926730111</v>
      </c>
      <c r="N56" s="15">
        <f t="shared" si="7"/>
        <v>210.55095468870806</v>
      </c>
      <c r="O56" s="15">
        <f t="shared" si="7"/>
        <v>239.63263468119291</v>
      </c>
      <c r="P56" s="15">
        <f t="shared" si="7"/>
        <v>269.31322173406215</v>
      </c>
      <c r="Q56" s="15">
        <f t="shared" si="7"/>
        <v>299.58049891565906</v>
      </c>
      <c r="R56" s="15">
        <f t="shared" si="7"/>
        <v>307.34364772529472</v>
      </c>
      <c r="S56" s="15">
        <f t="shared" si="7"/>
        <v>315.26076038645209</v>
      </c>
      <c r="T56" s="15">
        <f t="shared" si="7"/>
        <v>323.34629033692545</v>
      </c>
      <c r="U56" s="15">
        <f>SUM(U47:U55)</f>
        <v>331.61245611625691</v>
      </c>
    </row>
    <row r="58" spans="2:24" x14ac:dyDescent="0.3">
      <c r="B58" s="43" t="s">
        <v>60</v>
      </c>
      <c r="C58" s="44"/>
      <c r="D58" s="44"/>
      <c r="E58" s="44"/>
      <c r="F58" s="29">
        <f>F45+F56</f>
        <v>-203.13261980837729</v>
      </c>
      <c r="G58" s="29">
        <f t="shared" ref="G58:U58" si="8">G45+G56</f>
        <v>-129.71162765644158</v>
      </c>
      <c r="H58" s="29">
        <f t="shared" si="8"/>
        <v>-113.93512075011388</v>
      </c>
      <c r="I58" s="29">
        <f t="shared" si="8"/>
        <v>-97.465782811999844</v>
      </c>
      <c r="J58" s="29">
        <f t="shared" si="8"/>
        <v>-80.378039692277795</v>
      </c>
      <c r="K58" s="29">
        <f t="shared" si="8"/>
        <v>-62.671948874285164</v>
      </c>
      <c r="L58" s="29">
        <f t="shared" si="8"/>
        <v>-44.359422809489132</v>
      </c>
      <c r="M58" s="29">
        <f t="shared" si="8"/>
        <v>-25.429985820577258</v>
      </c>
      <c r="N58" s="29">
        <f t="shared" si="8"/>
        <v>-5.8051297951712684</v>
      </c>
      <c r="O58" s="29">
        <f t="shared" si="8"/>
        <v>14.3421448548265</v>
      </c>
      <c r="P58" s="29">
        <f t="shared" si="8"/>
        <v>35.095617516077823</v>
      </c>
      <c r="Q58" s="29">
        <f t="shared" si="8"/>
        <v>56.431029428989092</v>
      </c>
      <c r="R58" s="29">
        <f t="shared" si="8"/>
        <v>184.07215930311685</v>
      </c>
      <c r="S58" s="29">
        <f t="shared" si="8"/>
        <v>190.18361772946693</v>
      </c>
      <c r="T58" s="29">
        <f t="shared" si="8"/>
        <v>196.43437056768641</v>
      </c>
      <c r="U58" s="29">
        <f t="shared" si="8"/>
        <v>202.8380019203438</v>
      </c>
    </row>
    <row r="60" spans="2:24" x14ac:dyDescent="0.3">
      <c r="B60" s="43" t="s">
        <v>142</v>
      </c>
      <c r="C60" s="44"/>
      <c r="D60" s="44"/>
      <c r="E60" s="44"/>
      <c r="F60" s="33">
        <v>0</v>
      </c>
      <c r="G60" s="29">
        <f>F61</f>
        <v>-203.13261980837729</v>
      </c>
      <c r="H60" s="29">
        <f t="shared" ref="H60:U60" si="9">G61</f>
        <v>-332.84424746481886</v>
      </c>
      <c r="I60" s="29">
        <f t="shared" si="9"/>
        <v>-446.77936821493273</v>
      </c>
      <c r="J60" s="29">
        <f t="shared" si="9"/>
        <v>-544.2451510269326</v>
      </c>
      <c r="K60" s="29">
        <f t="shared" si="9"/>
        <v>-624.62319071921036</v>
      </c>
      <c r="L60" s="29">
        <f>K61</f>
        <v>-687.29513959349549</v>
      </c>
      <c r="M60" s="29">
        <f t="shared" si="9"/>
        <v>-731.65456240298465</v>
      </c>
      <c r="N60" s="29">
        <f t="shared" si="9"/>
        <v>-757.08454822356191</v>
      </c>
      <c r="O60" s="29">
        <f t="shared" si="9"/>
        <v>-762.88967801873321</v>
      </c>
      <c r="P60" s="29">
        <f t="shared" si="9"/>
        <v>-748.54753316390668</v>
      </c>
      <c r="Q60" s="29">
        <f t="shared" si="9"/>
        <v>-713.45191564782886</v>
      </c>
      <c r="R60" s="29">
        <f t="shared" si="9"/>
        <v>-657.02088621883979</v>
      </c>
      <c r="S60" s="29">
        <f t="shared" si="9"/>
        <v>-472.94872691572294</v>
      </c>
      <c r="T60" s="29">
        <f t="shared" si="9"/>
        <v>-282.76510918625604</v>
      </c>
      <c r="U60" s="29">
        <f t="shared" si="9"/>
        <v>-86.330738618569626</v>
      </c>
    </row>
    <row r="61" spans="2:24" x14ac:dyDescent="0.3">
      <c r="B61" s="43" t="s">
        <v>98</v>
      </c>
      <c r="C61" s="44"/>
      <c r="D61" s="44"/>
      <c r="E61" s="44"/>
      <c r="F61" s="29">
        <f>F58+F60</f>
        <v>-203.13261980837729</v>
      </c>
      <c r="G61" s="29">
        <f>G58+G60</f>
        <v>-332.84424746481886</v>
      </c>
      <c r="H61" s="29">
        <f t="shared" ref="H61:U61" si="10">H58+H60</f>
        <v>-446.77936821493273</v>
      </c>
      <c r="I61" s="29">
        <f t="shared" si="10"/>
        <v>-544.2451510269326</v>
      </c>
      <c r="J61" s="29">
        <f t="shared" si="10"/>
        <v>-624.62319071921036</v>
      </c>
      <c r="K61" s="29">
        <f t="shared" si="10"/>
        <v>-687.29513959349549</v>
      </c>
      <c r="L61" s="29">
        <f t="shared" si="10"/>
        <v>-731.65456240298465</v>
      </c>
      <c r="M61" s="29">
        <f t="shared" si="10"/>
        <v>-757.08454822356191</v>
      </c>
      <c r="N61" s="29">
        <f t="shared" si="10"/>
        <v>-762.88967801873321</v>
      </c>
      <c r="O61" s="29">
        <f t="shared" si="10"/>
        <v>-748.54753316390668</v>
      </c>
      <c r="P61" s="29">
        <f t="shared" si="10"/>
        <v>-713.45191564782886</v>
      </c>
      <c r="Q61" s="29">
        <f t="shared" si="10"/>
        <v>-657.02088621883979</v>
      </c>
      <c r="R61" s="29">
        <f t="shared" si="10"/>
        <v>-472.94872691572294</v>
      </c>
      <c r="S61" s="29">
        <f t="shared" si="10"/>
        <v>-282.76510918625604</v>
      </c>
      <c r="T61" s="29">
        <f t="shared" si="10"/>
        <v>-86.330738618569626</v>
      </c>
      <c r="U61" s="29">
        <f t="shared" si="10"/>
        <v>116.50726330177417</v>
      </c>
    </row>
    <row r="63" spans="2:24" x14ac:dyDescent="0.3">
      <c r="B63" s="82" t="s">
        <v>143</v>
      </c>
      <c r="C63" s="83"/>
      <c r="D63" s="83"/>
      <c r="E63" s="83"/>
      <c r="F63" s="36">
        <f>F58/(1+0.06)^F27</f>
        <v>-203.13261980837729</v>
      </c>
      <c r="G63" s="36">
        <f>G58/(1+0.06)^G27</f>
        <v>-122.36946005324677</v>
      </c>
      <c r="H63" s="36">
        <f t="shared" ref="H63:T63" si="11">H58/(1+0.06)^H27</f>
        <v>-101.4018518601939</v>
      </c>
      <c r="I63" s="36">
        <f t="shared" si="11"/>
        <v>-81.834150684793343</v>
      </c>
      <c r="J63" s="36">
        <f t="shared" si="11"/>
        <v>-63.666935903747323</v>
      </c>
      <c r="K63" s="36">
        <f t="shared" si="11"/>
        <v>-46.83212600575326</v>
      </c>
      <c r="L63" s="36">
        <f t="shared" si="11"/>
        <v>-31.271642677369563</v>
      </c>
      <c r="M63" s="36">
        <f t="shared" si="11"/>
        <v>-16.912392969290043</v>
      </c>
      <c r="N63" s="36">
        <f t="shared" si="11"/>
        <v>-3.6422102507354972</v>
      </c>
      <c r="O63" s="36">
        <f t="shared" si="11"/>
        <v>8.4890935032968589</v>
      </c>
      <c r="P63" s="36">
        <f t="shared" si="11"/>
        <v>19.597209513588581</v>
      </c>
      <c r="Q63" s="36">
        <f t="shared" si="11"/>
        <v>29.727162348198878</v>
      </c>
      <c r="R63" s="36">
        <f t="shared" si="11"/>
        <v>91.47822386111423</v>
      </c>
      <c r="S63" s="36">
        <f t="shared" si="11"/>
        <v>89.165501382815776</v>
      </c>
      <c r="T63" s="36">
        <f t="shared" si="11"/>
        <v>86.883111539401739</v>
      </c>
      <c r="U63" s="36">
        <f>U58/(1+0.06)^U27</f>
        <v>84.6372111907679</v>
      </c>
    </row>
    <row r="64" spans="2:24" x14ac:dyDescent="0.3">
      <c r="B64" s="82" t="s">
        <v>144</v>
      </c>
      <c r="C64" s="83"/>
      <c r="D64" s="83"/>
      <c r="E64" s="83"/>
      <c r="F64" s="36">
        <f>F63</f>
        <v>-203.13261980837729</v>
      </c>
      <c r="G64" s="36">
        <f>F64+G63</f>
        <v>-325.50207986162405</v>
      </c>
      <c r="H64" s="36">
        <f t="shared" ref="H64:U64" si="12">G64+H63</f>
        <v>-426.90393172181797</v>
      </c>
      <c r="I64" s="36">
        <f t="shared" si="12"/>
        <v>-508.73808240661128</v>
      </c>
      <c r="J64" s="36">
        <f t="shared" si="12"/>
        <v>-572.40501831035863</v>
      </c>
      <c r="K64" s="36">
        <f t="shared" si="12"/>
        <v>-619.23714431611188</v>
      </c>
      <c r="L64" s="36">
        <f t="shared" si="12"/>
        <v>-650.50878699348141</v>
      </c>
      <c r="M64" s="36">
        <f t="shared" si="12"/>
        <v>-667.42117996277148</v>
      </c>
      <c r="N64" s="36">
        <f t="shared" si="12"/>
        <v>-671.06339021350698</v>
      </c>
      <c r="O64" s="36">
        <f t="shared" si="12"/>
        <v>-662.57429671021009</v>
      </c>
      <c r="P64" s="36">
        <f t="shared" si="12"/>
        <v>-642.97708719662148</v>
      </c>
      <c r="Q64" s="36">
        <f t="shared" si="12"/>
        <v>-613.24992484842255</v>
      </c>
      <c r="R64" s="36">
        <f t="shared" si="12"/>
        <v>-521.77170098730835</v>
      </c>
      <c r="S64" s="36">
        <f t="shared" si="12"/>
        <v>-432.60619960449259</v>
      </c>
      <c r="T64" s="36">
        <f t="shared" si="12"/>
        <v>-345.72308806509085</v>
      </c>
      <c r="U64" s="36">
        <f t="shared" si="12"/>
        <v>-261.08587687432293</v>
      </c>
    </row>
    <row r="68" spans="3:18" x14ac:dyDescent="0.3">
      <c r="C68" t="s">
        <v>155</v>
      </c>
      <c r="D68" s="38">
        <f>J4</f>
        <v>0.06</v>
      </c>
      <c r="F68" t="s">
        <v>157</v>
      </c>
      <c r="G68" s="37">
        <f>NPV(D68,G45:U45)+F45</f>
        <v>-1957.4564045186321</v>
      </c>
      <c r="H68" s="37">
        <f>G68/7.744865</f>
        <v>-252.74248221481358</v>
      </c>
      <c r="Q68" t="s">
        <v>159</v>
      </c>
      <c r="R68">
        <f>(0.06 * (1+0.06)^15) / ( (1+0.06)^15 - 1)</f>
        <v>0.10296276395531262</v>
      </c>
    </row>
    <row r="69" spans="3:18" x14ac:dyDescent="0.3">
      <c r="F69" s="37" t="s">
        <v>160</v>
      </c>
      <c r="G69" s="37">
        <f>PMT(D68,15,-G68)</f>
        <v>-201.54512173126702</v>
      </c>
    </row>
    <row r="70" spans="3:18" x14ac:dyDescent="0.3">
      <c r="C70" t="s">
        <v>99</v>
      </c>
      <c r="D70" s="6">
        <f>NPV(D68,G58:U58)+F58</f>
        <v>-261.08587687432299</v>
      </c>
      <c r="G70" s="37"/>
      <c r="H70" s="6"/>
    </row>
    <row r="71" spans="3:18" x14ac:dyDescent="0.3">
      <c r="C71" t="s">
        <v>100</v>
      </c>
      <c r="D71" s="8">
        <f>IRR(F58:U58)</f>
        <v>1.3185929091582338E-2</v>
      </c>
      <c r="F71" t="s">
        <v>158</v>
      </c>
      <c r="G71" s="37">
        <f>NPV(D68,G56:U56)</f>
        <v>1696.3705276443095</v>
      </c>
      <c r="H71" s="37">
        <f>G71/7.744865</f>
        <v>219.03164582524155</v>
      </c>
    </row>
    <row r="72" spans="3:18" x14ac:dyDescent="0.3">
      <c r="C72" t="s">
        <v>139</v>
      </c>
      <c r="D72" s="32">
        <f>NPV(D68,G56:U56)/-(F36+NPV(D68,G36:U36)+NPV(D68,G43:U43))</f>
        <v>0.86661982546756766</v>
      </c>
      <c r="F72" t="s">
        <v>161</v>
      </c>
      <c r="G72" s="37">
        <f>PMT(D68,15,-G71)</f>
        <v>174.6629982185903</v>
      </c>
    </row>
    <row r="74" spans="3:18" x14ac:dyDescent="0.3">
      <c r="F74" t="s">
        <v>99</v>
      </c>
      <c r="G74" s="39">
        <f>G71+G68</f>
        <v>-261.08587687432259</v>
      </c>
    </row>
    <row r="75" spans="3:18" x14ac:dyDescent="0.3">
      <c r="F75" t="s">
        <v>156</v>
      </c>
      <c r="G75" s="39">
        <f>PMT(D68,15,-G74)</f>
        <v>-26.882123512676714</v>
      </c>
    </row>
  </sheetData>
  <mergeCells count="77">
    <mergeCell ref="B63:E63"/>
    <mergeCell ref="B64:E64"/>
    <mergeCell ref="C54:E54"/>
    <mergeCell ref="C55:E55"/>
    <mergeCell ref="C56:E56"/>
    <mergeCell ref="B58:E58"/>
    <mergeCell ref="B60:E60"/>
    <mergeCell ref="B61:E61"/>
    <mergeCell ref="B44:U44"/>
    <mergeCell ref="B45:E45"/>
    <mergeCell ref="B47:B56"/>
    <mergeCell ref="C47:E47"/>
    <mergeCell ref="C48:E48"/>
    <mergeCell ref="C49:E49"/>
    <mergeCell ref="C50:E50"/>
    <mergeCell ref="C51:E51"/>
    <mergeCell ref="C52:E52"/>
    <mergeCell ref="C53:E53"/>
    <mergeCell ref="B37:U37"/>
    <mergeCell ref="B38:B43"/>
    <mergeCell ref="C38:E38"/>
    <mergeCell ref="C39:E39"/>
    <mergeCell ref="C40:E40"/>
    <mergeCell ref="C41:E41"/>
    <mergeCell ref="C42:E42"/>
    <mergeCell ref="C43:E43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C20:U20"/>
    <mergeCell ref="B21:B25"/>
    <mergeCell ref="C21:E21"/>
    <mergeCell ref="C22:E22"/>
    <mergeCell ref="C23:E23"/>
    <mergeCell ref="C24:E24"/>
    <mergeCell ref="C25:E25"/>
    <mergeCell ref="B15:B19"/>
    <mergeCell ref="C15:E15"/>
    <mergeCell ref="C16:U16"/>
    <mergeCell ref="C17:E17"/>
    <mergeCell ref="C18:E18"/>
    <mergeCell ref="C19:E19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5:C5"/>
    <mergeCell ref="D5:E5"/>
    <mergeCell ref="G5:I5"/>
    <mergeCell ref="L5:P5"/>
    <mergeCell ref="B6:C6"/>
    <mergeCell ref="D6:E6"/>
    <mergeCell ref="G6:I6"/>
    <mergeCell ref="L6:P6"/>
    <mergeCell ref="L4:P4"/>
    <mergeCell ref="B2:E2"/>
    <mergeCell ref="G2:K2"/>
    <mergeCell ref="B4:C4"/>
    <mergeCell ref="D4:E4"/>
    <mergeCell ref="G4:I4"/>
  </mergeCells>
  <conditionalFormatting sqref="F30:U36">
    <cfRule type="cellIs" dxfId="5" priority="6" operator="lessThan">
      <formula>0</formula>
    </cfRule>
  </conditionalFormatting>
  <conditionalFormatting sqref="F38:U43">
    <cfRule type="cellIs" dxfId="4" priority="4" operator="lessThan">
      <formula>0</formula>
    </cfRule>
  </conditionalFormatting>
  <conditionalFormatting sqref="F45:U45">
    <cfRule type="cellIs" dxfId="3" priority="1" operator="lessThan">
      <formula>0</formula>
    </cfRule>
  </conditionalFormatting>
  <conditionalFormatting sqref="F47:U56">
    <cfRule type="cellIs" dxfId="2" priority="5" operator="lessThan">
      <formula>0</formula>
    </cfRule>
  </conditionalFormatting>
  <conditionalFormatting sqref="F58:U61">
    <cfRule type="cellIs" dxfId="1" priority="3" operator="lessThan">
      <formula>0</formula>
    </cfRule>
  </conditionalFormatting>
  <conditionalFormatting sqref="F63:U64"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6F3480-D9CA-4F76-B8D6-B776F7BC43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Supuestos y Consideraciones</vt:lpstr>
      <vt:lpstr>CB_SMI_Mixto</vt:lpstr>
      <vt:lpstr>Flujo de Caja SMI Mixto 10 años</vt:lpstr>
      <vt:lpstr>Flujo de Caja SMI Mixto 9 años</vt:lpstr>
      <vt:lpstr>Flujo de Caja SMI Mixto 11 años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Nicolás Sanhueza</dc:creator>
  <cp:lastModifiedBy>Nicolás Sanhueza</cp:lastModifiedBy>
  <dcterms:created xsi:type="dcterms:W3CDTF">2015-06-05T18:19:34Z</dcterms:created>
  <dcterms:modified xsi:type="dcterms:W3CDTF">2026-02-20T16:16:55Z</dcterms:modified>
</cp:coreProperties>
</file>