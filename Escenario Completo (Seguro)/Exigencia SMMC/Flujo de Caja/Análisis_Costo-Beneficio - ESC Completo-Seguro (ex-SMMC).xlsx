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e212a0ac5b1962/Trabajo de Título/Análisis Costo-Beneficio/Escenario Completo (Seguro)/Exigencia SMMC/Flujo de Caja/"/>
    </mc:Choice>
  </mc:AlternateContent>
  <xr:revisionPtr revIDLastSave="4694" documentId="11_AD4D2F04E46CFB4ACB3E206EFD56D1F2693EDF1B" xr6:coauthVersionLast="47" xr6:coauthVersionMax="47" xr10:uidLastSave="{AFEAC44E-E639-477B-87A1-362B0BC6220E}"/>
  <bookViews>
    <workbookView xWindow="28680" yWindow="-120" windowWidth="29040" windowHeight="15720" tabRatio="793" firstSheet="1" activeTab="2" xr2:uid="{00000000-000D-0000-FFFF-FFFF00000000}"/>
  </bookViews>
  <sheets>
    <sheet name="Supuestos y Consideraciones" sheetId="6" state="hidden" r:id="rId1"/>
    <sheet name="CB_SMI_Mixto" sheetId="34" r:id="rId2"/>
    <sheet name="Flujo SMI_Mixto" sheetId="24" r:id="rId3"/>
    <sheet name="CB_SMI_Mixto_ALTA" sheetId="35" r:id="rId4"/>
    <sheet name="Flujo SMI_Mixto_ALTA" sheetId="40" r:id="rId5"/>
    <sheet name="CB_SMI_Mixto_MEDIA" sheetId="38" r:id="rId6"/>
    <sheet name="Flujo SMI_Mixto_MEDIA" sheetId="41" r:id="rId7"/>
    <sheet name="CB_SMI_Mixto_BAJA" sheetId="36" r:id="rId8"/>
    <sheet name="Flujo SMI_Mixto_BAJA" sheetId="42" r:id="rId9"/>
    <sheet name="CB_SMI_Mixto_MUY_BAJA" sheetId="39" r:id="rId10"/>
    <sheet name="Flujo SMI_Mixto_MUY_BAJA" sheetId="43" r:id="rId11"/>
    <sheet name="CB_SMI_Mixto_EXT_BAJA" sheetId="37" r:id="rId12"/>
    <sheet name="Flujo SMI_Mixto_EXT_BAJA" sheetId="44" r:id="rId13"/>
  </sheets>
  <definedNames>
    <definedName name="DatosExternos_1" localSheetId="1" hidden="1">CB_SMI_Mixto!$A$1:$Q$26</definedName>
    <definedName name="DatosExternos_1" localSheetId="3" hidden="1">CB_SMI_Mixto_ALTA!$A$1:$Q$26</definedName>
    <definedName name="DatosExternos_1" localSheetId="7" hidden="1">CB_SMI_Mixto_BAJA!$A$1:$Q$26</definedName>
    <definedName name="DatosExternos_1" localSheetId="11" hidden="1">CB_SMI_Mixto_EXT_BAJA!$A$1:$Q$26</definedName>
    <definedName name="DatosExternos_1" localSheetId="5" hidden="1">CB_SMI_Mixto_MEDIA!$A$1:$Q$26</definedName>
    <definedName name="DatosExternos_1" localSheetId="9" hidden="1">CB_SMI_Mixto_MUY_BAJA!$A$1:$Q$26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24" l="1"/>
  <c r="J68" i="24"/>
  <c r="J73" i="44"/>
  <c r="J72" i="44"/>
  <c r="J69" i="44"/>
  <c r="J68" i="44"/>
  <c r="D79" i="44"/>
  <c r="H68" i="44"/>
  <c r="D67" i="44"/>
  <c r="D69" i="44" s="1"/>
  <c r="Q63" i="44"/>
  <c r="O63" i="44"/>
  <c r="N63" i="44"/>
  <c r="L63" i="44"/>
  <c r="K63" i="44"/>
  <c r="J63" i="44"/>
  <c r="I63" i="44"/>
  <c r="H63" i="44"/>
  <c r="G63" i="44"/>
  <c r="F63" i="44"/>
  <c r="F64" i="44" s="1"/>
  <c r="G64" i="44" s="1"/>
  <c r="H64" i="44" s="1"/>
  <c r="I64" i="44" s="1"/>
  <c r="J64" i="44" s="1"/>
  <c r="K64" i="44" s="1"/>
  <c r="L64" i="44" s="1"/>
  <c r="M64" i="44" s="1"/>
  <c r="N64" i="44" s="1"/>
  <c r="O64" i="44" s="1"/>
  <c r="P64" i="44" s="1"/>
  <c r="Q64" i="44" s="1"/>
  <c r="R64" i="44" s="1"/>
  <c r="S64" i="44" s="1"/>
  <c r="T64" i="44" s="1"/>
  <c r="U64" i="44" s="1"/>
  <c r="F61" i="44"/>
  <c r="G60" i="44" s="1"/>
  <c r="G61" i="44" s="1"/>
  <c r="H60" i="44" s="1"/>
  <c r="H61" i="44" s="1"/>
  <c r="I60" i="44" s="1"/>
  <c r="I61" i="44" s="1"/>
  <c r="J60" i="44" s="1"/>
  <c r="J61" i="44" s="1"/>
  <c r="K60" i="44" s="1"/>
  <c r="K61" i="44" s="1"/>
  <c r="L60" i="44" s="1"/>
  <c r="L61" i="44" s="1"/>
  <c r="M60" i="44" s="1"/>
  <c r="U58" i="44"/>
  <c r="U63" i="44" s="1"/>
  <c r="T58" i="44"/>
  <c r="T63" i="44" s="1"/>
  <c r="S58" i="44"/>
  <c r="S63" i="44" s="1"/>
  <c r="R58" i="44"/>
  <c r="R63" i="44" s="1"/>
  <c r="Q58" i="44"/>
  <c r="P58" i="44"/>
  <c r="P63" i="44" s="1"/>
  <c r="O58" i="44"/>
  <c r="N58" i="44"/>
  <c r="M58" i="44"/>
  <c r="M63" i="44" s="1"/>
  <c r="L58" i="44"/>
  <c r="K58" i="44"/>
  <c r="J58" i="44"/>
  <c r="I58" i="44"/>
  <c r="H58" i="44"/>
  <c r="G58" i="44"/>
  <c r="F58" i="44"/>
  <c r="D70" i="44" s="1"/>
  <c r="J72" i="43"/>
  <c r="J73" i="43"/>
  <c r="J69" i="43"/>
  <c r="J68" i="43"/>
  <c r="D79" i="43"/>
  <c r="D67" i="43"/>
  <c r="H68" i="43" s="1"/>
  <c r="Q63" i="43"/>
  <c r="N63" i="43"/>
  <c r="M63" i="43"/>
  <c r="K63" i="43"/>
  <c r="J63" i="43"/>
  <c r="I63" i="43"/>
  <c r="H63" i="43"/>
  <c r="G63" i="43"/>
  <c r="F63" i="43"/>
  <c r="F64" i="43" s="1"/>
  <c r="G64" i="43" s="1"/>
  <c r="H64" i="43" s="1"/>
  <c r="I64" i="43" s="1"/>
  <c r="J64" i="43" s="1"/>
  <c r="K64" i="43" s="1"/>
  <c r="F61" i="43"/>
  <c r="G60" i="43" s="1"/>
  <c r="G61" i="43" s="1"/>
  <c r="H60" i="43" s="1"/>
  <c r="H61" i="43" s="1"/>
  <c r="I60" i="43" s="1"/>
  <c r="I61" i="43" s="1"/>
  <c r="J60" i="43" s="1"/>
  <c r="J61" i="43" s="1"/>
  <c r="K60" i="43" s="1"/>
  <c r="K61" i="43" s="1"/>
  <c r="L60" i="43" s="1"/>
  <c r="U58" i="43"/>
  <c r="U63" i="43" s="1"/>
  <c r="T58" i="43"/>
  <c r="T63" i="43" s="1"/>
  <c r="S58" i="43"/>
  <c r="S63" i="43" s="1"/>
  <c r="R58" i="43"/>
  <c r="R63" i="43" s="1"/>
  <c r="Q58" i="43"/>
  <c r="P58" i="43"/>
  <c r="P63" i="43" s="1"/>
  <c r="O58" i="43"/>
  <c r="O63" i="43" s="1"/>
  <c r="N58" i="43"/>
  <c r="M58" i="43"/>
  <c r="L58" i="43"/>
  <c r="K58" i="43"/>
  <c r="J58" i="43"/>
  <c r="I58" i="43"/>
  <c r="H58" i="43"/>
  <c r="G58" i="43"/>
  <c r="F58" i="43"/>
  <c r="D70" i="43" s="1"/>
  <c r="J73" i="42"/>
  <c r="J72" i="42"/>
  <c r="J69" i="42"/>
  <c r="J68" i="42"/>
  <c r="D79" i="42"/>
  <c r="D67" i="42"/>
  <c r="H72" i="42" s="1"/>
  <c r="P63" i="42"/>
  <c r="N63" i="42"/>
  <c r="M63" i="42"/>
  <c r="L63" i="42"/>
  <c r="K63" i="42"/>
  <c r="J63" i="42"/>
  <c r="I63" i="42"/>
  <c r="H63" i="42"/>
  <c r="G63" i="42"/>
  <c r="F63" i="42"/>
  <c r="F64" i="42" s="1"/>
  <c r="G64" i="42" s="1"/>
  <c r="H64" i="42" s="1"/>
  <c r="I64" i="42" s="1"/>
  <c r="J64" i="42" s="1"/>
  <c r="K64" i="42" s="1"/>
  <c r="L64" i="42" s="1"/>
  <c r="M64" i="42" s="1"/>
  <c r="N64" i="42" s="1"/>
  <c r="O64" i="42" s="1"/>
  <c r="P64" i="42" s="1"/>
  <c r="Q64" i="42" s="1"/>
  <c r="R64" i="42" s="1"/>
  <c r="F61" i="42"/>
  <c r="G60" i="42" s="1"/>
  <c r="G61" i="42" s="1"/>
  <c r="H60" i="42" s="1"/>
  <c r="H61" i="42" s="1"/>
  <c r="I60" i="42" s="1"/>
  <c r="I61" i="42" s="1"/>
  <c r="J60" i="42" s="1"/>
  <c r="J61" i="42" s="1"/>
  <c r="K60" i="42" s="1"/>
  <c r="K61" i="42" s="1"/>
  <c r="L60" i="42" s="1"/>
  <c r="L61" i="42" s="1"/>
  <c r="M60" i="42" s="1"/>
  <c r="M61" i="42" s="1"/>
  <c r="N60" i="42" s="1"/>
  <c r="N61" i="42" s="1"/>
  <c r="O60" i="42" s="1"/>
  <c r="U58" i="42"/>
  <c r="U63" i="42" s="1"/>
  <c r="T58" i="42"/>
  <c r="T63" i="42" s="1"/>
  <c r="S58" i="42"/>
  <c r="S63" i="42" s="1"/>
  <c r="R58" i="42"/>
  <c r="R63" i="42" s="1"/>
  <c r="Q58" i="42"/>
  <c r="Q63" i="42" s="1"/>
  <c r="P58" i="42"/>
  <c r="O58" i="42"/>
  <c r="O63" i="42" s="1"/>
  <c r="N58" i="42"/>
  <c r="M58" i="42"/>
  <c r="L58" i="42"/>
  <c r="K58" i="42"/>
  <c r="J58" i="42"/>
  <c r="I58" i="42"/>
  <c r="H58" i="42"/>
  <c r="G58" i="42"/>
  <c r="F58" i="42"/>
  <c r="D70" i="42" s="1"/>
  <c r="J76" i="41"/>
  <c r="J73" i="41"/>
  <c r="J72" i="41"/>
  <c r="J69" i="41"/>
  <c r="J68" i="41"/>
  <c r="D79" i="41"/>
  <c r="D67" i="41"/>
  <c r="H68" i="41" s="1"/>
  <c r="Q63" i="41"/>
  <c r="O63" i="41"/>
  <c r="N63" i="41"/>
  <c r="M63" i="41"/>
  <c r="L63" i="41"/>
  <c r="K63" i="41"/>
  <c r="I63" i="41"/>
  <c r="H63" i="41"/>
  <c r="G63" i="41"/>
  <c r="F63" i="41"/>
  <c r="F64" i="41" s="1"/>
  <c r="G64" i="41" s="1"/>
  <c r="H64" i="41" s="1"/>
  <c r="I64" i="41" s="1"/>
  <c r="J64" i="41" s="1"/>
  <c r="K64" i="41" s="1"/>
  <c r="L64" i="41" s="1"/>
  <c r="M64" i="41" s="1"/>
  <c r="N64" i="41" s="1"/>
  <c r="O64" i="41" s="1"/>
  <c r="P64" i="41" s="1"/>
  <c r="Q64" i="41" s="1"/>
  <c r="R64" i="41" s="1"/>
  <c r="F61" i="41"/>
  <c r="G60" i="41" s="1"/>
  <c r="G61" i="41" s="1"/>
  <c r="H60" i="41" s="1"/>
  <c r="H61" i="41" s="1"/>
  <c r="I60" i="41" s="1"/>
  <c r="I61" i="41" s="1"/>
  <c r="J60" i="41" s="1"/>
  <c r="U58" i="41"/>
  <c r="U63" i="41" s="1"/>
  <c r="T58" i="41"/>
  <c r="T63" i="41" s="1"/>
  <c r="S58" i="41"/>
  <c r="S63" i="41" s="1"/>
  <c r="R58" i="41"/>
  <c r="R63" i="41" s="1"/>
  <c r="Q58" i="41"/>
  <c r="P58" i="41"/>
  <c r="P63" i="41" s="1"/>
  <c r="O58" i="41"/>
  <c r="N58" i="41"/>
  <c r="M58" i="41"/>
  <c r="L58" i="41"/>
  <c r="K58" i="41"/>
  <c r="J58" i="41"/>
  <c r="J63" i="41" s="1"/>
  <c r="I58" i="41"/>
  <c r="H58" i="41"/>
  <c r="G58" i="41"/>
  <c r="F58" i="41"/>
  <c r="D70" i="41" s="1"/>
  <c r="J77" i="40"/>
  <c r="J76" i="40"/>
  <c r="H76" i="40"/>
  <c r="J73" i="40"/>
  <c r="J72" i="40"/>
  <c r="J69" i="40"/>
  <c r="J68" i="40"/>
  <c r="D79" i="40"/>
  <c r="D67" i="40"/>
  <c r="H72" i="40" s="1"/>
  <c r="S63" i="40"/>
  <c r="P63" i="40"/>
  <c r="N63" i="40"/>
  <c r="M63" i="40"/>
  <c r="L63" i="40"/>
  <c r="K63" i="40"/>
  <c r="I63" i="40"/>
  <c r="G63" i="40"/>
  <c r="F63" i="40"/>
  <c r="F64" i="40" s="1"/>
  <c r="G64" i="40" s="1"/>
  <c r="H64" i="40" s="1"/>
  <c r="I64" i="40" s="1"/>
  <c r="F61" i="40"/>
  <c r="G60" i="40" s="1"/>
  <c r="G61" i="40" s="1"/>
  <c r="H60" i="40" s="1"/>
  <c r="U58" i="40"/>
  <c r="U63" i="40" s="1"/>
  <c r="T58" i="40"/>
  <c r="T63" i="40" s="1"/>
  <c r="S58" i="40"/>
  <c r="R58" i="40"/>
  <c r="R63" i="40" s="1"/>
  <c r="Q58" i="40"/>
  <c r="Q63" i="40" s="1"/>
  <c r="P58" i="40"/>
  <c r="O58" i="40"/>
  <c r="O63" i="40" s="1"/>
  <c r="N58" i="40"/>
  <c r="M58" i="40"/>
  <c r="L58" i="40"/>
  <c r="K58" i="40"/>
  <c r="J58" i="40"/>
  <c r="I58" i="40"/>
  <c r="H58" i="40"/>
  <c r="H63" i="40" s="1"/>
  <c r="G58" i="40"/>
  <c r="F58" i="40"/>
  <c r="D70" i="40" s="1"/>
  <c r="U45" i="44"/>
  <c r="T45" i="44"/>
  <c r="S45" i="44"/>
  <c r="R45" i="44"/>
  <c r="Q45" i="44"/>
  <c r="P45" i="44"/>
  <c r="O45" i="44"/>
  <c r="N45" i="44"/>
  <c r="M45" i="44"/>
  <c r="L45" i="44"/>
  <c r="K45" i="44"/>
  <c r="J45" i="44"/>
  <c r="I45" i="44"/>
  <c r="H45" i="44"/>
  <c r="G45" i="44"/>
  <c r="F45" i="44"/>
  <c r="U45" i="43"/>
  <c r="T45" i="43"/>
  <c r="S45" i="43"/>
  <c r="R45" i="43"/>
  <c r="Q45" i="43"/>
  <c r="P45" i="43"/>
  <c r="O45" i="43"/>
  <c r="N45" i="43"/>
  <c r="M45" i="43"/>
  <c r="L45" i="43"/>
  <c r="K45" i="43"/>
  <c r="J45" i="43"/>
  <c r="I45" i="43"/>
  <c r="H45" i="43"/>
  <c r="G45" i="43"/>
  <c r="F45" i="43"/>
  <c r="U45" i="42"/>
  <c r="T45" i="42"/>
  <c r="S45" i="42"/>
  <c r="R45" i="42"/>
  <c r="Q45" i="42"/>
  <c r="P45" i="42"/>
  <c r="O45" i="42"/>
  <c r="N45" i="42"/>
  <c r="M45" i="42"/>
  <c r="L45" i="42"/>
  <c r="K45" i="42"/>
  <c r="J45" i="42"/>
  <c r="I45" i="42"/>
  <c r="H45" i="42"/>
  <c r="G45" i="42"/>
  <c r="F45" i="42"/>
  <c r="U45" i="41"/>
  <c r="T45" i="41"/>
  <c r="S45" i="41"/>
  <c r="R45" i="41"/>
  <c r="Q45" i="41"/>
  <c r="P45" i="41"/>
  <c r="O45" i="41"/>
  <c r="N45" i="41"/>
  <c r="M45" i="41"/>
  <c r="L45" i="41"/>
  <c r="K45" i="41"/>
  <c r="J45" i="41"/>
  <c r="I45" i="41"/>
  <c r="H45" i="41"/>
  <c r="G45" i="41"/>
  <c r="F45" i="41"/>
  <c r="U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L68" i="44" l="1"/>
  <c r="H69" i="44"/>
  <c r="M61" i="44"/>
  <c r="N60" i="44" s="1"/>
  <c r="N61" i="44" s="1"/>
  <c r="O60" i="44" s="1"/>
  <c r="O61" i="44" s="1"/>
  <c r="P60" i="44" s="1"/>
  <c r="P61" i="44"/>
  <c r="Q60" i="44" s="1"/>
  <c r="Q61" i="44" s="1"/>
  <c r="R60" i="44" s="1"/>
  <c r="R61" i="44"/>
  <c r="S60" i="44" s="1"/>
  <c r="D71" i="44"/>
  <c r="S61" i="44"/>
  <c r="T60" i="44" s="1"/>
  <c r="T61" i="44" s="1"/>
  <c r="U60" i="44" s="1"/>
  <c r="U61" i="44" s="1"/>
  <c r="H72" i="44"/>
  <c r="L68" i="43"/>
  <c r="L61" i="43"/>
  <c r="M60" i="43" s="1"/>
  <c r="M61" i="43" s="1"/>
  <c r="N60" i="43" s="1"/>
  <c r="N61" i="43" s="1"/>
  <c r="O60" i="43" s="1"/>
  <c r="H69" i="43"/>
  <c r="L63" i="43"/>
  <c r="L64" i="43" s="1"/>
  <c r="M64" i="43" s="1"/>
  <c r="N64" i="43" s="1"/>
  <c r="O64" i="43" s="1"/>
  <c r="P64" i="43" s="1"/>
  <c r="Q64" i="43" s="1"/>
  <c r="R64" i="43" s="1"/>
  <c r="S64" i="43" s="1"/>
  <c r="T64" i="43" s="1"/>
  <c r="U64" i="43" s="1"/>
  <c r="O61" i="43"/>
  <c r="P60" i="43" s="1"/>
  <c r="P61" i="43"/>
  <c r="Q60" i="43" s="1"/>
  <c r="Q61" i="43" s="1"/>
  <c r="R60" i="43" s="1"/>
  <c r="D69" i="43"/>
  <c r="R61" i="43"/>
  <c r="S60" i="43" s="1"/>
  <c r="D71" i="43"/>
  <c r="S61" i="43"/>
  <c r="T60" i="43" s="1"/>
  <c r="H72" i="43"/>
  <c r="T61" i="43"/>
  <c r="U60" i="43" s="1"/>
  <c r="U61" i="43" s="1"/>
  <c r="S64" i="42"/>
  <c r="T64" i="42" s="1"/>
  <c r="U64" i="42" s="1"/>
  <c r="L72" i="42"/>
  <c r="H68" i="42"/>
  <c r="D69" i="42"/>
  <c r="O61" i="42"/>
  <c r="P60" i="42" s="1"/>
  <c r="P61" i="42" s="1"/>
  <c r="Q60" i="42" s="1"/>
  <c r="Q61" i="42"/>
  <c r="R60" i="42" s="1"/>
  <c r="H73" i="42"/>
  <c r="R61" i="42"/>
  <c r="S60" i="42" s="1"/>
  <c r="D71" i="42"/>
  <c r="S61" i="42"/>
  <c r="T60" i="42" s="1"/>
  <c r="T61" i="42"/>
  <c r="U60" i="42" s="1"/>
  <c r="U61" i="42" s="1"/>
  <c r="S64" i="41"/>
  <c r="T64" i="41" s="1"/>
  <c r="U64" i="41" s="1"/>
  <c r="L68" i="41"/>
  <c r="J61" i="41"/>
  <c r="K60" i="41" s="1"/>
  <c r="K61" i="41" s="1"/>
  <c r="L60" i="41" s="1"/>
  <c r="L61" i="41" s="1"/>
  <c r="M60" i="41" s="1"/>
  <c r="M61" i="41" s="1"/>
  <c r="N60" i="41" s="1"/>
  <c r="N61" i="41" s="1"/>
  <c r="O60" i="41" s="1"/>
  <c r="O61" i="41" s="1"/>
  <c r="P60" i="41" s="1"/>
  <c r="P61" i="41" s="1"/>
  <c r="Q60" i="41" s="1"/>
  <c r="Q61" i="41" s="1"/>
  <c r="R60" i="41" s="1"/>
  <c r="R61" i="41" s="1"/>
  <c r="S60" i="41" s="1"/>
  <c r="S61" i="41" s="1"/>
  <c r="T60" i="41" s="1"/>
  <c r="T61" i="41" s="1"/>
  <c r="U60" i="41" s="1"/>
  <c r="U61" i="41" s="1"/>
  <c r="D69" i="41"/>
  <c r="H69" i="41"/>
  <c r="D71" i="41"/>
  <c r="H72" i="41"/>
  <c r="H73" i="41" s="1"/>
  <c r="L72" i="40"/>
  <c r="H68" i="40"/>
  <c r="L68" i="40" s="1"/>
  <c r="H61" i="40"/>
  <c r="I60" i="40" s="1"/>
  <c r="I61" i="40" s="1"/>
  <c r="J60" i="40" s="1"/>
  <c r="J61" i="40" s="1"/>
  <c r="K60" i="40" s="1"/>
  <c r="K61" i="40" s="1"/>
  <c r="L60" i="40" s="1"/>
  <c r="L61" i="40" s="1"/>
  <c r="M60" i="40" s="1"/>
  <c r="M61" i="40" s="1"/>
  <c r="N60" i="40" s="1"/>
  <c r="N61" i="40" s="1"/>
  <c r="O60" i="40" s="1"/>
  <c r="O61" i="40" s="1"/>
  <c r="P60" i="40" s="1"/>
  <c r="P61" i="40" s="1"/>
  <c r="Q60" i="40" s="1"/>
  <c r="Q61" i="40" s="1"/>
  <c r="R60" i="40" s="1"/>
  <c r="R61" i="40" s="1"/>
  <c r="S60" i="40" s="1"/>
  <c r="S61" i="40" s="1"/>
  <c r="T60" i="40" s="1"/>
  <c r="T61" i="40" s="1"/>
  <c r="U60" i="40" s="1"/>
  <c r="U61" i="40" s="1"/>
  <c r="D69" i="40"/>
  <c r="H69" i="40"/>
  <c r="D71" i="40"/>
  <c r="H73" i="40"/>
  <c r="J63" i="40"/>
  <c r="J64" i="40" s="1"/>
  <c r="K64" i="40" s="1"/>
  <c r="L64" i="40" s="1"/>
  <c r="M64" i="40" s="1"/>
  <c r="N64" i="40" s="1"/>
  <c r="O64" i="40" s="1"/>
  <c r="P64" i="40" s="1"/>
  <c r="Q64" i="40" s="1"/>
  <c r="R64" i="40" s="1"/>
  <c r="S64" i="40" s="1"/>
  <c r="T64" i="40" s="1"/>
  <c r="U64" i="40" s="1"/>
  <c r="H68" i="24"/>
  <c r="D79" i="24"/>
  <c r="D67" i="24"/>
  <c r="D69" i="24" s="1"/>
  <c r="Q63" i="24"/>
  <c r="P63" i="24"/>
  <c r="O63" i="24"/>
  <c r="N63" i="24"/>
  <c r="M63" i="24"/>
  <c r="L63" i="24"/>
  <c r="K63" i="24"/>
  <c r="J63" i="24"/>
  <c r="F63" i="24"/>
  <c r="F64" i="24" s="1"/>
  <c r="F61" i="24"/>
  <c r="G60" i="24" s="1"/>
  <c r="U58" i="24"/>
  <c r="U63" i="24" s="1"/>
  <c r="T58" i="24"/>
  <c r="T63" i="24" s="1"/>
  <c r="S58" i="24"/>
  <c r="S63" i="24" s="1"/>
  <c r="R58" i="24"/>
  <c r="R63" i="24" s="1"/>
  <c r="Q58" i="24"/>
  <c r="P58" i="24"/>
  <c r="O58" i="24"/>
  <c r="N58" i="24"/>
  <c r="M58" i="24"/>
  <c r="L58" i="24"/>
  <c r="K58" i="24"/>
  <c r="J58" i="24"/>
  <c r="I58" i="24"/>
  <c r="I63" i="24" s="1"/>
  <c r="H58" i="24"/>
  <c r="G58" i="24"/>
  <c r="F58" i="24"/>
  <c r="D70" i="24" s="1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G33" i="44"/>
  <c r="H76" i="44" l="1"/>
  <c r="H77" i="44" s="1"/>
  <c r="H78" i="44" s="1"/>
  <c r="H73" i="44"/>
  <c r="H70" i="44"/>
  <c r="H76" i="43"/>
  <c r="H77" i="43" s="1"/>
  <c r="H78" i="43" s="1"/>
  <c r="H70" i="43"/>
  <c r="H73" i="43"/>
  <c r="L68" i="42"/>
  <c r="J76" i="42"/>
  <c r="L76" i="42" s="1"/>
  <c r="H74" i="42"/>
  <c r="H76" i="42"/>
  <c r="H77" i="42" s="1"/>
  <c r="H78" i="42" s="1"/>
  <c r="H69" i="42"/>
  <c r="H74" i="41"/>
  <c r="H70" i="41"/>
  <c r="H76" i="41"/>
  <c r="H77" i="41" s="1"/>
  <c r="H78" i="41" s="1"/>
  <c r="H70" i="40"/>
  <c r="H74" i="40"/>
  <c r="G61" i="24"/>
  <c r="H60" i="24" s="1"/>
  <c r="H61" i="24"/>
  <c r="I60" i="24" s="1"/>
  <c r="H63" i="24"/>
  <c r="I61" i="24"/>
  <c r="J60" i="24" s="1"/>
  <c r="J61" i="24" s="1"/>
  <c r="K60" i="24" s="1"/>
  <c r="K61" i="24" s="1"/>
  <c r="L60" i="24" s="1"/>
  <c r="L61" i="24" s="1"/>
  <c r="M60" i="24" s="1"/>
  <c r="M61" i="24" s="1"/>
  <c r="N60" i="24" s="1"/>
  <c r="N61" i="24" s="1"/>
  <c r="O60" i="24" s="1"/>
  <c r="O61" i="24" s="1"/>
  <c r="P60" i="24" s="1"/>
  <c r="P61" i="24" s="1"/>
  <c r="Q60" i="24" s="1"/>
  <c r="Q61" i="24" s="1"/>
  <c r="R60" i="24" s="1"/>
  <c r="G63" i="24"/>
  <c r="G64" i="24" s="1"/>
  <c r="H64" i="24" s="1"/>
  <c r="I64" i="24" s="1"/>
  <c r="J64" i="24" s="1"/>
  <c r="K64" i="24" s="1"/>
  <c r="L64" i="24" s="1"/>
  <c r="M64" i="24" s="1"/>
  <c r="N64" i="24" s="1"/>
  <c r="O64" i="24" s="1"/>
  <c r="P64" i="24" s="1"/>
  <c r="Q64" i="24" s="1"/>
  <c r="R64" i="24" s="1"/>
  <c r="S64" i="24" s="1"/>
  <c r="T64" i="24" s="1"/>
  <c r="U64" i="24" s="1"/>
  <c r="R61" i="24"/>
  <c r="S60" i="24" s="1"/>
  <c r="D71" i="24"/>
  <c r="L68" i="24"/>
  <c r="S61" i="24"/>
  <c r="T60" i="24" s="1"/>
  <c r="T61" i="24"/>
  <c r="U60" i="24" s="1"/>
  <c r="U61" i="2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F33" i="44"/>
  <c r="U19" i="44"/>
  <c r="U23" i="44" s="1"/>
  <c r="U32" i="44" s="1"/>
  <c r="T19" i="44"/>
  <c r="T23" i="44" s="1"/>
  <c r="T32" i="44" s="1"/>
  <c r="S19" i="44"/>
  <c r="S23" i="44" s="1"/>
  <c r="S32" i="44" s="1"/>
  <c r="R19" i="44"/>
  <c r="R23" i="44" s="1"/>
  <c r="R32" i="44" s="1"/>
  <c r="Q19" i="44"/>
  <c r="Q23" i="44" s="1"/>
  <c r="Q32" i="44" s="1"/>
  <c r="P19" i="44"/>
  <c r="O19" i="44"/>
  <c r="N19" i="44"/>
  <c r="M19" i="44"/>
  <c r="L19" i="44"/>
  <c r="K19" i="44"/>
  <c r="J19" i="44"/>
  <c r="I19" i="44"/>
  <c r="H19" i="44"/>
  <c r="G19" i="44"/>
  <c r="F19" i="44"/>
  <c r="J9" i="44" s="1"/>
  <c r="G23" i="44" s="1"/>
  <c r="G32" i="44" s="1"/>
  <c r="U18" i="44"/>
  <c r="U22" i="44" s="1"/>
  <c r="U31" i="44" s="1"/>
  <c r="T18" i="44"/>
  <c r="T22" i="44" s="1"/>
  <c r="T31" i="44" s="1"/>
  <c r="S18" i="44"/>
  <c r="S22" i="44" s="1"/>
  <c r="S31" i="44" s="1"/>
  <c r="R18" i="44"/>
  <c r="R22" i="44" s="1"/>
  <c r="R31" i="44" s="1"/>
  <c r="Q18" i="44"/>
  <c r="Q22" i="44" s="1"/>
  <c r="Q31" i="44" s="1"/>
  <c r="P18" i="44"/>
  <c r="O18" i="44"/>
  <c r="N18" i="44"/>
  <c r="M18" i="44"/>
  <c r="L18" i="44"/>
  <c r="K18" i="44"/>
  <c r="J18" i="44"/>
  <c r="I18" i="44"/>
  <c r="H18" i="44"/>
  <c r="G18" i="44"/>
  <c r="F18" i="44"/>
  <c r="J8" i="44" s="1"/>
  <c r="U17" i="44"/>
  <c r="U21" i="44" s="1"/>
  <c r="U30" i="44" s="1"/>
  <c r="T17" i="44"/>
  <c r="T21" i="44" s="1"/>
  <c r="T30" i="44" s="1"/>
  <c r="S17" i="44"/>
  <c r="S21" i="44" s="1"/>
  <c r="S30" i="44" s="1"/>
  <c r="R17" i="44"/>
  <c r="R21" i="44" s="1"/>
  <c r="R30" i="44" s="1"/>
  <c r="Q17" i="44"/>
  <c r="Q21" i="44" s="1"/>
  <c r="Q30" i="44" s="1"/>
  <c r="P17" i="44"/>
  <c r="O17" i="44"/>
  <c r="N17" i="44"/>
  <c r="M17" i="44"/>
  <c r="L17" i="44"/>
  <c r="K17" i="44"/>
  <c r="J17" i="44"/>
  <c r="I17" i="44"/>
  <c r="H17" i="44"/>
  <c r="G17" i="44"/>
  <c r="F17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F56" i="44"/>
  <c r="X50" i="44"/>
  <c r="X51" i="44" s="1"/>
  <c r="X52" i="44" s="1"/>
  <c r="X53" i="44" s="1"/>
  <c r="W50" i="44"/>
  <c r="W51" i="44" s="1"/>
  <c r="W52" i="44" s="1"/>
  <c r="W53" i="44" s="1"/>
  <c r="F43" i="44"/>
  <c r="U25" i="44"/>
  <c r="U55" i="44" s="1"/>
  <c r="T25" i="44"/>
  <c r="T54" i="44" s="1"/>
  <c r="S25" i="44"/>
  <c r="S53" i="44" s="1"/>
  <c r="R25" i="44"/>
  <c r="R52" i="44" s="1"/>
  <c r="Q25" i="44"/>
  <c r="Q51" i="44" s="1"/>
  <c r="L9" i="44"/>
  <c r="L8" i="44"/>
  <c r="L7" i="44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F35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F33" i="43"/>
  <c r="F36" i="43" s="1"/>
  <c r="U19" i="43"/>
  <c r="U23" i="43" s="1"/>
  <c r="U32" i="43" s="1"/>
  <c r="T19" i="43"/>
  <c r="T23" i="43" s="1"/>
  <c r="T32" i="43" s="1"/>
  <c r="S19" i="43"/>
  <c r="S23" i="43" s="1"/>
  <c r="S32" i="43" s="1"/>
  <c r="R19" i="43"/>
  <c r="R23" i="43" s="1"/>
  <c r="R32" i="43" s="1"/>
  <c r="Q19" i="43"/>
  <c r="Q23" i="43" s="1"/>
  <c r="Q32" i="43" s="1"/>
  <c r="P19" i="43"/>
  <c r="O19" i="43"/>
  <c r="N19" i="43"/>
  <c r="M19" i="43"/>
  <c r="L19" i="43"/>
  <c r="K19" i="43"/>
  <c r="J19" i="43"/>
  <c r="I19" i="43"/>
  <c r="H19" i="43"/>
  <c r="G19" i="43"/>
  <c r="F19" i="43"/>
  <c r="U18" i="43"/>
  <c r="U22" i="43" s="1"/>
  <c r="U31" i="43" s="1"/>
  <c r="T18" i="43"/>
  <c r="T22" i="43" s="1"/>
  <c r="T31" i="43" s="1"/>
  <c r="S18" i="43"/>
  <c r="S22" i="43" s="1"/>
  <c r="S31" i="43" s="1"/>
  <c r="R18" i="43"/>
  <c r="R22" i="43" s="1"/>
  <c r="R31" i="43" s="1"/>
  <c r="Q18" i="43"/>
  <c r="Q22" i="43" s="1"/>
  <c r="Q31" i="43" s="1"/>
  <c r="P18" i="43"/>
  <c r="O18" i="43"/>
  <c r="N18" i="43"/>
  <c r="M18" i="43"/>
  <c r="L18" i="43"/>
  <c r="K18" i="43"/>
  <c r="J18" i="43"/>
  <c r="I18" i="43"/>
  <c r="H18" i="43"/>
  <c r="G18" i="43"/>
  <c r="F18" i="43"/>
  <c r="U17" i="43"/>
  <c r="U21" i="43" s="1"/>
  <c r="U30" i="43" s="1"/>
  <c r="T17" i="43"/>
  <c r="T21" i="43" s="1"/>
  <c r="S17" i="43"/>
  <c r="S21" i="43" s="1"/>
  <c r="R17" i="43"/>
  <c r="R21" i="43" s="1"/>
  <c r="R30" i="43" s="1"/>
  <c r="Q17" i="43"/>
  <c r="Q21" i="43" s="1"/>
  <c r="Q30" i="43" s="1"/>
  <c r="P17" i="43"/>
  <c r="O17" i="43"/>
  <c r="N17" i="43"/>
  <c r="M17" i="43"/>
  <c r="L17" i="43"/>
  <c r="K17" i="43"/>
  <c r="J17" i="43"/>
  <c r="I17" i="43"/>
  <c r="H17" i="43"/>
  <c r="G17" i="43"/>
  <c r="F17" i="43"/>
  <c r="F24" i="43" s="1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F56" i="43"/>
  <c r="X50" i="43"/>
  <c r="X51" i="43" s="1"/>
  <c r="X52" i="43" s="1"/>
  <c r="X53" i="43" s="1"/>
  <c r="W50" i="43"/>
  <c r="W51" i="43" s="1"/>
  <c r="W52" i="43" s="1"/>
  <c r="W53" i="43" s="1"/>
  <c r="F43" i="43"/>
  <c r="U25" i="43"/>
  <c r="U55" i="43" s="1"/>
  <c r="T25" i="43"/>
  <c r="T54" i="43" s="1"/>
  <c r="S25" i="43"/>
  <c r="S53" i="43" s="1"/>
  <c r="R25" i="43"/>
  <c r="R52" i="43" s="1"/>
  <c r="Q25" i="43"/>
  <c r="Q51" i="43" s="1"/>
  <c r="L9" i="43"/>
  <c r="L8" i="43"/>
  <c r="L7" i="43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U19" i="42"/>
  <c r="U23" i="42" s="1"/>
  <c r="U32" i="42" s="1"/>
  <c r="T19" i="42"/>
  <c r="T23" i="42" s="1"/>
  <c r="T32" i="42" s="1"/>
  <c r="S19" i="42"/>
  <c r="S23" i="42" s="1"/>
  <c r="S32" i="42" s="1"/>
  <c r="R19" i="42"/>
  <c r="R23" i="42" s="1"/>
  <c r="R32" i="42" s="1"/>
  <c r="Q19" i="42"/>
  <c r="Q23" i="42" s="1"/>
  <c r="Q32" i="42" s="1"/>
  <c r="P19" i="42"/>
  <c r="O19" i="42"/>
  <c r="N19" i="42"/>
  <c r="M19" i="42"/>
  <c r="L19" i="42"/>
  <c r="K19" i="42"/>
  <c r="J19" i="42"/>
  <c r="I19" i="42"/>
  <c r="H19" i="42"/>
  <c r="G19" i="42"/>
  <c r="F19" i="42"/>
  <c r="U18" i="42"/>
  <c r="U22" i="42" s="1"/>
  <c r="U31" i="42" s="1"/>
  <c r="T18" i="42"/>
  <c r="T22" i="42" s="1"/>
  <c r="T31" i="42" s="1"/>
  <c r="S18" i="42"/>
  <c r="S22" i="42" s="1"/>
  <c r="S31" i="42" s="1"/>
  <c r="R18" i="42"/>
  <c r="R22" i="42" s="1"/>
  <c r="R31" i="42" s="1"/>
  <c r="Q18" i="42"/>
  <c r="Q22" i="42" s="1"/>
  <c r="Q31" i="42" s="1"/>
  <c r="P18" i="42"/>
  <c r="O18" i="42"/>
  <c r="N18" i="42"/>
  <c r="M18" i="42"/>
  <c r="L18" i="42"/>
  <c r="K18" i="42"/>
  <c r="J18" i="42"/>
  <c r="I18" i="42"/>
  <c r="H18" i="42"/>
  <c r="G18" i="42"/>
  <c r="F18" i="42"/>
  <c r="U17" i="42"/>
  <c r="U21" i="42" s="1"/>
  <c r="T17" i="42"/>
  <c r="T21" i="42" s="1"/>
  <c r="T30" i="42" s="1"/>
  <c r="S17" i="42"/>
  <c r="S21" i="42" s="1"/>
  <c r="R17" i="42"/>
  <c r="R21" i="42" s="1"/>
  <c r="R30" i="42" s="1"/>
  <c r="Q17" i="42"/>
  <c r="Q21" i="42" s="1"/>
  <c r="P17" i="42"/>
  <c r="O17" i="42"/>
  <c r="N17" i="42"/>
  <c r="M17" i="42"/>
  <c r="L17" i="42"/>
  <c r="K17" i="42"/>
  <c r="J17" i="42"/>
  <c r="I17" i="42"/>
  <c r="H17" i="42"/>
  <c r="G17" i="42"/>
  <c r="F17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F56" i="42"/>
  <c r="X50" i="42"/>
  <c r="X51" i="42" s="1"/>
  <c r="X52" i="42" s="1"/>
  <c r="X53" i="42" s="1"/>
  <c r="W50" i="42"/>
  <c r="W51" i="42" s="1"/>
  <c r="W52" i="42" s="1"/>
  <c r="W53" i="42" s="1"/>
  <c r="F43" i="42"/>
  <c r="U25" i="42"/>
  <c r="U55" i="42" s="1"/>
  <c r="T25" i="42"/>
  <c r="T54" i="42" s="1"/>
  <c r="S25" i="42"/>
  <c r="S53" i="42" s="1"/>
  <c r="R25" i="42"/>
  <c r="R52" i="42" s="1"/>
  <c r="Q25" i="42"/>
  <c r="Q51" i="42" s="1"/>
  <c r="L9" i="42"/>
  <c r="L8" i="42"/>
  <c r="L7" i="42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F36" i="41" s="1"/>
  <c r="U19" i="41"/>
  <c r="U23" i="41" s="1"/>
  <c r="U32" i="41" s="1"/>
  <c r="T19" i="41"/>
  <c r="T23" i="41" s="1"/>
  <c r="T32" i="41" s="1"/>
  <c r="S19" i="41"/>
  <c r="S23" i="41" s="1"/>
  <c r="S32" i="41" s="1"/>
  <c r="R19" i="41"/>
  <c r="R23" i="41" s="1"/>
  <c r="R32" i="41" s="1"/>
  <c r="Q19" i="41"/>
  <c r="Q23" i="41" s="1"/>
  <c r="Q32" i="41" s="1"/>
  <c r="P19" i="41"/>
  <c r="O19" i="41"/>
  <c r="N19" i="41"/>
  <c r="M19" i="41"/>
  <c r="L19" i="41"/>
  <c r="K19" i="41"/>
  <c r="J19" i="41"/>
  <c r="I19" i="41"/>
  <c r="H19" i="41"/>
  <c r="G19" i="41"/>
  <c r="F19" i="41"/>
  <c r="U18" i="41"/>
  <c r="U22" i="41" s="1"/>
  <c r="U31" i="41" s="1"/>
  <c r="T18" i="41"/>
  <c r="T22" i="41" s="1"/>
  <c r="T31" i="41" s="1"/>
  <c r="S18" i="41"/>
  <c r="S22" i="41" s="1"/>
  <c r="S31" i="41" s="1"/>
  <c r="R18" i="41"/>
  <c r="R22" i="41" s="1"/>
  <c r="R31" i="41" s="1"/>
  <c r="Q18" i="41"/>
  <c r="Q22" i="41" s="1"/>
  <c r="Q31" i="41" s="1"/>
  <c r="P18" i="41"/>
  <c r="O18" i="41"/>
  <c r="N18" i="41"/>
  <c r="M18" i="41"/>
  <c r="L18" i="41"/>
  <c r="K18" i="41"/>
  <c r="J18" i="41"/>
  <c r="I18" i="41"/>
  <c r="H18" i="41"/>
  <c r="G18" i="41"/>
  <c r="F18" i="41"/>
  <c r="U17" i="41"/>
  <c r="U21" i="41" s="1"/>
  <c r="U30" i="41" s="1"/>
  <c r="T17" i="41"/>
  <c r="T21" i="41" s="1"/>
  <c r="T30" i="41" s="1"/>
  <c r="S17" i="41"/>
  <c r="S21" i="41" s="1"/>
  <c r="R17" i="41"/>
  <c r="R21" i="41" s="1"/>
  <c r="R30" i="41" s="1"/>
  <c r="Q17" i="41"/>
  <c r="Q21" i="41" s="1"/>
  <c r="Q30" i="41" s="1"/>
  <c r="P17" i="41"/>
  <c r="O17" i="41"/>
  <c r="N17" i="41"/>
  <c r="M17" i="41"/>
  <c r="L17" i="41"/>
  <c r="K17" i="41"/>
  <c r="J17" i="41"/>
  <c r="I17" i="41"/>
  <c r="H17" i="41"/>
  <c r="G17" i="41"/>
  <c r="F17" i="41"/>
  <c r="F24" i="41" s="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F56" i="41"/>
  <c r="X50" i="41"/>
  <c r="X51" i="41" s="1"/>
  <c r="X52" i="41" s="1"/>
  <c r="X53" i="41" s="1"/>
  <c r="W50" i="41"/>
  <c r="W51" i="41" s="1"/>
  <c r="W52" i="41" s="1"/>
  <c r="W53" i="41" s="1"/>
  <c r="F43" i="41"/>
  <c r="U25" i="41"/>
  <c r="U55" i="41" s="1"/>
  <c r="T25" i="41"/>
  <c r="T54" i="41" s="1"/>
  <c r="S25" i="41"/>
  <c r="S53" i="41" s="1"/>
  <c r="R25" i="41"/>
  <c r="R52" i="41" s="1"/>
  <c r="Q25" i="41"/>
  <c r="Q51" i="41" s="1"/>
  <c r="L9" i="41"/>
  <c r="L8" i="41"/>
  <c r="L7" i="41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G33" i="40"/>
  <c r="F33" i="40"/>
  <c r="F36" i="40" s="1"/>
  <c r="U19" i="40"/>
  <c r="U23" i="40" s="1"/>
  <c r="U32" i="40" s="1"/>
  <c r="T19" i="40"/>
  <c r="T23" i="40" s="1"/>
  <c r="T32" i="40" s="1"/>
  <c r="S19" i="40"/>
  <c r="S23" i="40" s="1"/>
  <c r="S32" i="40" s="1"/>
  <c r="R19" i="40"/>
  <c r="R23" i="40" s="1"/>
  <c r="R32" i="40" s="1"/>
  <c r="Q19" i="40"/>
  <c r="Q23" i="40" s="1"/>
  <c r="Q32" i="40" s="1"/>
  <c r="P19" i="40"/>
  <c r="O19" i="40"/>
  <c r="N19" i="40"/>
  <c r="M19" i="40"/>
  <c r="L19" i="40"/>
  <c r="K19" i="40"/>
  <c r="J19" i="40"/>
  <c r="I19" i="40"/>
  <c r="H19" i="40"/>
  <c r="G19" i="40"/>
  <c r="F19" i="40"/>
  <c r="U18" i="40"/>
  <c r="U22" i="40" s="1"/>
  <c r="U31" i="40" s="1"/>
  <c r="T18" i="40"/>
  <c r="T22" i="40" s="1"/>
  <c r="T31" i="40" s="1"/>
  <c r="S18" i="40"/>
  <c r="S22" i="40" s="1"/>
  <c r="S31" i="40" s="1"/>
  <c r="R18" i="40"/>
  <c r="R22" i="40" s="1"/>
  <c r="R31" i="40" s="1"/>
  <c r="Q18" i="40"/>
  <c r="Q22" i="40" s="1"/>
  <c r="Q31" i="40" s="1"/>
  <c r="P18" i="40"/>
  <c r="O18" i="40"/>
  <c r="N18" i="40"/>
  <c r="M18" i="40"/>
  <c r="L18" i="40"/>
  <c r="K18" i="40"/>
  <c r="J18" i="40"/>
  <c r="I18" i="40"/>
  <c r="H18" i="40"/>
  <c r="G18" i="40"/>
  <c r="F18" i="40"/>
  <c r="U17" i="40"/>
  <c r="U21" i="40" s="1"/>
  <c r="U30" i="40" s="1"/>
  <c r="T17" i="40"/>
  <c r="T21" i="40" s="1"/>
  <c r="T30" i="40" s="1"/>
  <c r="S17" i="40"/>
  <c r="S21" i="40" s="1"/>
  <c r="S30" i="40" s="1"/>
  <c r="R17" i="40"/>
  <c r="R21" i="40" s="1"/>
  <c r="Q17" i="40"/>
  <c r="Q21" i="40" s="1"/>
  <c r="P17" i="40"/>
  <c r="O17" i="40"/>
  <c r="N17" i="40"/>
  <c r="M17" i="40"/>
  <c r="L17" i="40"/>
  <c r="K17" i="40"/>
  <c r="J17" i="40"/>
  <c r="I17" i="40"/>
  <c r="H17" i="40"/>
  <c r="G17" i="40"/>
  <c r="F17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F56" i="40"/>
  <c r="X50" i="40"/>
  <c r="X51" i="40" s="1"/>
  <c r="X52" i="40" s="1"/>
  <c r="X53" i="40" s="1"/>
  <c r="W50" i="40"/>
  <c r="W51" i="40" s="1"/>
  <c r="W52" i="40" s="1"/>
  <c r="W53" i="40" s="1"/>
  <c r="F43" i="40"/>
  <c r="U25" i="40"/>
  <c r="T25" i="40"/>
  <c r="T54" i="40" s="1"/>
  <c r="S25" i="40"/>
  <c r="S53" i="40" s="1"/>
  <c r="R25" i="40"/>
  <c r="R52" i="40" s="1"/>
  <c r="Q25" i="40"/>
  <c r="Q51" i="40" s="1"/>
  <c r="L9" i="40"/>
  <c r="L8" i="40"/>
  <c r="L7" i="40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J8" i="24" s="1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X50" i="24"/>
  <c r="X51" i="24" s="1"/>
  <c r="X52" i="24" s="1"/>
  <c r="X53" i="24" s="1"/>
  <c r="W50" i="24"/>
  <c r="W51" i="24" s="1"/>
  <c r="W52" i="24" s="1"/>
  <c r="W53" i="24" s="1"/>
  <c r="J70" i="44" l="1"/>
  <c r="L69" i="44"/>
  <c r="L70" i="44" s="1"/>
  <c r="H74" i="44"/>
  <c r="L72" i="44"/>
  <c r="J76" i="44"/>
  <c r="L76" i="44" s="1"/>
  <c r="H74" i="43"/>
  <c r="L69" i="43"/>
  <c r="L70" i="43" s="1"/>
  <c r="J77" i="43"/>
  <c r="J70" i="43"/>
  <c r="L72" i="43"/>
  <c r="J76" i="43"/>
  <c r="L76" i="43" s="1"/>
  <c r="H70" i="42"/>
  <c r="J74" i="42"/>
  <c r="L73" i="42"/>
  <c r="L74" i="42" s="1"/>
  <c r="L72" i="41"/>
  <c r="L76" i="41"/>
  <c r="L69" i="41"/>
  <c r="L70" i="41" s="1"/>
  <c r="J77" i="41"/>
  <c r="J70" i="41"/>
  <c r="J74" i="41"/>
  <c r="L73" i="41"/>
  <c r="L74" i="41" s="1"/>
  <c r="L73" i="40"/>
  <c r="L74" i="40" s="1"/>
  <c r="J74" i="40"/>
  <c r="L76" i="40"/>
  <c r="H77" i="40"/>
  <c r="J70" i="40"/>
  <c r="L69" i="40"/>
  <c r="L70" i="40" s="1"/>
  <c r="J9" i="43"/>
  <c r="I23" i="43" s="1"/>
  <c r="I32" i="43" s="1"/>
  <c r="J7" i="42"/>
  <c r="J72" i="24"/>
  <c r="L72" i="24" s="1"/>
  <c r="H76" i="24"/>
  <c r="H73" i="24"/>
  <c r="H69" i="24"/>
  <c r="F24" i="44"/>
  <c r="J8" i="41"/>
  <c r="H22" i="41" s="1"/>
  <c r="H31" i="41" s="1"/>
  <c r="J9" i="41"/>
  <c r="I23" i="41" s="1"/>
  <c r="I32" i="41" s="1"/>
  <c r="U55" i="40"/>
  <c r="U50" i="40"/>
  <c r="F36" i="44"/>
  <c r="J8" i="43"/>
  <c r="P22" i="43" s="1"/>
  <c r="P31" i="43" s="1"/>
  <c r="J7" i="43"/>
  <c r="M21" i="43" s="1"/>
  <c r="M30" i="43" s="1"/>
  <c r="F36" i="42"/>
  <c r="F24" i="42"/>
  <c r="J7" i="44"/>
  <c r="H21" i="44" s="1"/>
  <c r="H30" i="44" s="1"/>
  <c r="U50" i="43"/>
  <c r="R51" i="43"/>
  <c r="S51" i="43"/>
  <c r="U51" i="43"/>
  <c r="U52" i="43"/>
  <c r="U53" i="43"/>
  <c r="S38" i="43"/>
  <c r="U40" i="43"/>
  <c r="R49" i="43"/>
  <c r="S50" i="43"/>
  <c r="J8" i="40"/>
  <c r="I22" i="40" s="1"/>
  <c r="I31" i="40" s="1"/>
  <c r="J8" i="42"/>
  <c r="G22" i="42" s="1"/>
  <c r="G31" i="42" s="1"/>
  <c r="J9" i="42"/>
  <c r="I23" i="42" s="1"/>
  <c r="I32" i="42" s="1"/>
  <c r="U48" i="42"/>
  <c r="T50" i="42"/>
  <c r="U51" i="42"/>
  <c r="T52" i="42"/>
  <c r="U52" i="42"/>
  <c r="S42" i="41"/>
  <c r="T42" i="41"/>
  <c r="S48" i="41"/>
  <c r="S49" i="41"/>
  <c r="U42" i="41"/>
  <c r="T49" i="41"/>
  <c r="U49" i="41"/>
  <c r="U51" i="41"/>
  <c r="U53" i="41"/>
  <c r="U54" i="41"/>
  <c r="J7" i="40"/>
  <c r="G21" i="40" s="1"/>
  <c r="G30" i="40" s="1"/>
  <c r="J9" i="40"/>
  <c r="J23" i="40" s="1"/>
  <c r="J32" i="40" s="1"/>
  <c r="U52" i="40"/>
  <c r="T53" i="40"/>
  <c r="U53" i="40"/>
  <c r="F24" i="40"/>
  <c r="U54" i="40"/>
  <c r="F24" i="24"/>
  <c r="J7" i="24"/>
  <c r="G21" i="24" s="1"/>
  <c r="R48" i="44"/>
  <c r="U49" i="44"/>
  <c r="Q50" i="44"/>
  <c r="R50" i="44"/>
  <c r="S50" i="44"/>
  <c r="S51" i="44"/>
  <c r="S52" i="44"/>
  <c r="T50" i="44"/>
  <c r="U50" i="44"/>
  <c r="R51" i="44"/>
  <c r="T51" i="44"/>
  <c r="U51" i="44"/>
  <c r="U40" i="44"/>
  <c r="T52" i="44"/>
  <c r="U48" i="44"/>
  <c r="U52" i="44"/>
  <c r="Q49" i="44"/>
  <c r="T53" i="44"/>
  <c r="R49" i="44"/>
  <c r="U53" i="44"/>
  <c r="S49" i="44"/>
  <c r="U54" i="44"/>
  <c r="T50" i="43"/>
  <c r="T39" i="43"/>
  <c r="T51" i="43"/>
  <c r="Q48" i="43"/>
  <c r="S52" i="43"/>
  <c r="S48" i="43"/>
  <c r="T52" i="43"/>
  <c r="T48" i="43"/>
  <c r="Q49" i="43"/>
  <c r="T53" i="43"/>
  <c r="S49" i="43"/>
  <c r="U54" i="43"/>
  <c r="T49" i="43"/>
  <c r="Q50" i="43"/>
  <c r="R50" i="43"/>
  <c r="R48" i="42"/>
  <c r="S48" i="42"/>
  <c r="S52" i="42"/>
  <c r="Q49" i="42"/>
  <c r="R49" i="42"/>
  <c r="T53" i="42"/>
  <c r="S49" i="42"/>
  <c r="U53" i="42"/>
  <c r="T49" i="42"/>
  <c r="U54" i="42"/>
  <c r="U49" i="42"/>
  <c r="Q50" i="42"/>
  <c r="R50" i="42"/>
  <c r="S50" i="42"/>
  <c r="U50" i="42"/>
  <c r="Q47" i="42"/>
  <c r="R51" i="42"/>
  <c r="U47" i="42"/>
  <c r="S51" i="42"/>
  <c r="Q48" i="42"/>
  <c r="T51" i="42"/>
  <c r="Q42" i="41"/>
  <c r="R42" i="41"/>
  <c r="Q50" i="41"/>
  <c r="R50" i="41"/>
  <c r="Q47" i="41"/>
  <c r="S50" i="41"/>
  <c r="R47" i="41"/>
  <c r="T50" i="41"/>
  <c r="S47" i="41"/>
  <c r="U50" i="41"/>
  <c r="T47" i="41"/>
  <c r="R51" i="41"/>
  <c r="Q48" i="41"/>
  <c r="S51" i="41"/>
  <c r="R48" i="41"/>
  <c r="T51" i="41"/>
  <c r="T48" i="41"/>
  <c r="S52" i="41"/>
  <c r="Q41" i="41"/>
  <c r="U48" i="41"/>
  <c r="T52" i="41"/>
  <c r="R41" i="41"/>
  <c r="Q49" i="41"/>
  <c r="U52" i="41"/>
  <c r="T41" i="41"/>
  <c r="R49" i="41"/>
  <c r="T53" i="41"/>
  <c r="Q50" i="40"/>
  <c r="R50" i="40"/>
  <c r="S50" i="40"/>
  <c r="T50" i="40"/>
  <c r="R51" i="40"/>
  <c r="S51" i="40"/>
  <c r="T51" i="40"/>
  <c r="U51" i="40"/>
  <c r="S52" i="40"/>
  <c r="T52" i="40"/>
  <c r="Q48" i="44"/>
  <c r="Q47" i="44"/>
  <c r="Q42" i="44"/>
  <c r="R47" i="44"/>
  <c r="S48" i="44"/>
  <c r="T49" i="44"/>
  <c r="Q41" i="44"/>
  <c r="R42" i="44"/>
  <c r="S47" i="44"/>
  <c r="T48" i="44"/>
  <c r="Q40" i="44"/>
  <c r="R41" i="44"/>
  <c r="S42" i="44"/>
  <c r="T47" i="44"/>
  <c r="Q39" i="44"/>
  <c r="R40" i="44"/>
  <c r="S41" i="44"/>
  <c r="T42" i="44"/>
  <c r="U47" i="44"/>
  <c r="Q38" i="44"/>
  <c r="R39" i="44"/>
  <c r="S40" i="44"/>
  <c r="T41" i="44"/>
  <c r="U42" i="44"/>
  <c r="R38" i="44"/>
  <c r="S39" i="44"/>
  <c r="T40" i="44"/>
  <c r="U41" i="44"/>
  <c r="S38" i="44"/>
  <c r="T39" i="44"/>
  <c r="T38" i="44"/>
  <c r="U39" i="44"/>
  <c r="Q55" i="44"/>
  <c r="R36" i="44"/>
  <c r="U38" i="44"/>
  <c r="Q54" i="44"/>
  <c r="R55" i="44"/>
  <c r="Q53" i="44"/>
  <c r="R54" i="44"/>
  <c r="S55" i="44"/>
  <c r="Q52" i="44"/>
  <c r="R53" i="44"/>
  <c r="S54" i="44"/>
  <c r="T55" i="44"/>
  <c r="S36" i="44"/>
  <c r="N21" i="44"/>
  <c r="N30" i="44" s="1"/>
  <c r="M21" i="44"/>
  <c r="M30" i="44" s="1"/>
  <c r="L21" i="44"/>
  <c r="L30" i="44" s="1"/>
  <c r="T36" i="44"/>
  <c r="G22" i="44"/>
  <c r="G31" i="44" s="1"/>
  <c r="I22" i="44"/>
  <c r="I31" i="44" s="1"/>
  <c r="P22" i="44"/>
  <c r="P31" i="44" s="1"/>
  <c r="O22" i="44"/>
  <c r="O31" i="44" s="1"/>
  <c r="N22" i="44"/>
  <c r="N31" i="44" s="1"/>
  <c r="L22" i="44"/>
  <c r="L31" i="44" s="1"/>
  <c r="M22" i="44"/>
  <c r="M31" i="44" s="1"/>
  <c r="K22" i="44"/>
  <c r="K31" i="44" s="1"/>
  <c r="J22" i="44"/>
  <c r="J31" i="44" s="1"/>
  <c r="H22" i="44"/>
  <c r="H31" i="44" s="1"/>
  <c r="U36" i="44"/>
  <c r="Q36" i="44"/>
  <c r="I23" i="44"/>
  <c r="I32" i="44" s="1"/>
  <c r="K23" i="44"/>
  <c r="K32" i="44" s="1"/>
  <c r="L23" i="44"/>
  <c r="L32" i="44" s="1"/>
  <c r="M23" i="44"/>
  <c r="M32" i="44" s="1"/>
  <c r="J23" i="44"/>
  <c r="J32" i="44" s="1"/>
  <c r="N23" i="44"/>
  <c r="N32" i="44" s="1"/>
  <c r="H23" i="44"/>
  <c r="H32" i="44" s="1"/>
  <c r="O23" i="44"/>
  <c r="O32" i="44" s="1"/>
  <c r="P23" i="44"/>
  <c r="P32" i="44" s="1"/>
  <c r="Q47" i="43"/>
  <c r="R48" i="43"/>
  <c r="Q42" i="43"/>
  <c r="R47" i="43"/>
  <c r="Q41" i="43"/>
  <c r="R42" i="43"/>
  <c r="S47" i="43"/>
  <c r="U49" i="43"/>
  <c r="Q40" i="43"/>
  <c r="R41" i="43"/>
  <c r="S42" i="43"/>
  <c r="T47" i="43"/>
  <c r="U48" i="43"/>
  <c r="Q39" i="43"/>
  <c r="R40" i="43"/>
  <c r="S41" i="43"/>
  <c r="T42" i="43"/>
  <c r="U47" i="43"/>
  <c r="Q38" i="43"/>
  <c r="R39" i="43"/>
  <c r="S40" i="43"/>
  <c r="T41" i="43"/>
  <c r="U42" i="43"/>
  <c r="R38" i="43"/>
  <c r="S39" i="43"/>
  <c r="T40" i="43"/>
  <c r="U41" i="43"/>
  <c r="T38" i="43"/>
  <c r="U39" i="43"/>
  <c r="Q55" i="43"/>
  <c r="U38" i="43"/>
  <c r="Q54" i="43"/>
  <c r="R55" i="43"/>
  <c r="S30" i="43"/>
  <c r="S36" i="43" s="1"/>
  <c r="Q53" i="43"/>
  <c r="R54" i="43"/>
  <c r="S55" i="43"/>
  <c r="T30" i="43"/>
  <c r="T36" i="43" s="1"/>
  <c r="Q52" i="43"/>
  <c r="R53" i="43"/>
  <c r="S54" i="43"/>
  <c r="T55" i="43"/>
  <c r="R36" i="43"/>
  <c r="N21" i="43"/>
  <c r="I21" i="43"/>
  <c r="G21" i="43"/>
  <c r="G30" i="43" s="1"/>
  <c r="Q36" i="43"/>
  <c r="U36" i="43"/>
  <c r="G23" i="43"/>
  <c r="G32" i="43" s="1"/>
  <c r="K23" i="43"/>
  <c r="K32" i="43" s="1"/>
  <c r="P23" i="43"/>
  <c r="P32" i="43" s="1"/>
  <c r="U30" i="42"/>
  <c r="U36" i="42" s="1"/>
  <c r="Q42" i="42"/>
  <c r="R47" i="42"/>
  <c r="Q41" i="42"/>
  <c r="R42" i="42"/>
  <c r="S47" i="42"/>
  <c r="T48" i="42"/>
  <c r="Q40" i="42"/>
  <c r="R41" i="42"/>
  <c r="S42" i="42"/>
  <c r="T47" i="42"/>
  <c r="Q39" i="42"/>
  <c r="R40" i="42"/>
  <c r="S41" i="42"/>
  <c r="T42" i="42"/>
  <c r="Q38" i="42"/>
  <c r="R39" i="42"/>
  <c r="S40" i="42"/>
  <c r="T41" i="42"/>
  <c r="U42" i="42"/>
  <c r="R38" i="42"/>
  <c r="S39" i="42"/>
  <c r="T40" i="42"/>
  <c r="U41" i="42"/>
  <c r="T39" i="42"/>
  <c r="U40" i="42"/>
  <c r="S38" i="42"/>
  <c r="Q30" i="42"/>
  <c r="Q36" i="42" s="1"/>
  <c r="T38" i="42"/>
  <c r="U39" i="42"/>
  <c r="Q55" i="42"/>
  <c r="U38" i="42"/>
  <c r="Q54" i="42"/>
  <c r="R55" i="42"/>
  <c r="S30" i="42"/>
  <c r="S36" i="42" s="1"/>
  <c r="Q53" i="42"/>
  <c r="R54" i="42"/>
  <c r="S55" i="42"/>
  <c r="Q52" i="42"/>
  <c r="R53" i="42"/>
  <c r="S54" i="42"/>
  <c r="T55" i="42"/>
  <c r="H21" i="42"/>
  <c r="H30" i="42" s="1"/>
  <c r="P21" i="42"/>
  <c r="O21" i="42"/>
  <c r="J21" i="42"/>
  <c r="N21" i="42"/>
  <c r="M21" i="42"/>
  <c r="L21" i="42"/>
  <c r="L30" i="42" s="1"/>
  <c r="K21" i="42"/>
  <c r="K30" i="42" s="1"/>
  <c r="I21" i="42"/>
  <c r="I30" i="42" s="1"/>
  <c r="G21" i="42"/>
  <c r="G30" i="42" s="1"/>
  <c r="R36" i="42"/>
  <c r="T36" i="42"/>
  <c r="Q40" i="41"/>
  <c r="Q39" i="41"/>
  <c r="R40" i="41"/>
  <c r="S41" i="41"/>
  <c r="U47" i="41"/>
  <c r="R39" i="41"/>
  <c r="S40" i="41"/>
  <c r="R38" i="41"/>
  <c r="S39" i="41"/>
  <c r="T40" i="41"/>
  <c r="U41" i="41"/>
  <c r="S38" i="41"/>
  <c r="T39" i="41"/>
  <c r="U40" i="41"/>
  <c r="T38" i="41"/>
  <c r="U39" i="41"/>
  <c r="Q55" i="41"/>
  <c r="J7" i="41"/>
  <c r="O21" i="41" s="1"/>
  <c r="O30" i="41" s="1"/>
  <c r="Q38" i="41"/>
  <c r="U38" i="41"/>
  <c r="Q54" i="41"/>
  <c r="R55" i="41"/>
  <c r="S30" i="41"/>
  <c r="S36" i="41" s="1"/>
  <c r="Q53" i="41"/>
  <c r="R54" i="41"/>
  <c r="S55" i="41"/>
  <c r="Q52" i="41"/>
  <c r="R53" i="41"/>
  <c r="S54" i="41"/>
  <c r="T55" i="41"/>
  <c r="R36" i="41"/>
  <c r="Q36" i="41"/>
  <c r="U36" i="41"/>
  <c r="T36" i="41"/>
  <c r="Q49" i="40"/>
  <c r="R49" i="40"/>
  <c r="Q41" i="40"/>
  <c r="R42" i="40"/>
  <c r="S47" i="40"/>
  <c r="T48" i="40"/>
  <c r="U49" i="40"/>
  <c r="S49" i="40"/>
  <c r="T49" i="40"/>
  <c r="Q40" i="40"/>
  <c r="R41" i="40"/>
  <c r="S42" i="40"/>
  <c r="T47" i="40"/>
  <c r="U48" i="40"/>
  <c r="R48" i="40"/>
  <c r="Q39" i="40"/>
  <c r="R40" i="40"/>
  <c r="S41" i="40"/>
  <c r="T42" i="40"/>
  <c r="U47" i="40"/>
  <c r="Q42" i="40"/>
  <c r="Q38" i="40"/>
  <c r="R39" i="40"/>
  <c r="S40" i="40"/>
  <c r="T41" i="40"/>
  <c r="U42" i="40"/>
  <c r="Q47" i="40"/>
  <c r="R47" i="40"/>
  <c r="R38" i="40"/>
  <c r="S39" i="40"/>
  <c r="T40" i="40"/>
  <c r="U41" i="40"/>
  <c r="S38" i="40"/>
  <c r="T39" i="40"/>
  <c r="U40" i="40"/>
  <c r="Q30" i="40"/>
  <c r="Q36" i="40" s="1"/>
  <c r="T38" i="40"/>
  <c r="U39" i="40"/>
  <c r="Q55" i="40"/>
  <c r="U38" i="40"/>
  <c r="Q54" i="40"/>
  <c r="R55" i="40"/>
  <c r="R30" i="40"/>
  <c r="R36" i="40" s="1"/>
  <c r="S55" i="40"/>
  <c r="S48" i="40"/>
  <c r="Q53" i="40"/>
  <c r="R54" i="40"/>
  <c r="Q52" i="40"/>
  <c r="R53" i="40"/>
  <c r="S54" i="40"/>
  <c r="T55" i="40"/>
  <c r="Q48" i="40"/>
  <c r="S36" i="40"/>
  <c r="T36" i="40"/>
  <c r="U36" i="40"/>
  <c r="F36" i="24"/>
  <c r="F56" i="24"/>
  <c r="F43" i="24"/>
  <c r="Q25" i="24"/>
  <c r="R25" i="24"/>
  <c r="S25" i="24"/>
  <c r="T25" i="24"/>
  <c r="U25" i="24"/>
  <c r="L8" i="24"/>
  <c r="L9" i="24"/>
  <c r="Q22" i="24"/>
  <c r="Q31" i="24" s="1"/>
  <c r="R22" i="24"/>
  <c r="R31" i="24" s="1"/>
  <c r="S22" i="24"/>
  <c r="S31" i="24" s="1"/>
  <c r="T22" i="24"/>
  <c r="T31" i="24" s="1"/>
  <c r="U22" i="24"/>
  <c r="U31" i="24" s="1"/>
  <c r="Q23" i="24"/>
  <c r="Q32" i="24" s="1"/>
  <c r="R23" i="24"/>
  <c r="R32" i="24" s="1"/>
  <c r="S23" i="24"/>
  <c r="S32" i="24" s="1"/>
  <c r="T23" i="24"/>
  <c r="T32" i="24" s="1"/>
  <c r="U23" i="24"/>
  <c r="U32" i="24" s="1"/>
  <c r="Q21" i="24"/>
  <c r="Q30" i="24" s="1"/>
  <c r="R21" i="24"/>
  <c r="R30" i="24" s="1"/>
  <c r="S21" i="24"/>
  <c r="S30" i="24" s="1"/>
  <c r="T21" i="24"/>
  <c r="T30" i="24" s="1"/>
  <c r="U21" i="24"/>
  <c r="U30" i="24" s="1"/>
  <c r="L73" i="44" l="1"/>
  <c r="L74" i="44" s="1"/>
  <c r="J74" i="44"/>
  <c r="J77" i="44"/>
  <c r="J78" i="43"/>
  <c r="L77" i="43"/>
  <c r="L78" i="43" s="1"/>
  <c r="L73" i="43"/>
  <c r="L74" i="43" s="1"/>
  <c r="J74" i="43"/>
  <c r="L69" i="42"/>
  <c r="L70" i="42" s="1"/>
  <c r="J77" i="42"/>
  <c r="J70" i="42"/>
  <c r="J78" i="41"/>
  <c r="L77" i="41"/>
  <c r="L78" i="41" s="1"/>
  <c r="H78" i="40"/>
  <c r="O21" i="43"/>
  <c r="O30" i="43" s="1"/>
  <c r="P21" i="43"/>
  <c r="P30" i="43" s="1"/>
  <c r="O23" i="43"/>
  <c r="O32" i="43" s="1"/>
  <c r="N23" i="43"/>
  <c r="N32" i="43" s="1"/>
  <c r="M23" i="43"/>
  <c r="M32" i="43" s="1"/>
  <c r="L23" i="43"/>
  <c r="L32" i="43" s="1"/>
  <c r="J23" i="43"/>
  <c r="J32" i="43" s="1"/>
  <c r="H23" i="43"/>
  <c r="H32" i="43" s="1"/>
  <c r="G22" i="43"/>
  <c r="G31" i="43" s="1"/>
  <c r="G36" i="43" s="1"/>
  <c r="J22" i="43"/>
  <c r="J31" i="43" s="1"/>
  <c r="I22" i="43"/>
  <c r="I31" i="43" s="1"/>
  <c r="K22" i="43"/>
  <c r="K31" i="43" s="1"/>
  <c r="L23" i="42"/>
  <c r="L32" i="42" s="1"/>
  <c r="L22" i="42"/>
  <c r="L31" i="42" s="1"/>
  <c r="M22" i="42"/>
  <c r="M31" i="42" s="1"/>
  <c r="K22" i="42"/>
  <c r="K31" i="42" s="1"/>
  <c r="N22" i="42"/>
  <c r="N31" i="42" s="1"/>
  <c r="O22" i="42"/>
  <c r="O31" i="42" s="1"/>
  <c r="J22" i="42"/>
  <c r="J31" i="42" s="1"/>
  <c r="P22" i="42"/>
  <c r="P31" i="42" s="1"/>
  <c r="J22" i="41"/>
  <c r="J31" i="41" s="1"/>
  <c r="L22" i="41"/>
  <c r="L31" i="41" s="1"/>
  <c r="P22" i="41"/>
  <c r="P31" i="41" s="1"/>
  <c r="M23" i="41"/>
  <c r="M32" i="41" s="1"/>
  <c r="K22" i="41"/>
  <c r="K31" i="41" s="1"/>
  <c r="G22" i="41"/>
  <c r="G31" i="41" s="1"/>
  <c r="N23" i="41"/>
  <c r="N32" i="41" s="1"/>
  <c r="P23" i="41"/>
  <c r="P32" i="41" s="1"/>
  <c r="M22" i="41"/>
  <c r="M31" i="41" s="1"/>
  <c r="O23" i="41"/>
  <c r="O32" i="41" s="1"/>
  <c r="N22" i="41"/>
  <c r="N31" i="41" s="1"/>
  <c r="K23" i="41"/>
  <c r="K32" i="41" s="1"/>
  <c r="O22" i="41"/>
  <c r="O31" i="41" s="1"/>
  <c r="O36" i="41" s="1"/>
  <c r="G23" i="41"/>
  <c r="G32" i="41" s="1"/>
  <c r="L23" i="41"/>
  <c r="L32" i="41" s="1"/>
  <c r="H23" i="41"/>
  <c r="H32" i="41" s="1"/>
  <c r="J23" i="41"/>
  <c r="J32" i="41" s="1"/>
  <c r="I22" i="41"/>
  <c r="I31" i="41" s="1"/>
  <c r="O23" i="40"/>
  <c r="O32" i="40" s="1"/>
  <c r="K23" i="40"/>
  <c r="K32" i="40" s="1"/>
  <c r="L21" i="40"/>
  <c r="L30" i="40" s="1"/>
  <c r="M21" i="40"/>
  <c r="M30" i="40" s="1"/>
  <c r="N21" i="40"/>
  <c r="N30" i="40" s="1"/>
  <c r="P23" i="40"/>
  <c r="P32" i="40" s="1"/>
  <c r="J21" i="40"/>
  <c r="J30" i="40" s="1"/>
  <c r="O21" i="40"/>
  <c r="O30" i="40" s="1"/>
  <c r="O36" i="40" s="1"/>
  <c r="K22" i="40"/>
  <c r="K31" i="40" s="1"/>
  <c r="K21" i="40"/>
  <c r="K30" i="40" s="1"/>
  <c r="K36" i="40" s="1"/>
  <c r="L22" i="40"/>
  <c r="L31" i="40" s="1"/>
  <c r="P21" i="40"/>
  <c r="P30" i="40" s="1"/>
  <c r="P36" i="40" s="1"/>
  <c r="N22" i="40"/>
  <c r="N31" i="40" s="1"/>
  <c r="H70" i="24"/>
  <c r="J69" i="24"/>
  <c r="J73" i="24"/>
  <c r="H74" i="24"/>
  <c r="J76" i="24"/>
  <c r="L76" i="24" s="1"/>
  <c r="H77" i="24"/>
  <c r="O21" i="44"/>
  <c r="O30" i="44" s="1"/>
  <c r="K21" i="44"/>
  <c r="K30" i="44" s="1"/>
  <c r="K36" i="44" s="1"/>
  <c r="I21" i="44"/>
  <c r="I30" i="44" s="1"/>
  <c r="I36" i="44" s="1"/>
  <c r="J21" i="44"/>
  <c r="J30" i="44" s="1"/>
  <c r="J36" i="44" s="1"/>
  <c r="L22" i="43"/>
  <c r="L31" i="43" s="1"/>
  <c r="M22" i="43"/>
  <c r="M31" i="43" s="1"/>
  <c r="M36" i="43" s="1"/>
  <c r="N22" i="43"/>
  <c r="N31" i="43" s="1"/>
  <c r="J21" i="43"/>
  <c r="J30" i="43" s="1"/>
  <c r="H22" i="43"/>
  <c r="H31" i="43" s="1"/>
  <c r="H21" i="43"/>
  <c r="O22" i="43"/>
  <c r="O31" i="43" s="1"/>
  <c r="O36" i="43" s="1"/>
  <c r="K21" i="43"/>
  <c r="K30" i="43" s="1"/>
  <c r="L21" i="43"/>
  <c r="L30" i="43" s="1"/>
  <c r="J23" i="42"/>
  <c r="J32" i="42" s="1"/>
  <c r="N23" i="42"/>
  <c r="N32" i="42" s="1"/>
  <c r="K23" i="42"/>
  <c r="K32" i="42" s="1"/>
  <c r="K36" i="42" s="1"/>
  <c r="O23" i="42"/>
  <c r="O32" i="42" s="1"/>
  <c r="M23" i="42"/>
  <c r="M32" i="42" s="1"/>
  <c r="P23" i="42"/>
  <c r="P32" i="42" s="1"/>
  <c r="P21" i="41"/>
  <c r="P30" i="41" s="1"/>
  <c r="P36" i="41" s="1"/>
  <c r="K21" i="41"/>
  <c r="J22" i="40"/>
  <c r="J31" i="40" s="1"/>
  <c r="J36" i="40" s="1"/>
  <c r="N23" i="40"/>
  <c r="N32" i="40" s="1"/>
  <c r="M22" i="40"/>
  <c r="M31" i="40" s="1"/>
  <c r="M36" i="40" s="1"/>
  <c r="M23" i="40"/>
  <c r="M32" i="40" s="1"/>
  <c r="O22" i="40"/>
  <c r="O31" i="40" s="1"/>
  <c r="L23" i="40"/>
  <c r="L32" i="40" s="1"/>
  <c r="P22" i="40"/>
  <c r="P31" i="40" s="1"/>
  <c r="P21" i="44"/>
  <c r="P30" i="44" s="1"/>
  <c r="P36" i="44" s="1"/>
  <c r="I21" i="41"/>
  <c r="I30" i="41" s="1"/>
  <c r="I36" i="41" s="1"/>
  <c r="J21" i="41"/>
  <c r="J30" i="41" s="1"/>
  <c r="J36" i="41" s="1"/>
  <c r="G21" i="44"/>
  <c r="G30" i="44" s="1"/>
  <c r="G36" i="44" s="1"/>
  <c r="T43" i="43"/>
  <c r="H23" i="40"/>
  <c r="H32" i="40" s="1"/>
  <c r="G23" i="40"/>
  <c r="G32" i="40" s="1"/>
  <c r="H22" i="40"/>
  <c r="H31" i="40" s="1"/>
  <c r="I21" i="40"/>
  <c r="I30" i="40" s="1"/>
  <c r="H21" i="40"/>
  <c r="H30" i="40" s="1"/>
  <c r="G22" i="40"/>
  <c r="G31" i="40" s="1"/>
  <c r="I23" i="40"/>
  <c r="I32" i="40" s="1"/>
  <c r="H22" i="42"/>
  <c r="H31" i="42" s="1"/>
  <c r="G23" i="42"/>
  <c r="G32" i="42" s="1"/>
  <c r="G36" i="42" s="1"/>
  <c r="H23" i="42"/>
  <c r="H32" i="42" s="1"/>
  <c r="I22" i="42"/>
  <c r="I31" i="42" s="1"/>
  <c r="I36" i="42" s="1"/>
  <c r="T56" i="43"/>
  <c r="U43" i="43"/>
  <c r="T56" i="40"/>
  <c r="Q56" i="42"/>
  <c r="S56" i="42"/>
  <c r="R56" i="42"/>
  <c r="S56" i="41"/>
  <c r="H21" i="41"/>
  <c r="H30" i="41" s="1"/>
  <c r="S43" i="41"/>
  <c r="R43" i="41"/>
  <c r="U56" i="41"/>
  <c r="V55" i="41" s="1"/>
  <c r="Q43" i="41"/>
  <c r="S43" i="40"/>
  <c r="R43" i="40"/>
  <c r="S56" i="44"/>
  <c r="R56" i="44"/>
  <c r="U56" i="44"/>
  <c r="V49" i="44" s="1"/>
  <c r="Q56" i="44"/>
  <c r="T43" i="44"/>
  <c r="T56" i="44"/>
  <c r="S43" i="44"/>
  <c r="U43" i="44"/>
  <c r="R43" i="43"/>
  <c r="U56" i="43"/>
  <c r="V52" i="43" s="1"/>
  <c r="R56" i="43"/>
  <c r="Q56" i="43"/>
  <c r="S56" i="43"/>
  <c r="U43" i="42"/>
  <c r="T43" i="42"/>
  <c r="T56" i="42"/>
  <c r="T56" i="41"/>
  <c r="R56" i="41"/>
  <c r="Q56" i="41"/>
  <c r="S56" i="40"/>
  <c r="R56" i="40"/>
  <c r="R43" i="44"/>
  <c r="L36" i="44"/>
  <c r="Q43" i="44"/>
  <c r="M36" i="44"/>
  <c r="N36" i="44"/>
  <c r="O36" i="44"/>
  <c r="H36" i="44"/>
  <c r="N30" i="43"/>
  <c r="N36" i="43" s="1"/>
  <c r="Q43" i="43"/>
  <c r="H30" i="43"/>
  <c r="I30" i="43"/>
  <c r="G25" i="43"/>
  <c r="P36" i="43"/>
  <c r="S43" i="43"/>
  <c r="G24" i="43"/>
  <c r="H24" i="43" s="1"/>
  <c r="I24" i="43" s="1"/>
  <c r="J24" i="43" s="1"/>
  <c r="K24" i="43" s="1"/>
  <c r="O30" i="42"/>
  <c r="P30" i="42"/>
  <c r="M30" i="42"/>
  <c r="Q43" i="42"/>
  <c r="S43" i="42"/>
  <c r="R43" i="42"/>
  <c r="N30" i="42"/>
  <c r="J30" i="42"/>
  <c r="J36" i="42" s="1"/>
  <c r="U56" i="42"/>
  <c r="V53" i="42" s="1"/>
  <c r="L36" i="42"/>
  <c r="K30" i="41"/>
  <c r="G21" i="41"/>
  <c r="G30" i="41" s="1"/>
  <c r="L21" i="41"/>
  <c r="M21" i="41"/>
  <c r="M30" i="41" s="1"/>
  <c r="M36" i="41" s="1"/>
  <c r="N21" i="41"/>
  <c r="N30" i="41" s="1"/>
  <c r="N36" i="41" s="1"/>
  <c r="T43" i="41"/>
  <c r="U43" i="41"/>
  <c r="U43" i="40"/>
  <c r="Q43" i="40"/>
  <c r="Q56" i="40"/>
  <c r="T43" i="40"/>
  <c r="U56" i="40"/>
  <c r="U55" i="24"/>
  <c r="U51" i="24"/>
  <c r="U52" i="24"/>
  <c r="U53" i="24"/>
  <c r="U38" i="24"/>
  <c r="U41" i="24"/>
  <c r="U42" i="24"/>
  <c r="U39" i="24"/>
  <c r="U40" i="24"/>
  <c r="U47" i="24"/>
  <c r="U48" i="24"/>
  <c r="U49" i="24"/>
  <c r="U50" i="24"/>
  <c r="U54" i="24"/>
  <c r="T55" i="24"/>
  <c r="T51" i="24"/>
  <c r="T49" i="24"/>
  <c r="T54" i="24"/>
  <c r="T39" i="24"/>
  <c r="T42" i="24"/>
  <c r="T47" i="24"/>
  <c r="T48" i="24"/>
  <c r="T52" i="24"/>
  <c r="T53" i="24"/>
  <c r="T38" i="24"/>
  <c r="T40" i="24"/>
  <c r="T41" i="24"/>
  <c r="T50" i="24"/>
  <c r="S54" i="24"/>
  <c r="S51" i="24"/>
  <c r="S52" i="24"/>
  <c r="S55" i="24"/>
  <c r="S50" i="24"/>
  <c r="S39" i="24"/>
  <c r="S40" i="24"/>
  <c r="S48" i="24"/>
  <c r="S49" i="24"/>
  <c r="S38" i="24"/>
  <c r="S41" i="24"/>
  <c r="S42" i="24"/>
  <c r="S47" i="24"/>
  <c r="S53" i="24"/>
  <c r="R53" i="24"/>
  <c r="R47" i="24"/>
  <c r="R49" i="24"/>
  <c r="R52" i="24"/>
  <c r="R54" i="24"/>
  <c r="R48" i="24"/>
  <c r="R51" i="24"/>
  <c r="R55" i="24"/>
  <c r="R40" i="24"/>
  <c r="R41" i="24"/>
  <c r="R42" i="24"/>
  <c r="R38" i="24"/>
  <c r="R39" i="24"/>
  <c r="R50" i="24"/>
  <c r="Q52" i="24"/>
  <c r="Q47" i="24"/>
  <c r="Q53" i="24"/>
  <c r="Q49" i="24"/>
  <c r="Q51" i="24"/>
  <c r="Q54" i="24"/>
  <c r="Q38" i="24"/>
  <c r="Q48" i="24"/>
  <c r="Q55" i="24"/>
  <c r="Q39" i="24"/>
  <c r="Q40" i="24"/>
  <c r="Q41" i="24"/>
  <c r="Q42" i="24"/>
  <c r="Q50" i="24"/>
  <c r="U36" i="24"/>
  <c r="T36" i="24"/>
  <c r="S36" i="24"/>
  <c r="R36" i="24"/>
  <c r="Q36" i="24"/>
  <c r="J9" i="24"/>
  <c r="G30" i="24"/>
  <c r="L7" i="24"/>
  <c r="J78" i="44" l="1"/>
  <c r="L77" i="44"/>
  <c r="L78" i="44" s="1"/>
  <c r="J78" i="42"/>
  <c r="L77" i="42"/>
  <c r="L78" i="42" s="1"/>
  <c r="J78" i="40"/>
  <c r="L77" i="40"/>
  <c r="L78" i="40" s="1"/>
  <c r="P25" i="43"/>
  <c r="L36" i="43"/>
  <c r="K36" i="43"/>
  <c r="I36" i="43"/>
  <c r="H36" i="43"/>
  <c r="I25" i="43"/>
  <c r="J36" i="43"/>
  <c r="L24" i="43"/>
  <c r="M24" i="43" s="1"/>
  <c r="N24" i="43" s="1"/>
  <c r="O24" i="43" s="1"/>
  <c r="P24" i="43" s="1"/>
  <c r="Q24" i="43" s="1"/>
  <c r="R24" i="43" s="1"/>
  <c r="S24" i="43" s="1"/>
  <c r="T24" i="43" s="1"/>
  <c r="U24" i="43" s="1"/>
  <c r="J25" i="43"/>
  <c r="J40" i="43" s="1"/>
  <c r="K25" i="43"/>
  <c r="K41" i="43" s="1"/>
  <c r="L25" i="43"/>
  <c r="L54" i="43" s="1"/>
  <c r="M25" i="43"/>
  <c r="M38" i="43" s="1"/>
  <c r="N25" i="43"/>
  <c r="N47" i="43" s="1"/>
  <c r="O25" i="43"/>
  <c r="O53" i="43" s="1"/>
  <c r="N36" i="42"/>
  <c r="K36" i="41"/>
  <c r="H36" i="41"/>
  <c r="G36" i="41"/>
  <c r="N36" i="40"/>
  <c r="L36" i="40"/>
  <c r="G36" i="40"/>
  <c r="H36" i="40"/>
  <c r="H78" i="24"/>
  <c r="J77" i="24"/>
  <c r="J74" i="24"/>
  <c r="L73" i="24"/>
  <c r="L74" i="24" s="1"/>
  <c r="J70" i="24"/>
  <c r="L69" i="24"/>
  <c r="L70" i="24" s="1"/>
  <c r="J25" i="44"/>
  <c r="J39" i="44" s="1"/>
  <c r="K25" i="44"/>
  <c r="K48" i="44" s="1"/>
  <c r="H25" i="44"/>
  <c r="M25" i="44"/>
  <c r="G25" i="44"/>
  <c r="G53" i="44" s="1"/>
  <c r="G24" i="44"/>
  <c r="H24" i="44" s="1"/>
  <c r="I24" i="44" s="1"/>
  <c r="J24" i="44" s="1"/>
  <c r="K24" i="44" s="1"/>
  <c r="L24" i="44" s="1"/>
  <c r="M24" i="44" s="1"/>
  <c r="N24" i="44" s="1"/>
  <c r="O24" i="44" s="1"/>
  <c r="P24" i="44" s="1"/>
  <c r="Q24" i="44" s="1"/>
  <c r="R24" i="44" s="1"/>
  <c r="S24" i="44" s="1"/>
  <c r="T24" i="44" s="1"/>
  <c r="U24" i="44" s="1"/>
  <c r="L25" i="44"/>
  <c r="L38" i="44" s="1"/>
  <c r="N25" i="44"/>
  <c r="N52" i="44" s="1"/>
  <c r="I25" i="44"/>
  <c r="I49" i="44" s="1"/>
  <c r="O25" i="44"/>
  <c r="O38" i="44" s="1"/>
  <c r="H25" i="43"/>
  <c r="H42" i="43" s="1"/>
  <c r="V53" i="43"/>
  <c r="H36" i="42"/>
  <c r="O25" i="42"/>
  <c r="O42" i="42" s="1"/>
  <c r="M36" i="42"/>
  <c r="P36" i="42"/>
  <c r="O36" i="42"/>
  <c r="N25" i="41"/>
  <c r="O25" i="41"/>
  <c r="P25" i="41"/>
  <c r="G24" i="40"/>
  <c r="H24" i="40" s="1"/>
  <c r="I24" i="40" s="1"/>
  <c r="J24" i="40" s="1"/>
  <c r="K24" i="40" s="1"/>
  <c r="L24" i="40" s="1"/>
  <c r="M24" i="40" s="1"/>
  <c r="N24" i="40" s="1"/>
  <c r="O24" i="40" s="1"/>
  <c r="P24" i="40" s="1"/>
  <c r="Q24" i="40" s="1"/>
  <c r="R24" i="40" s="1"/>
  <c r="S24" i="40" s="1"/>
  <c r="T24" i="40" s="1"/>
  <c r="U24" i="40" s="1"/>
  <c r="P25" i="44"/>
  <c r="P50" i="44" s="1"/>
  <c r="V55" i="43"/>
  <c r="L25" i="42"/>
  <c r="L42" i="42" s="1"/>
  <c r="G24" i="42"/>
  <c r="H24" i="42" s="1"/>
  <c r="I24" i="42" s="1"/>
  <c r="J24" i="42" s="1"/>
  <c r="K24" i="42" s="1"/>
  <c r="L24" i="42" s="1"/>
  <c r="M24" i="42" s="1"/>
  <c r="N24" i="42" s="1"/>
  <c r="O24" i="42" s="1"/>
  <c r="P24" i="42" s="1"/>
  <c r="Q24" i="42" s="1"/>
  <c r="R24" i="42" s="1"/>
  <c r="S24" i="42" s="1"/>
  <c r="T24" i="42" s="1"/>
  <c r="U24" i="42" s="1"/>
  <c r="J25" i="42"/>
  <c r="J40" i="42" s="1"/>
  <c r="P25" i="42"/>
  <c r="P54" i="42" s="1"/>
  <c r="N25" i="42"/>
  <c r="N42" i="42" s="1"/>
  <c r="K25" i="42"/>
  <c r="K53" i="42" s="1"/>
  <c r="M25" i="42"/>
  <c r="M47" i="42" s="1"/>
  <c r="L25" i="41"/>
  <c r="L40" i="41" s="1"/>
  <c r="M25" i="41"/>
  <c r="M48" i="41" s="1"/>
  <c r="J25" i="40"/>
  <c r="J49" i="40" s="1"/>
  <c r="M25" i="40"/>
  <c r="M48" i="40" s="1"/>
  <c r="O25" i="40"/>
  <c r="O55" i="40" s="1"/>
  <c r="N25" i="40"/>
  <c r="N42" i="40" s="1"/>
  <c r="P25" i="40"/>
  <c r="P40" i="40" s="1"/>
  <c r="L25" i="40"/>
  <c r="L51" i="40" s="1"/>
  <c r="I25" i="40"/>
  <c r="I42" i="40" s="1"/>
  <c r="K25" i="40"/>
  <c r="K52" i="40" s="1"/>
  <c r="V51" i="44"/>
  <c r="V52" i="44"/>
  <c r="V47" i="44"/>
  <c r="V50" i="44"/>
  <c r="V47" i="43"/>
  <c r="V51" i="43"/>
  <c r="V48" i="43"/>
  <c r="G25" i="42"/>
  <c r="G41" i="42" s="1"/>
  <c r="I25" i="42"/>
  <c r="I39" i="42" s="1"/>
  <c r="H25" i="42"/>
  <c r="H40" i="42" s="1"/>
  <c r="G25" i="40"/>
  <c r="G52" i="40" s="1"/>
  <c r="H25" i="40"/>
  <c r="H53" i="40" s="1"/>
  <c r="I36" i="40"/>
  <c r="I25" i="41"/>
  <c r="I42" i="41" s="1"/>
  <c r="V48" i="41"/>
  <c r="V53" i="41"/>
  <c r="V54" i="41"/>
  <c r="V49" i="43"/>
  <c r="V50" i="43"/>
  <c r="V53" i="44"/>
  <c r="V54" i="43"/>
  <c r="G24" i="41"/>
  <c r="H24" i="41" s="1"/>
  <c r="I24" i="41" s="1"/>
  <c r="J24" i="41" s="1"/>
  <c r="K24" i="41" s="1"/>
  <c r="L24" i="41" s="1"/>
  <c r="M24" i="41" s="1"/>
  <c r="N24" i="41" s="1"/>
  <c r="O24" i="41" s="1"/>
  <c r="P24" i="41" s="1"/>
  <c r="Q24" i="41" s="1"/>
  <c r="R24" i="41" s="1"/>
  <c r="S24" i="41" s="1"/>
  <c r="T24" i="41" s="1"/>
  <c r="U24" i="41" s="1"/>
  <c r="V47" i="41"/>
  <c r="V49" i="41"/>
  <c r="V52" i="41"/>
  <c r="V51" i="41"/>
  <c r="V50" i="41"/>
  <c r="V54" i="44"/>
  <c r="V55" i="44"/>
  <c r="V48" i="44"/>
  <c r="H25" i="41"/>
  <c r="H39" i="41" s="1"/>
  <c r="N48" i="44"/>
  <c r="N49" i="44"/>
  <c r="N47" i="44"/>
  <c r="I39" i="44"/>
  <c r="I40" i="44"/>
  <c r="I41" i="44"/>
  <c r="I42" i="44"/>
  <c r="I47" i="44"/>
  <c r="G55" i="44"/>
  <c r="G38" i="44"/>
  <c r="G39" i="44"/>
  <c r="G40" i="44"/>
  <c r="G41" i="44"/>
  <c r="G42" i="44"/>
  <c r="G47" i="44"/>
  <c r="G48" i="44"/>
  <c r="G52" i="44"/>
  <c r="G54" i="44"/>
  <c r="P40" i="44"/>
  <c r="P49" i="44"/>
  <c r="P41" i="44"/>
  <c r="P42" i="44"/>
  <c r="H38" i="44"/>
  <c r="H39" i="44"/>
  <c r="H40" i="44"/>
  <c r="H41" i="44"/>
  <c r="H42" i="44"/>
  <c r="H47" i="44"/>
  <c r="H48" i="44"/>
  <c r="H49" i="44"/>
  <c r="H50" i="44"/>
  <c r="H51" i="44"/>
  <c r="H52" i="44"/>
  <c r="H53" i="44"/>
  <c r="H54" i="44"/>
  <c r="H55" i="44"/>
  <c r="M47" i="44"/>
  <c r="M48" i="44"/>
  <c r="M49" i="44"/>
  <c r="M50" i="44"/>
  <c r="M51" i="44"/>
  <c r="M52" i="44"/>
  <c r="M42" i="44"/>
  <c r="M53" i="44"/>
  <c r="M54" i="44"/>
  <c r="M55" i="44"/>
  <c r="M39" i="44"/>
  <c r="M41" i="44"/>
  <c r="M38" i="44"/>
  <c r="M40" i="44"/>
  <c r="K50" i="43"/>
  <c r="K38" i="43"/>
  <c r="K52" i="43"/>
  <c r="K53" i="43"/>
  <c r="K54" i="43"/>
  <c r="K55" i="43"/>
  <c r="K39" i="43"/>
  <c r="K40" i="43"/>
  <c r="J50" i="43"/>
  <c r="J51" i="43"/>
  <c r="J52" i="43"/>
  <c r="J53" i="43"/>
  <c r="J54" i="43"/>
  <c r="J55" i="43"/>
  <c r="J38" i="43"/>
  <c r="P50" i="43"/>
  <c r="P51" i="43"/>
  <c r="P52" i="43"/>
  <c r="P53" i="43"/>
  <c r="P54" i="43"/>
  <c r="P55" i="43"/>
  <c r="P38" i="43"/>
  <c r="P39" i="43"/>
  <c r="P40" i="43"/>
  <c r="P41" i="43"/>
  <c r="P49" i="43"/>
  <c r="P42" i="43"/>
  <c r="P47" i="43"/>
  <c r="P48" i="43"/>
  <c r="H38" i="43"/>
  <c r="H39" i="43"/>
  <c r="H40" i="43"/>
  <c r="H41" i="43"/>
  <c r="H53" i="43"/>
  <c r="H55" i="43"/>
  <c r="I39" i="43"/>
  <c r="I40" i="43"/>
  <c r="I41" i="43"/>
  <c r="I42" i="43"/>
  <c r="I47" i="43"/>
  <c r="I48" i="43"/>
  <c r="I49" i="43"/>
  <c r="I50" i="43"/>
  <c r="I51" i="43"/>
  <c r="I52" i="43"/>
  <c r="I38" i="43"/>
  <c r="I53" i="43"/>
  <c r="I54" i="43"/>
  <c r="I55" i="43"/>
  <c r="L48" i="43"/>
  <c r="L49" i="43"/>
  <c r="L50" i="43"/>
  <c r="L51" i="43"/>
  <c r="L52" i="43"/>
  <c r="L53" i="43"/>
  <c r="M52" i="43"/>
  <c r="M53" i="43"/>
  <c r="M54" i="43"/>
  <c r="M40" i="43"/>
  <c r="M55" i="43"/>
  <c r="O52" i="43"/>
  <c r="G38" i="43"/>
  <c r="G39" i="43"/>
  <c r="G40" i="43"/>
  <c r="G41" i="43"/>
  <c r="G42" i="43"/>
  <c r="G47" i="43"/>
  <c r="G48" i="43"/>
  <c r="G49" i="43"/>
  <c r="G50" i="43"/>
  <c r="G51" i="43"/>
  <c r="G52" i="43"/>
  <c r="G53" i="43"/>
  <c r="G54" i="43"/>
  <c r="G55" i="43"/>
  <c r="G38" i="42"/>
  <c r="M54" i="42"/>
  <c r="V52" i="42"/>
  <c r="V50" i="42"/>
  <c r="V51" i="42"/>
  <c r="V55" i="42"/>
  <c r="V48" i="42"/>
  <c r="V49" i="42"/>
  <c r="V47" i="42"/>
  <c r="V54" i="42"/>
  <c r="P50" i="41"/>
  <c r="P40" i="41"/>
  <c r="P51" i="41"/>
  <c r="P52" i="41"/>
  <c r="P48" i="41"/>
  <c r="P53" i="41"/>
  <c r="P41" i="41"/>
  <c r="P54" i="41"/>
  <c r="P55" i="41"/>
  <c r="P42" i="41"/>
  <c r="P49" i="41"/>
  <c r="P39" i="41"/>
  <c r="P38" i="41"/>
  <c r="P47" i="41"/>
  <c r="L30" i="41"/>
  <c r="L36" i="41" s="1"/>
  <c r="O49" i="41"/>
  <c r="O50" i="41"/>
  <c r="O51" i="41"/>
  <c r="O52" i="41"/>
  <c r="O53" i="41"/>
  <c r="O48" i="41"/>
  <c r="O54" i="41"/>
  <c r="O55" i="41"/>
  <c r="O39" i="41"/>
  <c r="O40" i="41"/>
  <c r="O41" i="41"/>
  <c r="O38" i="41"/>
  <c r="O42" i="41"/>
  <c r="O47" i="41"/>
  <c r="G25" i="41"/>
  <c r="N48" i="41"/>
  <c r="N49" i="41"/>
  <c r="N39" i="41"/>
  <c r="N50" i="41"/>
  <c r="N51" i="41"/>
  <c r="N52" i="41"/>
  <c r="N53" i="41"/>
  <c r="N38" i="41"/>
  <c r="N41" i="41"/>
  <c r="N54" i="41"/>
  <c r="N55" i="41"/>
  <c r="N42" i="41"/>
  <c r="N40" i="41"/>
  <c r="N47" i="41"/>
  <c r="J25" i="41"/>
  <c r="K25" i="41"/>
  <c r="K41" i="40"/>
  <c r="K38" i="40"/>
  <c r="K42" i="40"/>
  <c r="K47" i="40"/>
  <c r="K48" i="40"/>
  <c r="K49" i="40"/>
  <c r="M47" i="40"/>
  <c r="P42" i="40"/>
  <c r="P48" i="40"/>
  <c r="P41" i="40"/>
  <c r="P49" i="40"/>
  <c r="P54" i="40"/>
  <c r="P55" i="40"/>
  <c r="I48" i="40"/>
  <c r="I50" i="40"/>
  <c r="I51" i="40"/>
  <c r="I54" i="40"/>
  <c r="I38" i="40"/>
  <c r="I52" i="40"/>
  <c r="I55" i="40"/>
  <c r="G41" i="40"/>
  <c r="G47" i="40"/>
  <c r="G48" i="40"/>
  <c r="G54" i="40"/>
  <c r="G49" i="40"/>
  <c r="G50" i="40"/>
  <c r="G51" i="40"/>
  <c r="G53" i="40"/>
  <c r="G55" i="40"/>
  <c r="L42" i="40"/>
  <c r="L47" i="40"/>
  <c r="L48" i="40"/>
  <c r="L38" i="40"/>
  <c r="L41" i="40"/>
  <c r="L49" i="40"/>
  <c r="L50" i="40"/>
  <c r="L54" i="40"/>
  <c r="L39" i="40"/>
  <c r="V53" i="40"/>
  <c r="V50" i="40"/>
  <c r="V48" i="40"/>
  <c r="V47" i="40"/>
  <c r="V49" i="40"/>
  <c r="V55" i="40"/>
  <c r="V51" i="40"/>
  <c r="V52" i="40"/>
  <c r="V54" i="40"/>
  <c r="U56" i="24"/>
  <c r="V53" i="24" s="1"/>
  <c r="U43" i="24"/>
  <c r="S56" i="24"/>
  <c r="Q43" i="24"/>
  <c r="R56" i="24"/>
  <c r="R43" i="24"/>
  <c r="S43" i="24"/>
  <c r="T56" i="24"/>
  <c r="T43" i="24"/>
  <c r="Q56" i="24"/>
  <c r="I23" i="24"/>
  <c r="I32" i="24" s="1"/>
  <c r="N23" i="24"/>
  <c r="N32" i="24" s="1"/>
  <c r="J23" i="24"/>
  <c r="J32" i="24" s="1"/>
  <c r="L23" i="24"/>
  <c r="L32" i="24" s="1"/>
  <c r="G23" i="24"/>
  <c r="G32" i="24" s="1"/>
  <c r="H23" i="24"/>
  <c r="H32" i="24" s="1"/>
  <c r="K23" i="24"/>
  <c r="K32" i="24" s="1"/>
  <c r="M23" i="24"/>
  <c r="M32" i="24" s="1"/>
  <c r="O23" i="24"/>
  <c r="O32" i="24" s="1"/>
  <c r="P23" i="24"/>
  <c r="P32" i="24" s="1"/>
  <c r="K21" i="24"/>
  <c r="K30" i="24" s="1"/>
  <c r="L21" i="24"/>
  <c r="L30" i="24" s="1"/>
  <c r="M21" i="24"/>
  <c r="I21" i="24"/>
  <c r="I30" i="24" s="1"/>
  <c r="H21" i="24"/>
  <c r="O21" i="24"/>
  <c r="J21" i="24"/>
  <c r="J30" i="24" s="1"/>
  <c r="N21" i="24"/>
  <c r="N30" i="24" s="1"/>
  <c r="P21" i="24"/>
  <c r="N22" i="24"/>
  <c r="N31" i="24" s="1"/>
  <c r="G22" i="24"/>
  <c r="H22" i="24"/>
  <c r="H31" i="24" s="1"/>
  <c r="I22" i="24"/>
  <c r="I31" i="24" s="1"/>
  <c r="J22" i="24"/>
  <c r="J31" i="24" s="1"/>
  <c r="M22" i="24"/>
  <c r="M31" i="24" s="1"/>
  <c r="O22" i="24"/>
  <c r="O31" i="24" s="1"/>
  <c r="P22" i="24"/>
  <c r="P31" i="24" s="1"/>
  <c r="K22" i="24"/>
  <c r="K31" i="24" s="1"/>
  <c r="L22" i="24"/>
  <c r="L31" i="24" s="1"/>
  <c r="L39" i="44" l="1"/>
  <c r="L40" i="44"/>
  <c r="J53" i="44"/>
  <c r="P47" i="44"/>
  <c r="O42" i="44"/>
  <c r="K47" i="44"/>
  <c r="K42" i="44"/>
  <c r="J38" i="44"/>
  <c r="J49" i="44"/>
  <c r="K38" i="44"/>
  <c r="K55" i="44"/>
  <c r="J48" i="44"/>
  <c r="K54" i="44"/>
  <c r="J47" i="44"/>
  <c r="K53" i="44"/>
  <c r="J42" i="44"/>
  <c r="J51" i="44"/>
  <c r="K52" i="44"/>
  <c r="J41" i="44"/>
  <c r="J52" i="44"/>
  <c r="K51" i="44"/>
  <c r="J40" i="44"/>
  <c r="K41" i="44"/>
  <c r="L55" i="44"/>
  <c r="K49" i="44"/>
  <c r="O47" i="44"/>
  <c r="L50" i="44"/>
  <c r="K40" i="44"/>
  <c r="J55" i="44"/>
  <c r="I54" i="44"/>
  <c r="J50" i="44"/>
  <c r="K50" i="44"/>
  <c r="K56" i="44" s="1"/>
  <c r="L47" i="44"/>
  <c r="K39" i="44"/>
  <c r="J54" i="44"/>
  <c r="I52" i="44"/>
  <c r="L42" i="44"/>
  <c r="I48" i="44"/>
  <c r="O51" i="43"/>
  <c r="O50" i="43"/>
  <c r="O49" i="43"/>
  <c r="N42" i="43"/>
  <c r="N41" i="43"/>
  <c r="O47" i="43"/>
  <c r="L47" i="43"/>
  <c r="N40" i="43"/>
  <c r="M50" i="43"/>
  <c r="O42" i="43"/>
  <c r="N39" i="43"/>
  <c r="N43" i="43" s="1"/>
  <c r="M49" i="43"/>
  <c r="L42" i="43"/>
  <c r="H54" i="43"/>
  <c r="K51" i="43"/>
  <c r="O40" i="43"/>
  <c r="N50" i="43"/>
  <c r="M47" i="43"/>
  <c r="H52" i="43"/>
  <c r="J49" i="43"/>
  <c r="K49" i="43"/>
  <c r="N55" i="43"/>
  <c r="O39" i="43"/>
  <c r="N49" i="43"/>
  <c r="L40" i="43"/>
  <c r="H51" i="43"/>
  <c r="J48" i="43"/>
  <c r="K48" i="43"/>
  <c r="K56" i="43" s="1"/>
  <c r="M48" i="43"/>
  <c r="M56" i="43" s="1"/>
  <c r="O38" i="43"/>
  <c r="O43" i="43" s="1"/>
  <c r="N48" i="43"/>
  <c r="N56" i="43" s="1"/>
  <c r="L38" i="43"/>
  <c r="L43" i="43" s="1"/>
  <c r="H50" i="43"/>
  <c r="J39" i="43"/>
  <c r="K47" i="43"/>
  <c r="O41" i="43"/>
  <c r="O48" i="43"/>
  <c r="M41" i="43"/>
  <c r="L55" i="43"/>
  <c r="H49" i="43"/>
  <c r="J47" i="43"/>
  <c r="K42" i="43"/>
  <c r="K43" i="43" s="1"/>
  <c r="O55" i="43"/>
  <c r="M42" i="43"/>
  <c r="L41" i="43"/>
  <c r="H48" i="43"/>
  <c r="H56" i="43" s="1"/>
  <c r="J42" i="43"/>
  <c r="J43" i="43" s="1"/>
  <c r="M51" i="43"/>
  <c r="O54" i="43"/>
  <c r="M39" i="43"/>
  <c r="L39" i="43"/>
  <c r="H47" i="43"/>
  <c r="J41" i="43"/>
  <c r="N38" i="43"/>
  <c r="N54" i="43"/>
  <c r="N53" i="43"/>
  <c r="N52" i="43"/>
  <c r="N51" i="43"/>
  <c r="K51" i="42"/>
  <c r="K52" i="42"/>
  <c r="K50" i="42"/>
  <c r="K49" i="42"/>
  <c r="K38" i="42"/>
  <c r="O40" i="42"/>
  <c r="O39" i="42"/>
  <c r="O38" i="42"/>
  <c r="O43" i="42" s="1"/>
  <c r="O55" i="42"/>
  <c r="O54" i="42"/>
  <c r="M53" i="42"/>
  <c r="M52" i="42"/>
  <c r="K40" i="42"/>
  <c r="M40" i="42"/>
  <c r="O47" i="42"/>
  <c r="K48" i="42"/>
  <c r="K39" i="42"/>
  <c r="N38" i="42"/>
  <c r="O41" i="42"/>
  <c r="K47" i="42"/>
  <c r="N53" i="42"/>
  <c r="O52" i="42"/>
  <c r="K42" i="42"/>
  <c r="N52" i="42"/>
  <c r="O51" i="42"/>
  <c r="M50" i="42"/>
  <c r="M49" i="42"/>
  <c r="K41" i="42"/>
  <c r="N51" i="42"/>
  <c r="O48" i="42"/>
  <c r="O53" i="42"/>
  <c r="M42" i="42"/>
  <c r="N47" i="42"/>
  <c r="O50" i="42"/>
  <c r="M39" i="42"/>
  <c r="N50" i="42"/>
  <c r="O49" i="42"/>
  <c r="K55" i="42"/>
  <c r="M38" i="42"/>
  <c r="N41" i="42"/>
  <c r="G40" i="42"/>
  <c r="K54" i="42"/>
  <c r="M41" i="42"/>
  <c r="N49" i="42"/>
  <c r="G39" i="42"/>
  <c r="M51" i="42"/>
  <c r="M55" i="42"/>
  <c r="G55" i="42"/>
  <c r="P53" i="40"/>
  <c r="J41" i="40"/>
  <c r="P47" i="40"/>
  <c r="P52" i="40"/>
  <c r="J42" i="40"/>
  <c r="I53" i="40"/>
  <c r="P51" i="40"/>
  <c r="H38" i="40"/>
  <c r="H39" i="40"/>
  <c r="H54" i="40"/>
  <c r="I41" i="40"/>
  <c r="H51" i="40"/>
  <c r="L55" i="40"/>
  <c r="H49" i="40"/>
  <c r="G42" i="40"/>
  <c r="I39" i="40"/>
  <c r="I43" i="40" s="1"/>
  <c r="P50" i="40"/>
  <c r="G40" i="40"/>
  <c r="H47" i="40"/>
  <c r="L53" i="40"/>
  <c r="I40" i="40"/>
  <c r="H42" i="40"/>
  <c r="K40" i="40"/>
  <c r="G39" i="40"/>
  <c r="K51" i="40"/>
  <c r="L52" i="40"/>
  <c r="H55" i="40"/>
  <c r="G38" i="40"/>
  <c r="P38" i="40"/>
  <c r="P43" i="40" s="1"/>
  <c r="K39" i="40"/>
  <c r="K43" i="40" s="1"/>
  <c r="H52" i="40"/>
  <c r="L40" i="40"/>
  <c r="L43" i="40" s="1"/>
  <c r="H41" i="40"/>
  <c r="P39" i="40"/>
  <c r="H40" i="40"/>
  <c r="K50" i="40"/>
  <c r="J78" i="24"/>
  <c r="L77" i="24"/>
  <c r="L78" i="24" s="1"/>
  <c r="P39" i="44"/>
  <c r="O55" i="44"/>
  <c r="N41" i="44"/>
  <c r="P55" i="44"/>
  <c r="O53" i="44"/>
  <c r="N42" i="44"/>
  <c r="L54" i="44"/>
  <c r="P48" i="44"/>
  <c r="O52" i="44"/>
  <c r="N40" i="44"/>
  <c r="O54" i="44"/>
  <c r="L53" i="44"/>
  <c r="P54" i="44"/>
  <c r="O51" i="44"/>
  <c r="N39" i="44"/>
  <c r="P38" i="44"/>
  <c r="P43" i="44" s="1"/>
  <c r="L52" i="44"/>
  <c r="G51" i="44"/>
  <c r="O50" i="44"/>
  <c r="N38" i="44"/>
  <c r="L51" i="44"/>
  <c r="G50" i="44"/>
  <c r="O49" i="44"/>
  <c r="N51" i="44"/>
  <c r="L41" i="44"/>
  <c r="G49" i="44"/>
  <c r="G56" i="44" s="1"/>
  <c r="I55" i="44"/>
  <c r="N50" i="44"/>
  <c r="O48" i="44"/>
  <c r="I53" i="44"/>
  <c r="P53" i="44"/>
  <c r="O41" i="44"/>
  <c r="I51" i="44"/>
  <c r="N55" i="44"/>
  <c r="L49" i="44"/>
  <c r="P52" i="44"/>
  <c r="O40" i="44"/>
  <c r="I50" i="44"/>
  <c r="N54" i="44"/>
  <c r="L48" i="44"/>
  <c r="P51" i="44"/>
  <c r="O39" i="44"/>
  <c r="I38" i="44"/>
  <c r="I43" i="44" s="1"/>
  <c r="N53" i="44"/>
  <c r="L41" i="42"/>
  <c r="P53" i="42"/>
  <c r="H54" i="42"/>
  <c r="L55" i="42"/>
  <c r="H39" i="42"/>
  <c r="L40" i="42"/>
  <c r="H55" i="42"/>
  <c r="H38" i="42"/>
  <c r="J55" i="42"/>
  <c r="J54" i="42"/>
  <c r="L53" i="42"/>
  <c r="L38" i="42"/>
  <c r="J53" i="42"/>
  <c r="L52" i="42"/>
  <c r="P52" i="42"/>
  <c r="L54" i="42"/>
  <c r="J51" i="42"/>
  <c r="L50" i="42"/>
  <c r="P51" i="42"/>
  <c r="L49" i="42"/>
  <c r="J52" i="42"/>
  <c r="J49" i="42"/>
  <c r="L48" i="42"/>
  <c r="P41" i="42"/>
  <c r="P40" i="42"/>
  <c r="P38" i="42"/>
  <c r="J48" i="42"/>
  <c r="L47" i="42"/>
  <c r="J38" i="42"/>
  <c r="L51" i="42"/>
  <c r="P49" i="42"/>
  <c r="J47" i="42"/>
  <c r="L39" i="42"/>
  <c r="P47" i="42"/>
  <c r="J50" i="42"/>
  <c r="P55" i="42"/>
  <c r="J42" i="42"/>
  <c r="J39" i="42"/>
  <c r="P42" i="42"/>
  <c r="P39" i="42"/>
  <c r="J41" i="42"/>
  <c r="P50" i="42"/>
  <c r="P48" i="42"/>
  <c r="L49" i="41"/>
  <c r="L48" i="41"/>
  <c r="L47" i="41"/>
  <c r="L41" i="41"/>
  <c r="L38" i="41"/>
  <c r="M40" i="41"/>
  <c r="I55" i="41"/>
  <c r="M41" i="41"/>
  <c r="M54" i="41"/>
  <c r="L55" i="41"/>
  <c r="M53" i="41"/>
  <c r="M52" i="41"/>
  <c r="L39" i="41"/>
  <c r="L53" i="41"/>
  <c r="M51" i="41"/>
  <c r="L52" i="41"/>
  <c r="M50" i="41"/>
  <c r="M39" i="41"/>
  <c r="L42" i="41"/>
  <c r="L51" i="41"/>
  <c r="M49" i="41"/>
  <c r="L54" i="41"/>
  <c r="L50" i="41"/>
  <c r="M42" i="41"/>
  <c r="M38" i="41"/>
  <c r="M47" i="41"/>
  <c r="M55" i="41"/>
  <c r="O53" i="40"/>
  <c r="O54" i="40"/>
  <c r="O52" i="40"/>
  <c r="N53" i="40"/>
  <c r="J48" i="40"/>
  <c r="J47" i="40"/>
  <c r="N52" i="40"/>
  <c r="M41" i="40"/>
  <c r="O41" i="40"/>
  <c r="J40" i="40"/>
  <c r="M39" i="40"/>
  <c r="M55" i="40"/>
  <c r="M54" i="40"/>
  <c r="N40" i="40"/>
  <c r="M40" i="40"/>
  <c r="O50" i="40"/>
  <c r="N41" i="40"/>
  <c r="J53" i="40"/>
  <c r="M38" i="40"/>
  <c r="O51" i="40"/>
  <c r="N49" i="40"/>
  <c r="O49" i="40"/>
  <c r="J55" i="40"/>
  <c r="O39" i="40"/>
  <c r="N38" i="40"/>
  <c r="J52" i="40"/>
  <c r="M52" i="40"/>
  <c r="M42" i="40"/>
  <c r="J38" i="40"/>
  <c r="J54" i="40"/>
  <c r="O38" i="40"/>
  <c r="N39" i="40"/>
  <c r="J51" i="40"/>
  <c r="M51" i="40"/>
  <c r="N50" i="40"/>
  <c r="O40" i="40"/>
  <c r="O47" i="40"/>
  <c r="N55" i="40"/>
  <c r="J50" i="40"/>
  <c r="M50" i="40"/>
  <c r="N48" i="40"/>
  <c r="M53" i="40"/>
  <c r="O42" i="40"/>
  <c r="N54" i="40"/>
  <c r="J39" i="40"/>
  <c r="M49" i="40"/>
  <c r="N51" i="40"/>
  <c r="N47" i="40"/>
  <c r="O48" i="40"/>
  <c r="I55" i="42"/>
  <c r="I52" i="42"/>
  <c r="I51" i="42"/>
  <c r="G54" i="42"/>
  <c r="H53" i="42"/>
  <c r="H52" i="42"/>
  <c r="I50" i="42"/>
  <c r="N48" i="42"/>
  <c r="G53" i="42"/>
  <c r="H51" i="42"/>
  <c r="I49" i="42"/>
  <c r="G52" i="42"/>
  <c r="H50" i="42"/>
  <c r="G51" i="42"/>
  <c r="I48" i="42"/>
  <c r="H49" i="42"/>
  <c r="I47" i="42"/>
  <c r="N39" i="42"/>
  <c r="G50" i="42"/>
  <c r="G49" i="42"/>
  <c r="H47" i="42"/>
  <c r="I41" i="42"/>
  <c r="M48" i="42"/>
  <c r="N40" i="42"/>
  <c r="G48" i="42"/>
  <c r="H42" i="42"/>
  <c r="I40" i="42"/>
  <c r="N55" i="42"/>
  <c r="G47" i="42"/>
  <c r="H48" i="42"/>
  <c r="H41" i="42"/>
  <c r="N54" i="42"/>
  <c r="G42" i="42"/>
  <c r="I54" i="42"/>
  <c r="I53" i="42"/>
  <c r="I42" i="42"/>
  <c r="I38" i="42"/>
  <c r="I38" i="41"/>
  <c r="I41" i="41"/>
  <c r="I40" i="41"/>
  <c r="I39" i="41"/>
  <c r="H50" i="40"/>
  <c r="I49" i="40"/>
  <c r="K55" i="40"/>
  <c r="K54" i="40"/>
  <c r="H48" i="40"/>
  <c r="I47" i="40"/>
  <c r="K53" i="40"/>
  <c r="I52" i="41"/>
  <c r="I51" i="41"/>
  <c r="I50" i="41"/>
  <c r="I49" i="41"/>
  <c r="I54" i="41"/>
  <c r="I53" i="41"/>
  <c r="I47" i="41"/>
  <c r="I48" i="41"/>
  <c r="J56" i="43"/>
  <c r="H53" i="41"/>
  <c r="H52" i="41"/>
  <c r="H50" i="41"/>
  <c r="H49" i="41"/>
  <c r="H48" i="41"/>
  <c r="H51" i="41"/>
  <c r="H54" i="41"/>
  <c r="H38" i="41"/>
  <c r="H47" i="41"/>
  <c r="H55" i="41"/>
  <c r="H42" i="41"/>
  <c r="H41" i="41"/>
  <c r="H40" i="41"/>
  <c r="O43" i="41"/>
  <c r="G43" i="43"/>
  <c r="N56" i="41"/>
  <c r="G56" i="40"/>
  <c r="G31" i="24"/>
  <c r="G36" i="24" s="1"/>
  <c r="G24" i="24"/>
  <c r="H24" i="24" s="1"/>
  <c r="I24" i="24" s="1"/>
  <c r="J24" i="24" s="1"/>
  <c r="K24" i="24" s="1"/>
  <c r="L24" i="24" s="1"/>
  <c r="M24" i="24" s="1"/>
  <c r="N24" i="24" s="1"/>
  <c r="O24" i="24" s="1"/>
  <c r="P24" i="24" s="1"/>
  <c r="H43" i="44"/>
  <c r="M43" i="44"/>
  <c r="G43" i="44"/>
  <c r="H56" i="44"/>
  <c r="M56" i="44"/>
  <c r="O56" i="43"/>
  <c r="H43" i="43"/>
  <c r="L56" i="43"/>
  <c r="G56" i="43"/>
  <c r="M43" i="43"/>
  <c r="P43" i="43"/>
  <c r="I43" i="43"/>
  <c r="I56" i="43"/>
  <c r="P56" i="43"/>
  <c r="G38" i="41"/>
  <c r="G51" i="41"/>
  <c r="G52" i="41"/>
  <c r="G39" i="41"/>
  <c r="G40" i="41"/>
  <c r="G50" i="41"/>
  <c r="G55" i="41"/>
  <c r="G41" i="41"/>
  <c r="G42" i="41"/>
  <c r="G54" i="41"/>
  <c r="G47" i="41"/>
  <c r="G48" i="41"/>
  <c r="G49" i="41"/>
  <c r="G53" i="41"/>
  <c r="K41" i="41"/>
  <c r="K42" i="41"/>
  <c r="K47" i="41"/>
  <c r="K48" i="41"/>
  <c r="K49" i="41"/>
  <c r="K38" i="41"/>
  <c r="K50" i="41"/>
  <c r="K51" i="41"/>
  <c r="K55" i="41"/>
  <c r="K52" i="41"/>
  <c r="K53" i="41"/>
  <c r="K54" i="41"/>
  <c r="K39" i="41"/>
  <c r="K40" i="41"/>
  <c r="J40" i="41"/>
  <c r="J54" i="41"/>
  <c r="J41" i="41"/>
  <c r="J42" i="41"/>
  <c r="J47" i="41"/>
  <c r="J55" i="41"/>
  <c r="J38" i="41"/>
  <c r="J48" i="41"/>
  <c r="J49" i="41"/>
  <c r="J50" i="41"/>
  <c r="J51" i="41"/>
  <c r="J52" i="41"/>
  <c r="J39" i="41"/>
  <c r="J53" i="41"/>
  <c r="P56" i="41"/>
  <c r="P43" i="41"/>
  <c r="O56" i="41"/>
  <c r="N43" i="41"/>
  <c r="P30" i="24"/>
  <c r="P36" i="24" s="1"/>
  <c r="H30" i="24"/>
  <c r="H36" i="24" s="1"/>
  <c r="O30" i="24"/>
  <c r="O36" i="24" s="1"/>
  <c r="M30" i="24"/>
  <c r="M36" i="24" s="1"/>
  <c r="I36" i="24"/>
  <c r="L36" i="24"/>
  <c r="N36" i="24"/>
  <c r="K36" i="24"/>
  <c r="J36" i="24"/>
  <c r="V54" i="24"/>
  <c r="V50" i="24"/>
  <c r="V49" i="24"/>
  <c r="V48" i="24"/>
  <c r="V55" i="24"/>
  <c r="V51" i="24"/>
  <c r="V52" i="24"/>
  <c r="V47" i="24"/>
  <c r="G25" i="24"/>
  <c r="H25" i="24"/>
  <c r="I25" i="24"/>
  <c r="J25" i="24"/>
  <c r="K25" i="24"/>
  <c r="L25" i="24"/>
  <c r="M25" i="24"/>
  <c r="N25" i="24"/>
  <c r="O25" i="24"/>
  <c r="P25" i="24"/>
  <c r="N43" i="44" l="1"/>
  <c r="L43" i="44"/>
  <c r="I56" i="44"/>
  <c r="J43" i="44"/>
  <c r="N56" i="44"/>
  <c r="K43" i="44"/>
  <c r="J56" i="44"/>
  <c r="O56" i="44"/>
  <c r="K56" i="42"/>
  <c r="O56" i="42"/>
  <c r="M43" i="42"/>
  <c r="K43" i="42"/>
  <c r="G43" i="42"/>
  <c r="M56" i="42"/>
  <c r="J43" i="42"/>
  <c r="L43" i="42"/>
  <c r="N43" i="42"/>
  <c r="M56" i="41"/>
  <c r="L43" i="41"/>
  <c r="L56" i="40"/>
  <c r="H43" i="40"/>
  <c r="G43" i="40"/>
  <c r="P56" i="40"/>
  <c r="I56" i="40"/>
  <c r="N43" i="40"/>
  <c r="H56" i="40"/>
  <c r="N56" i="40"/>
  <c r="J43" i="40"/>
  <c r="L56" i="44"/>
  <c r="O43" i="44"/>
  <c r="P56" i="44"/>
  <c r="I56" i="42"/>
  <c r="L56" i="42"/>
  <c r="H56" i="42"/>
  <c r="P43" i="42"/>
  <c r="N56" i="42"/>
  <c r="H43" i="42"/>
  <c r="I43" i="42"/>
  <c r="P56" i="42"/>
  <c r="J56" i="42"/>
  <c r="G56" i="42"/>
  <c r="L56" i="41"/>
  <c r="I43" i="41"/>
  <c r="M43" i="41"/>
  <c r="I56" i="41"/>
  <c r="O43" i="40"/>
  <c r="M56" i="40"/>
  <c r="O56" i="40"/>
  <c r="M43" i="40"/>
  <c r="K56" i="40"/>
  <c r="J56" i="40"/>
  <c r="H56" i="41"/>
  <c r="H43" i="41"/>
  <c r="K43" i="41"/>
  <c r="K56" i="41"/>
  <c r="J56" i="41"/>
  <c r="J43" i="41"/>
  <c r="G43" i="41"/>
  <c r="G56" i="41"/>
  <c r="N49" i="24"/>
  <c r="N41" i="24"/>
  <c r="N48" i="24"/>
  <c r="N50" i="24"/>
  <c r="N39" i="24"/>
  <c r="N40" i="24"/>
  <c r="N42" i="24"/>
  <c r="N47" i="24"/>
  <c r="N51" i="24"/>
  <c r="N54" i="24"/>
  <c r="N55" i="24"/>
  <c r="N52" i="24"/>
  <c r="N53" i="24"/>
  <c r="N38" i="24"/>
  <c r="M48" i="24"/>
  <c r="M39" i="24"/>
  <c r="M41" i="24"/>
  <c r="M42" i="24"/>
  <c r="M49" i="24"/>
  <c r="M50" i="24"/>
  <c r="M52" i="24"/>
  <c r="M55" i="24"/>
  <c r="M40" i="24"/>
  <c r="M51" i="24"/>
  <c r="M53" i="24"/>
  <c r="M54" i="24"/>
  <c r="M38" i="24"/>
  <c r="M47" i="24"/>
  <c r="J41" i="24"/>
  <c r="J39" i="24"/>
  <c r="J40" i="24"/>
  <c r="J42" i="24"/>
  <c r="J47" i="24"/>
  <c r="J50" i="24"/>
  <c r="J51" i="24"/>
  <c r="J55" i="24"/>
  <c r="J38" i="24"/>
  <c r="J48" i="24"/>
  <c r="J49" i="24"/>
  <c r="J52" i="24"/>
  <c r="J53" i="24"/>
  <c r="J54" i="24"/>
  <c r="I40" i="24"/>
  <c r="I41" i="24"/>
  <c r="I38" i="24"/>
  <c r="I42" i="24"/>
  <c r="I48" i="24"/>
  <c r="I51" i="24"/>
  <c r="I52" i="24"/>
  <c r="I53" i="24"/>
  <c r="I47" i="24"/>
  <c r="I49" i="24"/>
  <c r="I50" i="24"/>
  <c r="I54" i="24"/>
  <c r="I55" i="24"/>
  <c r="I39" i="24"/>
  <c r="G38" i="24"/>
  <c r="G52" i="24"/>
  <c r="G39" i="24"/>
  <c r="G53" i="24"/>
  <c r="G40" i="24"/>
  <c r="G42" i="24"/>
  <c r="G49" i="24"/>
  <c r="G50" i="24"/>
  <c r="G51" i="24"/>
  <c r="G41" i="24"/>
  <c r="G47" i="24"/>
  <c r="G48" i="24"/>
  <c r="G54" i="24"/>
  <c r="G55" i="24"/>
  <c r="O50" i="24"/>
  <c r="O39" i="24"/>
  <c r="O48" i="24"/>
  <c r="O51" i="24"/>
  <c r="O42" i="24"/>
  <c r="O52" i="24"/>
  <c r="O54" i="24"/>
  <c r="O38" i="24"/>
  <c r="O40" i="24"/>
  <c r="O41" i="24"/>
  <c r="O47" i="24"/>
  <c r="O53" i="24"/>
  <c r="O55" i="24"/>
  <c r="O49" i="24"/>
  <c r="K42" i="24"/>
  <c r="K47" i="24"/>
  <c r="K38" i="24"/>
  <c r="K39" i="24"/>
  <c r="K41" i="24"/>
  <c r="K48" i="24"/>
  <c r="K50" i="24"/>
  <c r="K53" i="24"/>
  <c r="K55" i="24"/>
  <c r="K40" i="24"/>
  <c r="K49" i="24"/>
  <c r="K51" i="24"/>
  <c r="K52" i="24"/>
  <c r="K54" i="24"/>
  <c r="H39" i="24"/>
  <c r="H38" i="24"/>
  <c r="H40" i="24"/>
  <c r="H53" i="24"/>
  <c r="H41" i="24"/>
  <c r="H48" i="24"/>
  <c r="H49" i="24"/>
  <c r="H54" i="24"/>
  <c r="H55" i="24"/>
  <c r="H42" i="24"/>
  <c r="H47" i="24"/>
  <c r="H50" i="24"/>
  <c r="H51" i="24"/>
  <c r="H52" i="24"/>
  <c r="P51" i="24"/>
  <c r="P41" i="24"/>
  <c r="P48" i="24"/>
  <c r="P52" i="24"/>
  <c r="P50" i="24"/>
  <c r="P53" i="24"/>
  <c r="P38" i="24"/>
  <c r="P40" i="24"/>
  <c r="P49" i="24"/>
  <c r="P54" i="24"/>
  <c r="P55" i="24"/>
  <c r="P39" i="24"/>
  <c r="P42" i="24"/>
  <c r="P47" i="24"/>
  <c r="L47" i="24"/>
  <c r="L42" i="24"/>
  <c r="L48" i="24"/>
  <c r="L49" i="24"/>
  <c r="L52" i="24"/>
  <c r="L53" i="24"/>
  <c r="L55" i="24"/>
  <c r="L50" i="24"/>
  <c r="L51" i="24"/>
  <c r="L54" i="24"/>
  <c r="L38" i="24"/>
  <c r="L39" i="24"/>
  <c r="L40" i="24"/>
  <c r="L41" i="24"/>
  <c r="Q24" i="24"/>
  <c r="R24" i="24" s="1"/>
  <c r="S24" i="24" s="1"/>
  <c r="T24" i="24" s="1"/>
  <c r="U24" i="24" s="1"/>
  <c r="N43" i="24" l="1"/>
  <c r="L43" i="24"/>
  <c r="O56" i="24"/>
  <c r="G56" i="24"/>
  <c r="P43" i="24"/>
  <c r="J56" i="24"/>
  <c r="I43" i="24"/>
  <c r="K43" i="24"/>
  <c r="L56" i="24"/>
  <c r="H43" i="24"/>
  <c r="K56" i="24"/>
  <c r="P56" i="24"/>
  <c r="M56" i="24"/>
  <c r="I56" i="24"/>
  <c r="O43" i="24"/>
  <c r="G43" i="24"/>
  <c r="J43" i="24"/>
  <c r="H56" i="24"/>
  <c r="M43" i="24"/>
  <c r="N5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28066-2FD9-4926-8F73-20F48C2934B5}" keepAlive="1" name="Consulta - CB_SMI_Celular" description="Conexión a la consulta 'CB_SMI_Celular' en el libro." type="5" refreshedVersion="8" background="1" saveData="1">
    <dbPr connection="Provider=Microsoft.Mashup.OleDb.1;Data Source=$Workbook$;Location=CB_SMI_Celular;Extended Properties=&quot;&quot;" command="SELECT * FROM [CB_SMI_Celular]"/>
  </connection>
  <connection id="2" xr16:uid="{CD4671CB-4487-4346-A134-68A5EE0FC5F3}" keepAlive="1" name="Consulta - CB_SMI_G3-PLC" description="Conexión a la consulta 'CB_SMI_G3-PLC' en el libro." type="5" refreshedVersion="8" background="1" saveData="1">
    <dbPr connection="Provider=Microsoft.Mashup.OleDb.1;Data Source=$Workbook$;Location=CB_SMI_G3-PLC;Extended Properties=&quot;&quot;" command="SELECT * FROM [CB_SMI_G3-PLC]"/>
  </connection>
  <connection id="3" xr16:uid="{0D19D73B-90E0-4AC6-8B7E-2A39200B19D2}" keepAlive="1" name="Consulta - CB_SMI_LoRa" description="Conexión a la consulta 'CB_SMI_LoRa' en el libro." type="5" refreshedVersion="8" background="1" saveData="1">
    <dbPr connection="Provider=Microsoft.Mashup.OleDb.1;Data Source=$Workbook$;Location=CB_SMI_LoRa;Extended Properties=&quot;&quot;" command="SELECT * FROM [CB_SMI_LoRa]"/>
  </connection>
  <connection id="4" xr16:uid="{B5E9FB8A-AB59-464B-8906-FA431F60AACB}" keepAlive="1" name="Consulta - CB_SMI_Mixto" description="Conexión a la consulta 'CB_SMI_Mixto' en el libro." type="5" refreshedVersion="8" background="1" saveData="1">
    <dbPr connection="Provider=Microsoft.Mashup.OleDb.1;Data Source=$Workbook$;Location=CB_SMI_Mixto;Extended Properties=&quot;&quot;" command="SELECT * FROM [CB_SMI_Mixto]"/>
  </connection>
  <connection id="5" xr16:uid="{F3154168-B305-4362-A028-C95E13EE9A3D}" keepAlive="1" name="Consulta - CB_SMI_Mixto (2)" description="Conexión a la consulta 'CB_SMI_Mixto (2)' en el libro." type="5" refreshedVersion="8" background="1" saveData="1">
    <dbPr connection="Provider=Microsoft.Mashup.OleDb.1;Data Source=$Workbook$;Location=&quot;CB_SMI_Mixto (2)&quot;;Extended Properties=&quot;&quot;" command="SELECT * FROM [CB_SMI_Mixto (2)]"/>
  </connection>
  <connection id="6" xr16:uid="{50CAA04E-873A-4EAE-A623-0C68B01A7DC3}" keepAlive="1" name="Consulta - CB_SMI_Mixto (3)" description="Conexión a la consulta 'CB_SMI_Mixto (3)' en el libro." type="5" refreshedVersion="0" background="1">
    <dbPr connection="Provider=Microsoft.Mashup.OleDb.1;Data Source=$Workbook$;Location=&quot;CB_SMI_Mixto (3)&quot;;Extended Properties=&quot;&quot;" command="SELECT * FROM [CB_SMI_Mixto (3)]"/>
  </connection>
  <connection id="7" xr16:uid="{5926BBB6-CEC4-4AC4-AE06-598B93AA3259}" keepAlive="1" name="Consulta - CB_SMI_Mixto (4)" description="Conexión a la consulta 'CB_SMI_Mixto (4)' en el libro." type="5" refreshedVersion="8" background="1" saveData="1">
    <dbPr connection="Provider=Microsoft.Mashup.OleDb.1;Data Source=$Workbook$;Location=&quot;CB_SMI_Mixto (4)&quot;;Extended Properties=&quot;&quot;" command="SELECT * FROM [CB_SMI_Mixto (4)]"/>
  </connection>
  <connection id="8" xr16:uid="{E5371843-4B74-40FB-B8C7-2D5264033569}" keepAlive="1" name="Consulta - CB_SMI_Mixto_ALTA" description="Conexión a la consulta 'CB_SMI_Mixto_ALTA' en el libro." type="5" refreshedVersion="8" background="1" saveData="1">
    <dbPr connection="Provider=Microsoft.Mashup.OleDb.1;Data Source=$Workbook$;Location=CB_SMI_Mixto_ALTA;Extended Properties=&quot;&quot;" command="SELECT * FROM [CB_SMI_Mixto_ALTA]"/>
  </connection>
  <connection id="9" xr16:uid="{CA06E3D2-6E5E-4275-AFAF-B558228679EE}" keepAlive="1" name="Consulta - CB_SMI_Mixto_ALTA (2)" description="Conexión a la consulta 'CB_SMI_Mixto_ALTA (2)' en el libro." type="5" refreshedVersion="8" background="1" saveData="1">
    <dbPr connection="Provider=Microsoft.Mashup.OleDb.1;Data Source=$Workbook$;Location=&quot;CB_SMI_Mixto_ALTA (2)&quot;;Extended Properties=&quot;&quot;" command="SELECT * FROM [CB_SMI_Mixto_ALTA (2)]"/>
  </connection>
  <connection id="10" xr16:uid="{873D76FB-D2A8-4B6F-95C4-E0177F95D66A}" keepAlive="1" name="Consulta - CB_SMI_Mixto_BAJA" description="Conexión a la consulta 'CB_SMI_Mixto_BAJA' en el libro." type="5" refreshedVersion="8" background="1" saveData="1">
    <dbPr connection="Provider=Microsoft.Mashup.OleDb.1;Data Source=$Workbook$;Location=CB_SMI_Mixto_BAJA;Extended Properties=&quot;&quot;" command="SELECT * FROM [CB_SMI_Mixto_BAJA]"/>
  </connection>
  <connection id="11" xr16:uid="{06220AAA-31BA-4292-A11E-AC34BBA1817B}" keepAlive="1" name="Consulta - CB_SMI_Mixto_BAJA (2)" description="Conexión a la consulta 'CB_SMI_Mixto_BAJA (2)' en el libro." type="5" refreshedVersion="8" background="1" saveData="1">
    <dbPr connection="Provider=Microsoft.Mashup.OleDb.1;Data Source=$Workbook$;Location=&quot;CB_SMI_Mixto_BAJA (2)&quot;;Extended Properties=&quot;&quot;" command="SELECT * FROM [CB_SMI_Mixto_BAJA (2)]"/>
  </connection>
  <connection id="12" xr16:uid="{5E3D32FD-9556-4B18-A777-26D551622370}" keepAlive="1" name="Consulta - CB_SMI_Mixto_EXT_BAJA" description="Conexión a la consulta 'CB_SMI_Mixto_EXT_BAJA' en el libro." type="5" refreshedVersion="8" background="1" saveData="1">
    <dbPr connection="Provider=Microsoft.Mashup.OleDb.1;Data Source=$Workbook$;Location=CB_SMI_Mixto_EXT_BAJA;Extended Properties=&quot;&quot;" command="SELECT * FROM [CB_SMI_Mixto_EXT_BAJA]"/>
  </connection>
  <connection id="13" xr16:uid="{CF6AA046-89CC-4D01-99CE-D442D277971E}" keepAlive="1" name="Consulta - CB_SMI_Mixto_EXT_BAJA (2)" description="Conexión a la consulta 'CB_SMI_Mixto_EXT_BAJA (2)' en el libro." type="5" refreshedVersion="8" background="1" saveData="1">
    <dbPr connection="Provider=Microsoft.Mashup.OleDb.1;Data Source=$Workbook$;Location=&quot;CB_SMI_Mixto_EXT_BAJA (2)&quot;;Extended Properties=&quot;&quot;" command="SELECT * FROM [CB_SMI_Mixto_EXT_BAJA (2)]"/>
  </connection>
  <connection id="14" xr16:uid="{1016760F-BDA8-4F8D-8C97-B4C520DEF931}" keepAlive="1" name="Consulta - CB_SMI_Mixto_MEDIA" description="Conexión a la consulta 'CB_SMI_Mixto_MEDIA' en el libro." type="5" refreshedVersion="8" background="1" saveData="1">
    <dbPr connection="Provider=Microsoft.Mashup.OleDb.1;Data Source=$Workbook$;Location=CB_SMI_Mixto_MEDIA;Extended Properties=&quot;&quot;" command="SELECT * FROM [CB_SMI_Mixto_MEDIA]"/>
  </connection>
  <connection id="15" xr16:uid="{FB0E9CD2-36CA-499B-9CBB-D10BAB7CA167}" keepAlive="1" name="Consulta - CB_SMI_Mixto_MEDIA (2)" description="Conexión a la consulta 'CB_SMI_Mixto_MEDIA (2)' en el libro." type="5" refreshedVersion="8" background="1" saveData="1">
    <dbPr connection="Provider=Microsoft.Mashup.OleDb.1;Data Source=$Workbook$;Location=&quot;CB_SMI_Mixto_MEDIA (2)&quot;;Extended Properties=&quot;&quot;" command="SELECT * FROM [CB_SMI_Mixto_MEDIA (2)]"/>
  </connection>
  <connection id="16" xr16:uid="{1EF409B0-D993-412E-8970-018048FFA170}" keepAlive="1" name="Consulta - CB_SMI_Mixto_MUY_BAJA" description="Conexión a la consulta 'CB_SMI_Mixto_MUY_BAJA' en el libro." type="5" refreshedVersion="8" background="1" saveData="1">
    <dbPr connection="Provider=Microsoft.Mashup.OleDb.1;Data Source=$Workbook$;Location=CB_SMI_Mixto_MUY_BAJA;Extended Properties=&quot;&quot;" command="SELECT * FROM [CB_SMI_Mixto_MUY_BAJA]"/>
  </connection>
  <connection id="17" xr16:uid="{E7C84AB9-A223-4DF5-AB83-9203596CF72B}" keepAlive="1" name="Consulta - CB_SMI_Mixto_MUY_BAJA (2)" description="Conexión a la consulta 'CB_SMI_Mixto_MUY_BAJA (2)' en el libro." type="5" refreshedVersion="8" background="1" saveData="1">
    <dbPr connection="Provider=Microsoft.Mashup.OleDb.1;Data Source=$Workbook$;Location=&quot;CB_SMI_Mixto_MUY_BAJA (2)&quot;;Extended Properties=&quot;&quot;" command="SELECT * FROM [CB_SMI_Mixto_MUY_BAJA (2)]"/>
  </connection>
  <connection id="18" xr16:uid="{678FF229-8571-42AB-AA47-77DC09FE6B15}" keepAlive="1" name="Consulta - CB_SMI_PLC" description="Conexión a la consulta 'CB_SMI_PLC' en el libro." type="5" refreshedVersion="8" background="1" saveData="1">
    <dbPr connection="Provider=Microsoft.Mashup.OleDb.1;Data Source=$Workbook$;Location=CB_SMI_PLC;Extended Properties=&quot;&quot;" command="SELECT * FROM [CB_SMI_PLC]"/>
  </connection>
  <connection id="19" xr16:uid="{2870F0F9-E98F-42C2-BAA3-23EC5F9F8353}" keepAlive="1" name="Consulta - CB_SMI_RF" description="Conexión a la consulta 'CB_SMI_RF' en el libro." type="5" refreshedVersion="8" background="1" saveData="1">
    <dbPr connection="Provider=Microsoft.Mashup.OleDb.1;Data Source=$Workbook$;Location=CB_SMI_RF;Extended Properties=&quot;&quot;" command="SELECT * FROM [CB_SMI_RF]"/>
  </connection>
</connections>
</file>

<file path=xl/sharedStrings.xml><?xml version="1.0" encoding="utf-8"?>
<sst xmlns="http://schemas.openxmlformats.org/spreadsheetml/2006/main" count="917" uniqueCount="179">
  <si>
    <t>Supuestos y consideraciones</t>
  </si>
  <si>
    <t>Posibles variables que definen a un escenario</t>
  </si>
  <si>
    <t>2) Tiempo de plazo para el despliegue.</t>
  </si>
  <si>
    <t>1) Extensión del despliegue (% de consumidores).</t>
  </si>
  <si>
    <t>3) Número de funcionalidades del Sistema de Medición Inteligente.</t>
  </si>
  <si>
    <t>4) Densidad de clientes en el despliegue (Urbano vs Rural).</t>
  </si>
  <si>
    <t>Variables</t>
  </si>
  <si>
    <t>Valor</t>
  </si>
  <si>
    <t>Escenario 0 (Caso Base, sin despliegue):</t>
  </si>
  <si>
    <t>Escenario 1:</t>
  </si>
  <si>
    <t>Parámetros relevantes del Sistema Eléctrico en Chile</t>
  </si>
  <si>
    <t>Parámetro</t>
  </si>
  <si>
    <t>Variación proyectada del consumo de energía</t>
  </si>
  <si>
    <t>Variación proyectada de los precios de la energía</t>
  </si>
  <si>
    <t>Transferencia de carga de punta</t>
  </si>
  <si>
    <t>Pérdidas eléctricas en niveles de transmisión y distribución</t>
  </si>
  <si>
    <t>Minutos no suministrados estimados</t>
  </si>
  <si>
    <t>Tasa de descuento</t>
  </si>
  <si>
    <t>Número de medidores inteligentes a instalar</t>
  </si>
  <si>
    <t>Costos de instalación del sistema de medición inteligente</t>
  </si>
  <si>
    <t>Vida útil del sistema de medición inteligente</t>
  </si>
  <si>
    <t>Costos de lectura de medidores</t>
  </si>
  <si>
    <t>Tasa de éxito de telecomunicación</t>
  </si>
  <si>
    <t>Tasa de inflación</t>
  </si>
  <si>
    <t>Reducción de costos asociada a la madurez tecnológica</t>
  </si>
  <si>
    <t>Calendario de implementación</t>
  </si>
  <si>
    <t>Costos de carbono</t>
  </si>
  <si>
    <t>Porcentaje de medidores ubicados en zonas rurales vs urbanas</t>
  </si>
  <si>
    <t>Unidad</t>
  </si>
  <si>
    <t>%</t>
  </si>
  <si>
    <t>Cantidad</t>
  </si>
  <si>
    <t>Valor de Energía No Suministrada; valor del suministro</t>
  </si>
  <si>
    <t>$/kWh</t>
  </si>
  <si>
    <t>$</t>
  </si>
  <si>
    <t>Costos de hardware (p. ej, medidor inteligente, módem GPRS/PLC, etc.)</t>
  </si>
  <si>
    <t>Años</t>
  </si>
  <si>
    <t>$/año</t>
  </si>
  <si>
    <t>Cantidad/año</t>
  </si>
  <si>
    <t>$/ton</t>
  </si>
  <si>
    <t>Comentario</t>
  </si>
  <si>
    <t>Tecnología</t>
  </si>
  <si>
    <t>Supuestos y Consideraciones</t>
  </si>
  <si>
    <t>Dólar</t>
  </si>
  <si>
    <t>UF</t>
  </si>
  <si>
    <t>USD/$</t>
  </si>
  <si>
    <t>UF/$</t>
  </si>
  <si>
    <t>Vida útil del proyecto</t>
  </si>
  <si>
    <t>años</t>
  </si>
  <si>
    <t>Periodo</t>
  </si>
  <si>
    <t>Año</t>
  </si>
  <si>
    <t>Escenario de implementación</t>
  </si>
  <si>
    <t>Densidad de clientes</t>
  </si>
  <si>
    <t>Alta</t>
  </si>
  <si>
    <t>Media</t>
  </si>
  <si>
    <t>Baja</t>
  </si>
  <si>
    <t>Muy Baja</t>
  </si>
  <si>
    <t>Extremadamente Baja</t>
  </si>
  <si>
    <t>UM 1F</t>
  </si>
  <si>
    <t>UM 3F Directa</t>
  </si>
  <si>
    <t>UM 3F Indirecta</t>
  </si>
  <si>
    <t>DCU</t>
  </si>
  <si>
    <t>SyM Equipos</t>
  </si>
  <si>
    <t>Corte y Reposición remoto</t>
  </si>
  <si>
    <t>Reducción de emisiones de CO2</t>
  </si>
  <si>
    <t>Flujo</t>
  </si>
  <si>
    <t>Concepto</t>
  </si>
  <si>
    <t>Periodo 0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</si>
  <si>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</si>
  <si>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</si>
  <si>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</si>
  <si>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</si>
  <si>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</si>
  <si>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</si>
  <si>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</si>
  <si>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</si>
  <si>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</si>
  <si>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</si>
  <si>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</si>
  <si>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</si>
  <si>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</si>
  <si>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Periodo 14</t>
  </si>
  <si>
    <t>Periodo 15</t>
  </si>
  <si>
    <t>Inversión SGO [USD]</t>
  </si>
  <si>
    <t>Operación Comunicaciones [USD/año]</t>
  </si>
  <si>
    <t>Operación Comunicaciones DCU-SGO [USD/año]</t>
  </si>
  <si>
    <t>Operación SGO [USD/año]</t>
  </si>
  <si>
    <t>Soporte y Mantenimiento Equipos [USD/año]</t>
  </si>
  <si>
    <t>Ahorro en lectura pedestre [USD/año]</t>
  </si>
  <si>
    <t>Ahorro corte y reposición remoto [USD/año]</t>
  </si>
  <si>
    <t>Ahorro reducción de PNT [USD/año]</t>
  </si>
  <si>
    <t>Ahorro por compensación evitada [USD/año]</t>
  </si>
  <si>
    <t>Ahorro reducción del consumo [USD/año]</t>
  </si>
  <si>
    <t>Ahorro reducción emisiones CO2 [USD/año]</t>
  </si>
  <si>
    <t>Ahorro atención al cliente [USD/año]</t>
  </si>
  <si>
    <t>Ahorro por inversión evitada [USD/año]</t>
  </si>
  <si>
    <t>Reducción de Pérdidas No Técnicas</t>
  </si>
  <si>
    <t>Reducción del tiempo de respuesta ante Fallas</t>
  </si>
  <si>
    <t>Reducción en Inversión de infraestructura de red</t>
  </si>
  <si>
    <t>Reducción del consumo de Clientes Finales</t>
  </si>
  <si>
    <t>Reducción servicio Atención al Cliente</t>
  </si>
  <si>
    <t>Operación Comunicaciones UM - SGO</t>
  </si>
  <si>
    <t>Operación Comunicaciones DCU - SGO</t>
  </si>
  <si>
    <t>Cantidad UM 1F</t>
  </si>
  <si>
    <t>Cantidad UM 3F Directa</t>
  </si>
  <si>
    <t>Cantidad UM 3F Indirecta</t>
  </si>
  <si>
    <t>Despliegue</t>
  </si>
  <si>
    <t>Meta de despligue</t>
  </si>
  <si>
    <t>UM/año</t>
  </si>
  <si>
    <t>% de avance</t>
  </si>
  <si>
    <t>Flujo Acumulado</t>
  </si>
  <si>
    <t>VAN</t>
  </si>
  <si>
    <t>TIR</t>
  </si>
  <si>
    <t>Ahorro de lectura pedestre</t>
  </si>
  <si>
    <t>Energía facturada anual [MWh/año]</t>
  </si>
  <si>
    <t>UM faltantes por instalar</t>
  </si>
  <si>
    <t>UM 1F [N° Equipos]</t>
  </si>
  <si>
    <t>UM 3F Directa [N° Equipos]</t>
  </si>
  <si>
    <t>UM 3F Indirecta [N° Equipos]</t>
  </si>
  <si>
    <t>VI [MUSD]</t>
  </si>
  <si>
    <t>COMA [MUSD]</t>
  </si>
  <si>
    <t>Beneficios [MUSD]</t>
  </si>
  <si>
    <t>Despligue SMI Chile</t>
  </si>
  <si>
    <t>Datos de despliegue</t>
  </si>
  <si>
    <t>VI Total:</t>
  </si>
  <si>
    <t>Flujo de caja [MUSD]</t>
  </si>
  <si>
    <t>UM 1F instalados</t>
  </si>
  <si>
    <t>UM 3F Directa instalados</t>
  </si>
  <si>
    <t>UM 3F Indirecta instalados</t>
  </si>
  <si>
    <t>Objetivo de despligue UM 1F</t>
  </si>
  <si>
    <t>Objetivo de despligue UM 3F Directa</t>
  </si>
  <si>
    <t>Objetivo de despligue UM 3F Indirecta</t>
  </si>
  <si>
    <t>COMA Total:</t>
  </si>
  <si>
    <t>Beneficios Total:</t>
  </si>
  <si>
    <t>Cantidad DCU</t>
  </si>
  <si>
    <t>Inversión UM 1F [USD/equipo]</t>
  </si>
  <si>
    <t>Inversión UM 3F Directa [USD/equipo]</t>
  </si>
  <si>
    <t>Inversión UM 3F Indirecta [USD/equipo]</t>
  </si>
  <si>
    <t>Inversión DCU [USD/equipo]</t>
  </si>
  <si>
    <t>Energía Facturada anual [GWh]</t>
  </si>
  <si>
    <t>Ahorro por gestión del consumo [USD/año]</t>
  </si>
  <si>
    <t>Reducción del costo de la energía en horas de Sol</t>
  </si>
  <si>
    <t>Inversión MDMS [USD]</t>
  </si>
  <si>
    <t>Operación MDMS [USD/año]</t>
  </si>
  <si>
    <t>MDMS</t>
  </si>
  <si>
    <t>Operación MDMS</t>
  </si>
  <si>
    <t>HES</t>
  </si>
  <si>
    <t>Operación HES</t>
  </si>
  <si>
    <t>Mixto</t>
  </si>
  <si>
    <t>Mixto_ALTA</t>
  </si>
  <si>
    <t>Mixto_MEDIA</t>
  </si>
  <si>
    <t>Mixto_BAJA</t>
  </si>
  <si>
    <t>Mixto_MUY_BAJA</t>
  </si>
  <si>
    <t>Mixto_EXT_BAJA</t>
  </si>
  <si>
    <t>Reducción de Pérdidas No Técnicas (PNT)</t>
  </si>
  <si>
    <t>Gestión del consumo</t>
  </si>
  <si>
    <t>Costos Totales (VI + COMA)</t>
  </si>
  <si>
    <t>Flujo del periodo anterior</t>
  </si>
  <si>
    <t>Flujo descontado (6%)</t>
  </si>
  <si>
    <t>Flujo Acumulado descontado (6%)</t>
  </si>
  <si>
    <t>Tasa</t>
  </si>
  <si>
    <t>Monto [MUSD]</t>
  </si>
  <si>
    <t>Monto [USD/cliente]</t>
  </si>
  <si>
    <t>Monto [$/cliente]</t>
  </si>
  <si>
    <t>VAN (Costos)</t>
  </si>
  <si>
    <t>Anualidad (Costos)</t>
  </si>
  <si>
    <t>Mensualidad (Costos)</t>
  </si>
  <si>
    <t>B/C</t>
  </si>
  <si>
    <t>VAN (Beneficios)</t>
  </si>
  <si>
    <t># Clientes Alta</t>
  </si>
  <si>
    <t>Anualidad (Beneficios)</t>
  </si>
  <si>
    <t># Clientes Media</t>
  </si>
  <si>
    <t>Mensualidad (Beneficios)</t>
  </si>
  <si>
    <t># Clientes Baja</t>
  </si>
  <si>
    <t># Clientes Muy Baja</t>
  </si>
  <si>
    <t>VAN (Neto)</t>
  </si>
  <si>
    <t># Clientes Ext. Baja</t>
  </si>
  <si>
    <t>Anualidad (Neto)</t>
  </si>
  <si>
    <t>Mensualidad (Neto)</t>
  </si>
  <si>
    <t># Clientes Regulados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</si>
</sst>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&quot;$&quot;\-#,##0.00"/>
    <numFmt numFmtId="42" formatCode="_ &quot;$&quot;* #,##0_ ;_ &quot;$&quot;* \-#,##0_ ;_ &quot;$&quot;* &quot;-&quot;_ ;_ @_ "/>
    <numFmt numFmtId="41" formatCode="_ * #,##0_ ;_ * \-#,##0_ ;_ * &quot;-&quot;_ ;_ @_ "/>
    <numFmt numFmtId="164" formatCode="_ &quot;$&quot;* #,##0.00_ ;_ &quot;$&quot;* \-#,##0.00_ ;_ &quot;$&quot;* &quot;-&quot;_ ;_ @_ "/>
    <numFmt numFmtId="165" formatCode="_ &quot;$&quot;* #,##0.0000_ ;_ &quot;$&quot;* \-#,##0.0000_ ;_ &quot;$&quot;* &quot;-&quot;_ ;_ @_ "/>
    <numFmt numFmtId="166" formatCode="_ &quot;$&quot;* #,##0.0000_ ;_ &quot;$&quot;* \-#,##0.0000_ ;_ &quot;$&quot;* &quot;-&quot;????_ ;_ @_ "/>
    <numFmt numFmtId="167" formatCode="_ * #,##0.0_ ;_ * \-#,##0.0_ ;_ * &quot;-&quot;_ ;_ @_ 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AFA0"/>
        <bgColor indexed="64"/>
      </patternFill>
    </fill>
    <fill>
      <patternFill patternType="solid">
        <fgColor rgb="FFF5E4DF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EBF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D2C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</borders>
  <cellStyleXfs count="5">
    <xf numFmtId="0" fontId="0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41" fontId="3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/>
    </xf>
    <xf numFmtId="166" fontId="0" fillId="0" borderId="0" xfId="0" applyNumberFormat="1"/>
    <xf numFmtId="1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2" xfId="2" applyNumberFormat="1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5" fontId="0" fillId="3" borderId="1" xfId="1" applyNumberFormat="1" applyFont="1" applyFill="1" applyBorder="1"/>
    <xf numFmtId="165" fontId="0" fillId="6" borderId="1" xfId="1" applyNumberFormat="1" applyFont="1" applyFill="1" applyBorder="1"/>
    <xf numFmtId="0" fontId="0" fillId="7" borderId="1" xfId="0" applyFill="1" applyBorder="1" applyAlignment="1">
      <alignment horizontal="center"/>
    </xf>
    <xf numFmtId="9" fontId="0" fillId="7" borderId="3" xfId="2" applyFont="1" applyFill="1" applyBorder="1" applyAlignment="1">
      <alignment horizontal="center" vertical="center"/>
    </xf>
    <xf numFmtId="9" fontId="0" fillId="7" borderId="1" xfId="2" applyFont="1" applyFill="1" applyBorder="1" applyAlignment="1">
      <alignment horizontal="center"/>
    </xf>
    <xf numFmtId="1" fontId="0" fillId="7" borderId="1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2" borderId="1" xfId="0" applyFill="1" applyBorder="1"/>
    <xf numFmtId="164" fontId="0" fillId="7" borderId="1" xfId="1" applyNumberFormat="1" applyFont="1" applyFill="1" applyBorder="1" applyAlignment="1"/>
    <xf numFmtId="0" fontId="4" fillId="0" borderId="0" xfId="0" applyFont="1"/>
    <xf numFmtId="14" fontId="0" fillId="2" borderId="1" xfId="0" applyNumberFormat="1" applyFill="1" applyBorder="1" applyAlignment="1">
      <alignment horizontal="center" vertical="center"/>
    </xf>
    <xf numFmtId="9" fontId="0" fillId="0" borderId="0" xfId="2" applyFont="1"/>
    <xf numFmtId="41" fontId="0" fillId="0" borderId="0" xfId="4" applyFont="1"/>
    <xf numFmtId="167" fontId="0" fillId="0" borderId="0" xfId="4" applyNumberFormat="1" applyFont="1"/>
    <xf numFmtId="164" fontId="0" fillId="7" borderId="1" xfId="1" applyNumberFormat="1" applyFont="1" applyFill="1" applyBorder="1"/>
    <xf numFmtId="164" fontId="0" fillId="0" borderId="0" xfId="0" applyNumberFormat="1"/>
    <xf numFmtId="164" fontId="0" fillId="9" borderId="1" xfId="1" applyNumberFormat="1" applyFont="1" applyFill="1" applyBorder="1"/>
    <xf numFmtId="9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6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42" fontId="0" fillId="0" borderId="0" xfId="0" applyNumberFormat="1"/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7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0" xfId="0" applyAlignment="1">
      <alignment horizontal="center" vertical="center"/>
    </xf>
    <xf numFmtId="0" fontId="0" fillId="5" borderId="13" xfId="0" applyFill="1" applyBorder="1" applyAlignment="1">
      <alignment horizontal="center"/>
    </xf>
    <xf numFmtId="164" fontId="0" fillId="0" borderId="13" xfId="1" applyNumberFormat="1" applyFont="1" applyBorder="1" applyAlignment="1">
      <alignment horizontal="center" vertical="center"/>
    </xf>
    <xf numFmtId="42" fontId="0" fillId="0" borderId="13" xfId="1" applyFont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8" fontId="0" fillId="5" borderId="15" xfId="0" applyNumberFormat="1" applyFill="1" applyBorder="1" applyAlignment="1">
      <alignment horizontal="center"/>
    </xf>
    <xf numFmtId="164" fontId="0" fillId="11" borderId="15" xfId="1" applyNumberFormat="1" applyFont="1" applyFill="1" applyBorder="1" applyAlignment="1">
      <alignment horizontal="center"/>
    </xf>
    <xf numFmtId="42" fontId="0" fillId="11" borderId="15" xfId="1" applyFont="1" applyFill="1" applyBorder="1" applyAlignment="1">
      <alignment horizontal="center"/>
    </xf>
    <xf numFmtId="8" fontId="0" fillId="5" borderId="14" xfId="0" applyNumberFormat="1" applyFill="1" applyBorder="1" applyAlignment="1">
      <alignment horizontal="center"/>
    </xf>
    <xf numFmtId="164" fontId="0" fillId="0" borderId="14" xfId="1" applyNumberFormat="1" applyFont="1" applyBorder="1" applyAlignment="1">
      <alignment horizontal="center" vertical="center"/>
    </xf>
    <xf numFmtId="42" fontId="0" fillId="0" borderId="14" xfId="1" applyFont="1" applyBorder="1" applyAlignment="1">
      <alignment horizontal="center" vertical="center"/>
    </xf>
    <xf numFmtId="42" fontId="0" fillId="3" borderId="15" xfId="1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0" xfId="0"/>
    <xf numFmtId="0" fontId="0" fillId="4" borderId="1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4" fontId="0" fillId="3" borderId="15" xfId="1" applyNumberFormat="1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64" fontId="0" fillId="2" borderId="15" xfId="1" applyNumberFormat="1" applyFont="1" applyFill="1" applyBorder="1" applyAlignment="1">
      <alignment horizontal="center" vertical="center"/>
    </xf>
    <xf numFmtId="42" fontId="0" fillId="2" borderId="15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5">
    <cellStyle name="Millares [0]" xfId="4" builtinId="6"/>
    <cellStyle name="Moneda [0]" xfId="1" builtinId="7"/>
    <cellStyle name="Normal" xfId="0" builtinId="0"/>
    <cellStyle name="Normal 2" xfId="3" xr:uid="{3DAECE70-E36A-454A-A902-4D6EC52CC3B0}"/>
    <cellStyle name="Porcentaje" xfId="2" builtinId="5"/>
  </cellStyles>
  <dxfs count="5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8267E"/>
      <color rgb="FFD8BEEC"/>
      <color rgb="FFC7A1E3"/>
      <color rgb="FFD5B8EA"/>
      <color rgb="FFE8EBF0"/>
      <color rgb="FFF5E4DF"/>
      <color rgb="FFF2DDD6"/>
      <color rgb="FFEDD2C9"/>
      <color rgb="FFE0AFA0"/>
      <color rgb="FFCF8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EA2F2241-71F3-4F70-9CD7-2D946D9D8813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919EDAD0-B1DF-4ADD-A334-DF43C6E511BD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9B8BE3E7-C5C1-44FD-A90D-FE800F0A9AD4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E64F3F19-1C39-46A3-BBA8-709833531670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5F92B251-EA4A-49AF-B3F4-DAB5A18B248A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DA66F822-972C-4CD3-8A7B-A5AD848190AF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33083-D7EC-4CA1-B676-BEE500E26288}" name="CB_SMI_Mixto__4" displayName="CB_SMI_Mixto__4" ref="A1:Q26" tableType="queryTable" totalsRowShown="0">
  <autoFilter ref="A1:Q26" xr:uid="{E2E33083-D7EC-4CA1-B676-BEE500E26288}"/>
  <tableColumns count="17">
    <tableColumn id="1" xr3:uid="{63731CC1-AA3D-41C4-96BD-3F855A1F29A1}" uniqueName="1" name="Concepto" queryTableFieldId="1" dataDxfId="53"/>
    <tableColumn id="2" xr3:uid="{132769B4-87D3-45D7-AEB3-E102134644D7}" uniqueName="2" name="Periodo 0" queryTableFieldId="2"/>
    <tableColumn id="3" xr3:uid="{479B5B45-1E86-4DE8-B00F-452248607703}" uniqueName="3" name="Periodo 1" queryTableFieldId="3"/>
    <tableColumn id="4" xr3:uid="{83F9CE77-3E89-4DFE-B5D6-62A051235C09}" uniqueName="4" name="Periodo 2" queryTableFieldId="4"/>
    <tableColumn id="5" xr3:uid="{BAE397E6-C61E-47B6-A5C1-5ABE0D2DDC6E}" uniqueName="5" name="Periodo 3" queryTableFieldId="5"/>
    <tableColumn id="6" xr3:uid="{E3EC3BC5-AABC-41BD-A219-098B401C7B2E}" uniqueName="6" name="Periodo 4" queryTableFieldId="6"/>
    <tableColumn id="7" xr3:uid="{83EE3EC0-3EDD-4405-9B49-1FFA9616AD6B}" uniqueName="7" name="Periodo 5" queryTableFieldId="7"/>
    <tableColumn id="8" xr3:uid="{52A584D2-021A-4DA5-B7F4-782DF5780073}" uniqueName="8" name="Periodo 6" queryTableFieldId="8"/>
    <tableColumn id="9" xr3:uid="{BF5DA993-B3FC-4B8B-842B-0995E360F4C4}" uniqueName="9" name="Periodo 7" queryTableFieldId="9"/>
    <tableColumn id="10" xr3:uid="{413184CF-84E8-4F5A-BF60-8A330362AC61}" uniqueName="10" name="Periodo 8" queryTableFieldId="10"/>
    <tableColumn id="11" xr3:uid="{1AA66341-A897-46EA-A872-11D2516AA1ED}" uniqueName="11" name="Periodo 9" queryTableFieldId="11"/>
    <tableColumn id="12" xr3:uid="{0EAAB9E9-7CEA-4ECD-B7D8-DE5CC7319AC0}" uniqueName="12" name="Periodo 10" queryTableFieldId="12"/>
    <tableColumn id="13" xr3:uid="{BBE6FDD8-1753-4D63-9F15-E39ABC105B98}" uniqueName="13" name="Periodo 11" queryTableFieldId="13"/>
    <tableColumn id="14" xr3:uid="{E8609F4A-9067-4033-A19B-7104363621A6}" uniqueName="14" name="Periodo 12" queryTableFieldId="14"/>
    <tableColumn id="15" xr3:uid="{B693C02A-2AD3-48A2-96D8-91B0645AA8A4}" uniqueName="15" name="Periodo 13" queryTableFieldId="15"/>
    <tableColumn id="16" xr3:uid="{4DBB3786-95AC-423D-A009-0B0473810E6A}" uniqueName="16" name="Periodo 14" queryTableFieldId="16"/>
    <tableColumn id="17" xr3:uid="{EDDEFCCD-9B26-41CE-8005-AFCADCC1350C}" uniqueName="17" name="Periodo 15" queryTableField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FA7D8-B08A-4164-A055-C871333698A9}" name="CB_SMI_Mixto_ALTA__2" displayName="CB_SMI_Mixto_ALTA__2" ref="A1:Q26" tableType="queryTable" totalsRowShown="0">
  <autoFilter ref="A1:Q26" xr:uid="{CE1FA7D8-B08A-4164-A055-C871333698A9}"/>
  <tableColumns count="17">
    <tableColumn id="1" xr3:uid="{9C82AC29-33AC-4DF0-8282-704CE7200272}" uniqueName="1" name="Concepto" queryTableFieldId="1" dataDxfId="52"/>
    <tableColumn id="2" xr3:uid="{5259C896-853D-4D83-BFAA-63387986A454}" uniqueName="2" name="Periodo 0" queryTableFieldId="2"/>
    <tableColumn id="3" xr3:uid="{CE1F3E7B-B9EB-4E8B-9F33-F5480D9F41B8}" uniqueName="3" name="Periodo 1" queryTableFieldId="3"/>
    <tableColumn id="4" xr3:uid="{B8DB666E-0A60-41EF-9F23-94C8298288CA}" uniqueName="4" name="Periodo 2" queryTableFieldId="4"/>
    <tableColumn id="5" xr3:uid="{8924B93A-65F9-4D96-AFCC-19CC937FB50B}" uniqueName="5" name="Periodo 3" queryTableFieldId="5"/>
    <tableColumn id="6" xr3:uid="{974904AD-6F19-4535-9BB0-0AA5C76BC29D}" uniqueName="6" name="Periodo 4" queryTableFieldId="6"/>
    <tableColumn id="7" xr3:uid="{673920FA-DB14-4688-B6A1-DDD93E6B0802}" uniqueName="7" name="Periodo 5" queryTableFieldId="7"/>
    <tableColumn id="8" xr3:uid="{12F7220B-68C1-42BB-B86A-1BC89DCA5A31}" uniqueName="8" name="Periodo 6" queryTableFieldId="8"/>
    <tableColumn id="9" xr3:uid="{4DE6BC7D-CA40-4B1F-891E-AAC488B475DD}" uniqueName="9" name="Periodo 7" queryTableFieldId="9"/>
    <tableColumn id="10" xr3:uid="{CCD2AF94-125D-4EA2-9814-E7E4BAC9E2B5}" uniqueName="10" name="Periodo 8" queryTableFieldId="10"/>
    <tableColumn id="11" xr3:uid="{45B89E72-6749-4847-9358-78A9EDA0EDB7}" uniqueName="11" name="Periodo 9" queryTableFieldId="11"/>
    <tableColumn id="12" xr3:uid="{B9F11607-3245-43BB-BC35-1D3CDECA5858}" uniqueName="12" name="Periodo 10" queryTableFieldId="12"/>
    <tableColumn id="13" xr3:uid="{060D6236-74BF-4D8B-8738-B40E717C5E70}" uniqueName="13" name="Periodo 11" queryTableFieldId="13"/>
    <tableColumn id="14" xr3:uid="{281A7697-CDB0-49C8-B302-9F67ADE0C49C}" uniqueName="14" name="Periodo 12" queryTableFieldId="14"/>
    <tableColumn id="15" xr3:uid="{D52AFDD3-B6DA-43AF-AEFA-86192FD11859}" uniqueName="15" name="Periodo 13" queryTableFieldId="15"/>
    <tableColumn id="16" xr3:uid="{108113C5-4841-4E5C-BC22-77E574163FEF}" uniqueName="16" name="Periodo 14" queryTableFieldId="16"/>
    <tableColumn id="17" xr3:uid="{85AA8E7C-541B-48C2-AC04-55EB176EA1BF}" uniqueName="17" name="Periodo 15" queryTableField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F51EC6-A015-4407-8FD6-EF977E05742D}" name="CB_SMI_Mixto_MEDIA__2" displayName="CB_SMI_Mixto_MEDIA__2" ref="A1:Q26" tableType="queryTable" totalsRowShown="0">
  <autoFilter ref="A1:Q26" xr:uid="{14F51EC6-A015-4407-8FD6-EF977E05742D}"/>
  <tableColumns count="17">
    <tableColumn id="1" xr3:uid="{B49E6F01-51BA-43DD-BB58-BBDF122E38AD}" uniqueName="1" name="Concepto" queryTableFieldId="1" dataDxfId="51"/>
    <tableColumn id="2" xr3:uid="{F7B81817-101E-45F6-B960-98D9C88D67FB}" uniqueName="2" name="Periodo 0" queryTableFieldId="2"/>
    <tableColumn id="3" xr3:uid="{FC433BCC-D256-4059-A0C9-EECA754F79B5}" uniqueName="3" name="Periodo 1" queryTableFieldId="3"/>
    <tableColumn id="4" xr3:uid="{87ADB0F7-7547-4E95-8F7F-9273ED585024}" uniqueName="4" name="Periodo 2" queryTableFieldId="4"/>
    <tableColumn id="5" xr3:uid="{0B26D17F-A82E-491A-AE90-D9FC6E5D5E15}" uniqueName="5" name="Periodo 3" queryTableFieldId="5"/>
    <tableColumn id="6" xr3:uid="{17E7163D-4F48-4566-84C2-2F38CE36E3BE}" uniqueName="6" name="Periodo 4" queryTableFieldId="6"/>
    <tableColumn id="7" xr3:uid="{96133A8E-ABCB-4404-AAD7-52EFD763568F}" uniqueName="7" name="Periodo 5" queryTableFieldId="7"/>
    <tableColumn id="8" xr3:uid="{2B7AA060-4AE0-429B-AFC7-E5ECDF61A62D}" uniqueName="8" name="Periodo 6" queryTableFieldId="8"/>
    <tableColumn id="9" xr3:uid="{231694AB-B6EF-403E-B172-D6898AB3AEC0}" uniqueName="9" name="Periodo 7" queryTableFieldId="9"/>
    <tableColumn id="10" xr3:uid="{62450D46-B30A-45B8-B20F-22F232DD1D37}" uniqueName="10" name="Periodo 8" queryTableFieldId="10"/>
    <tableColumn id="11" xr3:uid="{3C5C4F3F-C92B-4079-9DF5-B366DF815DD7}" uniqueName="11" name="Periodo 9" queryTableFieldId="11"/>
    <tableColumn id="12" xr3:uid="{C0DAC0F0-70A4-4968-B8FC-B1BF1C9E0990}" uniqueName="12" name="Periodo 10" queryTableFieldId="12"/>
    <tableColumn id="13" xr3:uid="{EEB6648B-0B11-47C8-AD78-036C074DBB29}" uniqueName="13" name="Periodo 11" queryTableFieldId="13"/>
    <tableColumn id="14" xr3:uid="{08512BE8-6B8A-4813-B0C4-7EB23C83BDFA}" uniqueName="14" name="Periodo 12" queryTableFieldId="14"/>
    <tableColumn id="15" xr3:uid="{CB7C9592-2A0E-4CE1-B944-382BD0CA1B0B}" uniqueName="15" name="Periodo 13" queryTableFieldId="15"/>
    <tableColumn id="16" xr3:uid="{890F284F-4C5F-456A-A5AB-EDB92CCDC8AD}" uniqueName="16" name="Periodo 14" queryTableFieldId="16"/>
    <tableColumn id="17" xr3:uid="{2FA65D17-D1EA-49C4-8BB8-6CF0F12EFAF0}" uniqueName="17" name="Periodo 15" queryTableFieldId="1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CBEAA-5AC8-4E92-B54C-0B5FFB5CC579}" name="CB_SMI_Mixto_BAJA__2" displayName="CB_SMI_Mixto_BAJA__2" ref="A1:Q26" tableType="queryTable" totalsRowShown="0">
  <autoFilter ref="A1:Q26" xr:uid="{B32CBEAA-5AC8-4E92-B54C-0B5FFB5CC579}"/>
  <tableColumns count="17">
    <tableColumn id="1" xr3:uid="{D961175E-B69B-4123-A6B4-6B0EC24C4F5E}" uniqueName="1" name="Concepto" queryTableFieldId="1" dataDxfId="50"/>
    <tableColumn id="2" xr3:uid="{8C541F74-7ABF-4B2B-B296-646C76A79850}" uniqueName="2" name="Periodo 0" queryTableFieldId="2"/>
    <tableColumn id="3" xr3:uid="{3BD25768-A73B-4696-B831-513DC0BCBA52}" uniqueName="3" name="Periodo 1" queryTableFieldId="3"/>
    <tableColumn id="4" xr3:uid="{106537F4-88A4-4009-892A-FF126F2D8EDE}" uniqueName="4" name="Periodo 2" queryTableFieldId="4"/>
    <tableColumn id="5" xr3:uid="{555AC100-C27B-4B4E-8E9D-D96BBFC0F9F3}" uniqueName="5" name="Periodo 3" queryTableFieldId="5"/>
    <tableColumn id="6" xr3:uid="{D7EC8656-0711-47B3-8E64-11C7C808D1B9}" uniqueName="6" name="Periodo 4" queryTableFieldId="6"/>
    <tableColumn id="7" xr3:uid="{AF42B51E-5023-4225-BA07-D66B05415E48}" uniqueName="7" name="Periodo 5" queryTableFieldId="7"/>
    <tableColumn id="8" xr3:uid="{83EDC263-C316-471A-85DD-12C217AB3F3D}" uniqueName="8" name="Periodo 6" queryTableFieldId="8"/>
    <tableColumn id="9" xr3:uid="{C9F08845-6AD6-43C8-8B24-0EDF04A9C2A8}" uniqueName="9" name="Periodo 7" queryTableFieldId="9"/>
    <tableColumn id="10" xr3:uid="{E6B0541F-49B9-4F3B-B5F5-8CD15245142A}" uniqueName="10" name="Periodo 8" queryTableFieldId="10"/>
    <tableColumn id="11" xr3:uid="{8B6C18CF-4A9C-434C-B283-3E7EA6B81A5D}" uniqueName="11" name="Periodo 9" queryTableFieldId="11"/>
    <tableColumn id="12" xr3:uid="{63DAC404-EA69-436A-AEE9-FD5A92AC0BD1}" uniqueName="12" name="Periodo 10" queryTableFieldId="12"/>
    <tableColumn id="13" xr3:uid="{C64CE78A-AF78-4C9A-B00C-2D65C5527714}" uniqueName="13" name="Periodo 11" queryTableFieldId="13"/>
    <tableColumn id="14" xr3:uid="{167B3DA8-5B14-4D0D-B8A6-CC72C7C4F73C}" uniqueName="14" name="Periodo 12" queryTableFieldId="14"/>
    <tableColumn id="15" xr3:uid="{6EF6D2D8-5685-438F-82A6-31B7DD46AAB6}" uniqueName="15" name="Periodo 13" queryTableFieldId="15"/>
    <tableColumn id="16" xr3:uid="{A5EACBDF-81F3-4357-B55E-FA197FBED244}" uniqueName="16" name="Periodo 14" queryTableFieldId="16"/>
    <tableColumn id="17" xr3:uid="{C277B9D1-BEFF-47D0-BD34-70928F84F52A}" uniqueName="17" name="Periodo 15" queryTableFieldId="1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A5EC91-D187-4F97-8383-C075558B2AFC}" name="CB_SMI_Mixto_MUY_BAJA__2" displayName="CB_SMI_Mixto_MUY_BAJA__2" ref="A1:Q26" tableType="queryTable" totalsRowShown="0">
  <autoFilter ref="A1:Q26" xr:uid="{E8A5EC91-D187-4F97-8383-C075558B2AFC}"/>
  <tableColumns count="17">
    <tableColumn id="1" xr3:uid="{963A4A17-4B3B-40BC-ACF5-FC1540CA6F65}" uniqueName="1" name="Concepto" queryTableFieldId="1" dataDxfId="49"/>
    <tableColumn id="2" xr3:uid="{A25C0998-A9AF-4B6F-9C32-0BBD8424A6CF}" uniqueName="2" name="Periodo 0" queryTableFieldId="2"/>
    <tableColumn id="3" xr3:uid="{7DE841BC-B9AD-4E82-B72F-CA899F53D4CE}" uniqueName="3" name="Periodo 1" queryTableFieldId="3"/>
    <tableColumn id="4" xr3:uid="{6C0DCC9B-2A2D-474A-9748-6A3701CC22CB}" uniqueName="4" name="Periodo 2" queryTableFieldId="4"/>
    <tableColumn id="5" xr3:uid="{3D6AE82A-CE0A-43E3-A163-103F52FC972C}" uniqueName="5" name="Periodo 3" queryTableFieldId="5"/>
    <tableColumn id="6" xr3:uid="{5E3A52B0-118E-4D2E-85F3-18ED7C7B63BB}" uniqueName="6" name="Periodo 4" queryTableFieldId="6"/>
    <tableColumn id="7" xr3:uid="{165E2F07-2EB5-4D76-8B16-B6EE61B6EAC6}" uniqueName="7" name="Periodo 5" queryTableFieldId="7"/>
    <tableColumn id="8" xr3:uid="{57874BFC-9E8A-4F8E-890C-DAAC9293827C}" uniqueName="8" name="Periodo 6" queryTableFieldId="8"/>
    <tableColumn id="9" xr3:uid="{A5BACED8-CC1F-4A00-8A6B-A8691D5CB6D4}" uniqueName="9" name="Periodo 7" queryTableFieldId="9"/>
    <tableColumn id="10" xr3:uid="{20ADD091-4A94-41F0-8746-2C7B222E48DE}" uniqueName="10" name="Periodo 8" queryTableFieldId="10"/>
    <tableColumn id="11" xr3:uid="{7060CE4C-6743-4763-966D-2ED3F97D8BB6}" uniqueName="11" name="Periodo 9" queryTableFieldId="11"/>
    <tableColumn id="12" xr3:uid="{2711EC63-2E2E-4B2D-9427-1BB70C0C877A}" uniqueName="12" name="Periodo 10" queryTableFieldId="12"/>
    <tableColumn id="13" xr3:uid="{8B6169AD-4540-4A0B-86CC-7E23411CFB89}" uniqueName="13" name="Periodo 11" queryTableFieldId="13"/>
    <tableColumn id="14" xr3:uid="{F7C6E554-F3B3-4829-B956-C829D37F9D55}" uniqueName="14" name="Periodo 12" queryTableFieldId="14"/>
    <tableColumn id="15" xr3:uid="{E0A41414-A253-4482-8FCD-04B246AD246F}" uniqueName="15" name="Periodo 13" queryTableFieldId="15"/>
    <tableColumn id="16" xr3:uid="{6BEB7040-7442-40DC-A187-B637A6491B6C}" uniqueName="16" name="Periodo 14" queryTableFieldId="16"/>
    <tableColumn id="17" xr3:uid="{536B080C-64EE-49DC-8371-D12E4E81EE67}" uniqueName="17" name="Periodo 15" queryTableFieldId="1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A1EBB0-1403-4096-A1BE-F80B51E88107}" name="CB_SMI_Mixto_EXT_BAJA__2" displayName="CB_SMI_Mixto_EXT_BAJA__2" ref="A1:Q26" tableType="queryTable" totalsRowShown="0">
  <autoFilter ref="A1:Q26" xr:uid="{6EA1EBB0-1403-4096-A1BE-F80B51E88107}"/>
  <tableColumns count="17">
    <tableColumn id="1" xr3:uid="{8AB8A44E-0FFD-430A-BBF7-05C2F08ECD8D}" uniqueName="1" name="Concepto" queryTableFieldId="1" dataDxfId="48"/>
    <tableColumn id="2" xr3:uid="{D60C2E86-AFAF-49BC-86A1-2CACBBAAA428}" uniqueName="2" name="Periodo 0" queryTableFieldId="2"/>
    <tableColumn id="3" xr3:uid="{40EE5D8A-9565-4576-8B74-06E20F5B9F16}" uniqueName="3" name="Periodo 1" queryTableFieldId="3"/>
    <tableColumn id="4" xr3:uid="{D37F4182-2F4D-46DF-98AD-4AC27A6E2E21}" uniqueName="4" name="Periodo 2" queryTableFieldId="4"/>
    <tableColumn id="5" xr3:uid="{DB824529-6B2B-4E08-99DB-2427ADCBE22E}" uniqueName="5" name="Periodo 3" queryTableFieldId="5"/>
    <tableColumn id="6" xr3:uid="{D0D9D7E0-20BE-445D-8279-70E625BFB121}" uniqueName="6" name="Periodo 4" queryTableFieldId="6"/>
    <tableColumn id="7" xr3:uid="{20CE5228-0BA2-492C-94E8-5D64E7D374E3}" uniqueName="7" name="Periodo 5" queryTableFieldId="7"/>
    <tableColumn id="8" xr3:uid="{163B51B6-D2D5-4520-AB6D-8DCD05F273C3}" uniqueName="8" name="Periodo 6" queryTableFieldId="8"/>
    <tableColumn id="9" xr3:uid="{F363F98F-E72F-4B3C-B98C-66A621B613AE}" uniqueName="9" name="Periodo 7" queryTableFieldId="9"/>
    <tableColumn id="10" xr3:uid="{E372D7C7-AD01-4720-8C2F-8C2E8A63BA36}" uniqueName="10" name="Periodo 8" queryTableFieldId="10"/>
    <tableColumn id="11" xr3:uid="{3DC393E9-FB15-4378-9A31-2D9298B3B673}" uniqueName="11" name="Periodo 9" queryTableFieldId="11"/>
    <tableColumn id="12" xr3:uid="{5D526A90-7E41-49A5-B791-14EBEB2D187B}" uniqueName="12" name="Periodo 10" queryTableFieldId="12"/>
    <tableColumn id="13" xr3:uid="{C95C69B6-7C23-45AC-ACFC-B9454773AFAE}" uniqueName="13" name="Periodo 11" queryTableFieldId="13"/>
    <tableColumn id="14" xr3:uid="{E89AC719-5F0D-4130-B789-2E1F25CCA3F4}" uniqueName="14" name="Periodo 12" queryTableFieldId="14"/>
    <tableColumn id="15" xr3:uid="{3B7B1DB2-1D2E-4B20-A02F-3370494C51A1}" uniqueName="15" name="Periodo 13" queryTableFieldId="15"/>
    <tableColumn id="16" xr3:uid="{9B90390E-E184-4D17-A035-54445D51575A}" uniqueName="16" name="Periodo 14" queryTableFieldId="16"/>
    <tableColumn id="17" xr3:uid="{12ED859B-230F-48FA-A456-ACEBE81AFF23}" uniqueName="17" name="Periodo 15" queryTableField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9367-59C2-4303-9B74-3CC9CEDA46C6}">
  <dimension ref="B2:S23"/>
  <sheetViews>
    <sheetView workbookViewId="0">
      <selection activeCell="E27" sqref="E27"/>
    </sheetView>
  </sheetViews>
  <sheetFormatPr baseColWidth="10" defaultRowHeight="14.4" x14ac:dyDescent="0.3"/>
  <cols>
    <col min="17" max="17" width="12.6640625" bestFit="1" customWidth="1"/>
  </cols>
  <sheetData>
    <row r="2" spans="2:19" ht="23.4" x14ac:dyDescent="0.45">
      <c r="B2" s="109" t="s">
        <v>0</v>
      </c>
      <c r="C2" s="109"/>
      <c r="D2" s="109"/>
      <c r="E2" s="109"/>
    </row>
    <row r="4" spans="2:19" ht="15.6" x14ac:dyDescent="0.3">
      <c r="B4" s="110" t="s">
        <v>1</v>
      </c>
      <c r="C4" s="110"/>
      <c r="D4" s="110"/>
      <c r="E4" s="110"/>
      <c r="F4" s="2"/>
      <c r="G4" s="2"/>
      <c r="K4" s="110" t="s">
        <v>10</v>
      </c>
      <c r="L4" s="110"/>
      <c r="M4" s="110"/>
      <c r="N4" s="110"/>
      <c r="O4" s="110"/>
    </row>
    <row r="5" spans="2:19" x14ac:dyDescent="0.3">
      <c r="B5" s="111" t="s">
        <v>3</v>
      </c>
      <c r="C5" s="111"/>
      <c r="D5" s="111"/>
      <c r="E5" s="111"/>
      <c r="F5" s="111"/>
      <c r="G5" s="111"/>
      <c r="K5" s="112" t="s">
        <v>11</v>
      </c>
      <c r="L5" s="112"/>
      <c r="Q5" s="1" t="s">
        <v>28</v>
      </c>
      <c r="R5" s="1" t="s">
        <v>7</v>
      </c>
      <c r="S5" s="1" t="s">
        <v>39</v>
      </c>
    </row>
    <row r="6" spans="2:19" x14ac:dyDescent="0.3">
      <c r="B6" s="111" t="s">
        <v>2</v>
      </c>
      <c r="C6" s="111"/>
      <c r="D6" s="111"/>
      <c r="E6" s="111"/>
      <c r="F6" s="111"/>
      <c r="G6" s="111"/>
      <c r="K6" s="100" t="s">
        <v>12</v>
      </c>
      <c r="L6" s="100"/>
      <c r="M6" s="100"/>
      <c r="N6" s="100"/>
      <c r="O6" s="100"/>
      <c r="P6" s="100"/>
      <c r="Q6" s="1" t="s">
        <v>29</v>
      </c>
    </row>
    <row r="7" spans="2:19" x14ac:dyDescent="0.3">
      <c r="B7" s="111" t="s">
        <v>4</v>
      </c>
      <c r="C7" s="111"/>
      <c r="D7" s="111"/>
      <c r="E7" s="111"/>
      <c r="F7" s="111"/>
      <c r="G7" s="111"/>
      <c r="K7" s="100" t="s">
        <v>13</v>
      </c>
      <c r="L7" s="100"/>
      <c r="M7" s="100"/>
      <c r="N7" s="100"/>
      <c r="O7" s="100"/>
      <c r="P7" s="100"/>
      <c r="Q7" s="1" t="s">
        <v>29</v>
      </c>
    </row>
    <row r="8" spans="2:19" x14ac:dyDescent="0.3">
      <c r="B8" s="111" t="s">
        <v>5</v>
      </c>
      <c r="C8" s="111"/>
      <c r="D8" s="111"/>
      <c r="E8" s="111"/>
      <c r="F8" s="111"/>
      <c r="G8" s="111"/>
      <c r="K8" s="100" t="s">
        <v>14</v>
      </c>
      <c r="L8" s="100"/>
      <c r="M8" s="100"/>
      <c r="N8" s="100"/>
      <c r="O8" s="100"/>
      <c r="P8" s="100"/>
      <c r="Q8" s="1" t="s">
        <v>29</v>
      </c>
    </row>
    <row r="9" spans="2:19" x14ac:dyDescent="0.3">
      <c r="K9" s="100" t="s">
        <v>15</v>
      </c>
      <c r="L9" s="100"/>
      <c r="M9" s="100"/>
      <c r="N9" s="100"/>
      <c r="O9" s="100"/>
      <c r="P9" s="100"/>
      <c r="Q9" s="1" t="s">
        <v>29</v>
      </c>
    </row>
    <row r="10" spans="2:19" x14ac:dyDescent="0.3">
      <c r="K10" s="100" t="s">
        <v>16</v>
      </c>
      <c r="L10" s="100"/>
      <c r="M10" s="100"/>
      <c r="N10" s="100"/>
      <c r="O10" s="100"/>
      <c r="P10" s="100"/>
      <c r="Q10" s="1" t="s">
        <v>30</v>
      </c>
    </row>
    <row r="11" spans="2:19" x14ac:dyDescent="0.3">
      <c r="B11" s="111" t="s">
        <v>8</v>
      </c>
      <c r="C11" s="111"/>
      <c r="D11" s="111"/>
      <c r="E11" s="111"/>
      <c r="K11" s="100" t="s">
        <v>31</v>
      </c>
      <c r="L11" s="100"/>
      <c r="M11" s="100"/>
      <c r="N11" s="100"/>
      <c r="O11" s="100"/>
      <c r="P11" s="100"/>
      <c r="Q11" s="1" t="s">
        <v>32</v>
      </c>
    </row>
    <row r="12" spans="2:19" x14ac:dyDescent="0.3">
      <c r="B12" s="112" t="s">
        <v>6</v>
      </c>
      <c r="C12" s="112"/>
      <c r="H12" s="1" t="s">
        <v>7</v>
      </c>
      <c r="K12" s="100" t="s">
        <v>17</v>
      </c>
      <c r="L12" s="100"/>
      <c r="M12" s="100"/>
      <c r="N12" s="100"/>
      <c r="O12" s="100"/>
      <c r="P12" s="100"/>
      <c r="Q12" s="1" t="s">
        <v>29</v>
      </c>
    </row>
    <row r="13" spans="2:19" x14ac:dyDescent="0.3">
      <c r="B13" s="111" t="s">
        <v>3</v>
      </c>
      <c r="C13" s="111"/>
      <c r="D13" s="111"/>
      <c r="E13" s="111"/>
      <c r="F13" s="111"/>
      <c r="G13" s="111"/>
      <c r="H13" s="3">
        <v>0</v>
      </c>
      <c r="K13" s="100" t="s">
        <v>34</v>
      </c>
      <c r="L13" s="100"/>
      <c r="M13" s="100"/>
      <c r="N13" s="100"/>
      <c r="O13" s="100"/>
      <c r="P13" s="100"/>
      <c r="Q13" s="1" t="s">
        <v>33</v>
      </c>
    </row>
    <row r="14" spans="2:19" x14ac:dyDescent="0.3">
      <c r="B14" s="111" t="s">
        <v>2</v>
      </c>
      <c r="C14" s="111"/>
      <c r="D14" s="111"/>
      <c r="E14" s="111"/>
      <c r="F14" s="111"/>
      <c r="G14" s="111"/>
      <c r="H14" s="1">
        <v>2030</v>
      </c>
      <c r="K14" s="100" t="s">
        <v>18</v>
      </c>
      <c r="L14" s="100"/>
      <c r="M14" s="100"/>
      <c r="N14" s="100"/>
      <c r="O14" s="100"/>
      <c r="P14" s="100"/>
      <c r="Q14" s="1" t="s">
        <v>30</v>
      </c>
    </row>
    <row r="15" spans="2:19" x14ac:dyDescent="0.3">
      <c r="B15" s="111" t="s">
        <v>4</v>
      </c>
      <c r="C15" s="111"/>
      <c r="D15" s="111"/>
      <c r="E15" s="111"/>
      <c r="F15" s="111"/>
      <c r="G15" s="111"/>
      <c r="H15" s="1">
        <v>0</v>
      </c>
      <c r="K15" s="100" t="s">
        <v>19</v>
      </c>
      <c r="L15" s="100"/>
      <c r="M15" s="100"/>
      <c r="N15" s="100"/>
      <c r="O15" s="100"/>
      <c r="P15" s="100"/>
      <c r="Q15" s="1" t="s">
        <v>33</v>
      </c>
    </row>
    <row r="16" spans="2:19" x14ac:dyDescent="0.3">
      <c r="K16" s="100" t="s">
        <v>20</v>
      </c>
      <c r="L16" s="100"/>
      <c r="M16" s="100"/>
      <c r="N16" s="100"/>
      <c r="O16" s="100"/>
      <c r="P16" s="100"/>
      <c r="Q16" s="1" t="s">
        <v>35</v>
      </c>
    </row>
    <row r="17" spans="2:17" x14ac:dyDescent="0.3">
      <c r="K17" s="100" t="s">
        <v>21</v>
      </c>
      <c r="L17" s="100"/>
      <c r="M17" s="100"/>
      <c r="N17" s="100"/>
      <c r="O17" s="100"/>
      <c r="P17" s="100"/>
      <c r="Q17" s="1" t="s">
        <v>36</v>
      </c>
    </row>
    <row r="18" spans="2:17" x14ac:dyDescent="0.3">
      <c r="B18" t="s">
        <v>9</v>
      </c>
      <c r="K18" s="100" t="s">
        <v>22</v>
      </c>
      <c r="L18" s="100"/>
      <c r="M18" s="100"/>
      <c r="N18" s="100"/>
      <c r="O18" s="100"/>
      <c r="P18" s="100"/>
      <c r="Q18" s="1" t="s">
        <v>29</v>
      </c>
    </row>
    <row r="19" spans="2:17" x14ac:dyDescent="0.3">
      <c r="B19" s="112" t="s">
        <v>6</v>
      </c>
      <c r="C19" s="112"/>
      <c r="H19" s="1" t="s">
        <v>7</v>
      </c>
      <c r="K19" s="100" t="s">
        <v>23</v>
      </c>
      <c r="L19" s="100"/>
      <c r="M19" s="100"/>
      <c r="N19" s="100"/>
      <c r="O19" s="100"/>
      <c r="P19" s="100"/>
      <c r="Q19" s="1" t="s">
        <v>29</v>
      </c>
    </row>
    <row r="20" spans="2:17" x14ac:dyDescent="0.3">
      <c r="B20" s="111" t="s">
        <v>3</v>
      </c>
      <c r="C20" s="111"/>
      <c r="D20" s="111"/>
      <c r="E20" s="111"/>
      <c r="F20" s="111"/>
      <c r="G20" s="111"/>
      <c r="H20" s="3">
        <v>0.8</v>
      </c>
      <c r="K20" s="100" t="s">
        <v>24</v>
      </c>
      <c r="L20" s="100"/>
      <c r="M20" s="100"/>
      <c r="N20" s="100"/>
      <c r="O20" s="100"/>
      <c r="P20" s="100"/>
      <c r="Q20" s="1" t="s">
        <v>29</v>
      </c>
    </row>
    <row r="21" spans="2:17" x14ac:dyDescent="0.3">
      <c r="B21" s="111" t="s">
        <v>2</v>
      </c>
      <c r="C21" s="111"/>
      <c r="D21" s="111"/>
      <c r="E21" s="111"/>
      <c r="F21" s="111"/>
      <c r="G21" s="111"/>
      <c r="H21" s="1">
        <v>2030</v>
      </c>
      <c r="K21" s="100" t="s">
        <v>25</v>
      </c>
      <c r="L21" s="100"/>
      <c r="M21" s="100"/>
      <c r="N21" s="100"/>
      <c r="O21" s="100"/>
      <c r="P21" s="100"/>
      <c r="Q21" s="1" t="s">
        <v>37</v>
      </c>
    </row>
    <row r="22" spans="2:17" x14ac:dyDescent="0.3">
      <c r="B22" s="111" t="s">
        <v>4</v>
      </c>
      <c r="C22" s="111"/>
      <c r="D22" s="111"/>
      <c r="E22" s="111"/>
      <c r="F22" s="111"/>
      <c r="G22" s="111"/>
      <c r="H22" s="1">
        <v>10</v>
      </c>
      <c r="K22" s="100" t="s">
        <v>27</v>
      </c>
      <c r="L22" s="100"/>
      <c r="M22" s="100"/>
      <c r="N22" s="100"/>
      <c r="O22" s="100"/>
      <c r="P22" s="100"/>
      <c r="Q22" s="1" t="s">
        <v>29</v>
      </c>
    </row>
    <row r="23" spans="2:17" x14ac:dyDescent="0.3">
      <c r="K23" s="100" t="s">
        <v>26</v>
      </c>
      <c r="L23" s="100"/>
      <c r="M23" s="100"/>
      <c r="N23" s="100"/>
      <c r="O23" s="100"/>
      <c r="P23" s="100"/>
      <c r="Q23" s="1" t="s">
        <v>38</v>
      </c>
    </row>
  </sheetData>
  <mergeCells count="35">
    <mergeCell ref="K23:P23"/>
    <mergeCell ref="K5:L5"/>
    <mergeCell ref="K15:P15"/>
    <mergeCell ref="K16:P16"/>
    <mergeCell ref="K17:P17"/>
    <mergeCell ref="K18:P18"/>
    <mergeCell ref="K19:P19"/>
    <mergeCell ref="K20:P20"/>
    <mergeCell ref="K9:P9"/>
    <mergeCell ref="K10:P10"/>
    <mergeCell ref="K11:P11"/>
    <mergeCell ref="K12:P12"/>
    <mergeCell ref="K13:P13"/>
    <mergeCell ref="K14:P14"/>
    <mergeCell ref="B22:G22"/>
    <mergeCell ref="B11:E11"/>
    <mergeCell ref="B12:C12"/>
    <mergeCell ref="B19:C19"/>
    <mergeCell ref="K4:O4"/>
    <mergeCell ref="K6:P6"/>
    <mergeCell ref="K7:P7"/>
    <mergeCell ref="K8:P8"/>
    <mergeCell ref="B13:G13"/>
    <mergeCell ref="B14:G14"/>
    <mergeCell ref="B15:G15"/>
    <mergeCell ref="B20:G20"/>
    <mergeCell ref="B21:G21"/>
    <mergeCell ref="B8:G8"/>
    <mergeCell ref="K21:P21"/>
    <mergeCell ref="K22:P22"/>
    <mergeCell ref="B2:E2"/>
    <mergeCell ref="B4:E4"/>
    <mergeCell ref="B5:G5"/>
    <mergeCell ref="B6:G6"/>
    <mergeCell ref="B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241F-B0F3-4F5C-B2FF-E8D086A34A71}">
  <sheetPr>
    <tabColor rgb="FF58267E"/>
  </sheetPr>
  <dimension ref="A1:Q26"/>
  <sheetViews>
    <sheetView zoomScale="80" zoomScaleNormal="80" workbookViewId="0">
      <selection activeCell="F11" sqref="F11"/>
    </sheetView>
  </sheetViews>
  <sheetFormatPr baseColWidth="10" defaultRowHeight="14.4" x14ac:dyDescent="0.3"/>
  <cols>
    <col min="1" max="1" width="47.109375" bestFit="1" customWidth="1"/>
    <col min="2" max="11" width="12.6640625" bestFit="1" customWidth="1"/>
    <col min="12" max="17" width="13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34765766.042480066</v>
      </c>
      <c r="C2">
        <v>35815692.176962957</v>
      </c>
      <c r="D2">
        <v>36897326.080707237</v>
      </c>
      <c r="E2">
        <v>38011625.328344598</v>
      </c>
      <c r="F2">
        <v>39159576.413260609</v>
      </c>
      <c r="G2">
        <v>40342195.620941088</v>
      </c>
      <c r="H2">
        <v>41560529.928693503</v>
      </c>
      <c r="I2">
        <v>42815657.932540037</v>
      </c>
      <c r="J2">
        <v>44108690.802102759</v>
      </c>
      <c r="K2">
        <v>45440773.264326259</v>
      </c>
      <c r="L2">
        <v>46813084.616908908</v>
      </c>
      <c r="M2">
        <v>48226839.77233956</v>
      </c>
      <c r="N2">
        <v>49683290.333464213</v>
      </c>
      <c r="O2">
        <v>51183725.701534837</v>
      </c>
      <c r="P2">
        <v>52729474.217721187</v>
      </c>
      <c r="Q2">
        <v>54321904.339096367</v>
      </c>
    </row>
    <row r="3" spans="1:17" x14ac:dyDescent="0.3">
      <c r="A3" t="s">
        <v>102</v>
      </c>
      <c r="B3">
        <v>7706817</v>
      </c>
      <c r="C3">
        <v>113821</v>
      </c>
      <c r="D3">
        <v>115591</v>
      </c>
      <c r="E3">
        <v>117376</v>
      </c>
      <c r="F3">
        <v>119200</v>
      </c>
      <c r="G3">
        <v>121056</v>
      </c>
      <c r="H3">
        <v>122935</v>
      </c>
      <c r="I3">
        <v>124861</v>
      </c>
      <c r="J3">
        <v>126789</v>
      </c>
      <c r="K3">
        <v>128764</v>
      </c>
      <c r="L3">
        <v>130761</v>
      </c>
      <c r="M3">
        <v>132814</v>
      </c>
      <c r="N3">
        <v>134885</v>
      </c>
      <c r="O3">
        <v>136990</v>
      </c>
      <c r="P3">
        <v>139136</v>
      </c>
      <c r="Q3">
        <v>141300</v>
      </c>
    </row>
    <row r="4" spans="1:17" x14ac:dyDescent="0.3">
      <c r="A4" t="s">
        <v>103</v>
      </c>
      <c r="B4">
        <v>56511</v>
      </c>
      <c r="C4">
        <v>514</v>
      </c>
      <c r="D4">
        <v>519</v>
      </c>
      <c r="E4">
        <v>528</v>
      </c>
      <c r="F4">
        <v>539</v>
      </c>
      <c r="G4">
        <v>549</v>
      </c>
      <c r="H4">
        <v>558</v>
      </c>
      <c r="I4">
        <v>564</v>
      </c>
      <c r="J4">
        <v>570</v>
      </c>
      <c r="K4">
        <v>576</v>
      </c>
      <c r="L4">
        <v>589</v>
      </c>
      <c r="M4">
        <v>594</v>
      </c>
      <c r="N4">
        <v>602</v>
      </c>
      <c r="O4">
        <v>612</v>
      </c>
      <c r="P4">
        <v>621</v>
      </c>
      <c r="Q4">
        <v>632</v>
      </c>
    </row>
    <row r="5" spans="1:17" x14ac:dyDescent="0.3">
      <c r="A5" t="s">
        <v>104</v>
      </c>
      <c r="B5">
        <v>216250</v>
      </c>
      <c r="C5">
        <v>739</v>
      </c>
      <c r="D5">
        <v>739</v>
      </c>
      <c r="E5">
        <v>744</v>
      </c>
      <c r="F5">
        <v>746</v>
      </c>
      <c r="G5">
        <v>755</v>
      </c>
      <c r="H5">
        <v>755</v>
      </c>
      <c r="I5">
        <v>760</v>
      </c>
      <c r="J5">
        <v>762</v>
      </c>
      <c r="K5">
        <v>762</v>
      </c>
      <c r="L5">
        <v>762</v>
      </c>
      <c r="M5">
        <v>767</v>
      </c>
      <c r="N5">
        <v>773</v>
      </c>
      <c r="O5">
        <v>779</v>
      </c>
      <c r="P5">
        <v>785</v>
      </c>
      <c r="Q5">
        <v>793</v>
      </c>
    </row>
    <row r="6" spans="1:17" x14ac:dyDescent="0.3">
      <c r="A6" t="s">
        <v>133</v>
      </c>
      <c r="B6">
        <v>56134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151.75652061112481</v>
      </c>
      <c r="C7">
        <v>152.21776745357479</v>
      </c>
      <c r="D7">
        <v>152.22385627485411</v>
      </c>
      <c r="E7">
        <v>152.2339626272265</v>
      </c>
      <c r="F7">
        <v>152.23660859060399</v>
      </c>
      <c r="G7">
        <v>152.2441353423209</v>
      </c>
      <c r="H7">
        <v>152.255883992896</v>
      </c>
      <c r="I7">
        <v>152.26341787000479</v>
      </c>
      <c r="J7">
        <v>152.26679713014011</v>
      </c>
      <c r="K7">
        <v>152.27695817671611</v>
      </c>
      <c r="L7">
        <v>152.28124648786721</v>
      </c>
      <c r="M7">
        <v>152.2903354566034</v>
      </c>
      <c r="N7">
        <v>152.29995250274919</v>
      </c>
      <c r="O7">
        <v>152.30671231476751</v>
      </c>
      <c r="P7">
        <v>152.31341862158851</v>
      </c>
      <c r="Q7">
        <v>152.31953958952579</v>
      </c>
    </row>
    <row r="8" spans="1:17" x14ac:dyDescent="0.3">
      <c r="A8" t="s">
        <v>135</v>
      </c>
      <c r="B8">
        <v>354.42606383417979</v>
      </c>
      <c r="C8">
        <v>344.49738002594029</v>
      </c>
      <c r="D8">
        <v>344.3916249197174</v>
      </c>
      <c r="E8">
        <v>344.73767676767682</v>
      </c>
      <c r="F8">
        <v>344.79792207792212</v>
      </c>
      <c r="G8">
        <v>344.8764055859138</v>
      </c>
      <c r="H8">
        <v>344.97256869772991</v>
      </c>
      <c r="I8">
        <v>344.96127659574461</v>
      </c>
      <c r="J8">
        <v>344.95022222222218</v>
      </c>
      <c r="K8">
        <v>344.91233796296302</v>
      </c>
      <c r="L8">
        <v>344.76674589700059</v>
      </c>
      <c r="M8">
        <v>344.82951739618409</v>
      </c>
      <c r="N8">
        <v>344.78279069767439</v>
      </c>
      <c r="O8">
        <v>344.80250544662312</v>
      </c>
      <c r="P8">
        <v>344.94018250134189</v>
      </c>
      <c r="Q8">
        <v>344.88938818565401</v>
      </c>
    </row>
    <row r="9" spans="1:17" x14ac:dyDescent="0.3">
      <c r="A9" t="s">
        <v>136</v>
      </c>
      <c r="B9">
        <v>789.09288101734091</v>
      </c>
      <c r="C9">
        <v>747.9606062246279</v>
      </c>
      <c r="D9">
        <v>747.9606062246279</v>
      </c>
      <c r="E9">
        <v>747.84030645161306</v>
      </c>
      <c r="F9">
        <v>747.92634316353906</v>
      </c>
      <c r="G9">
        <v>748.14272847682116</v>
      </c>
      <c r="H9">
        <v>748.14272847682116</v>
      </c>
      <c r="I9">
        <v>748.18781578947369</v>
      </c>
      <c r="J9">
        <v>748.10751181102364</v>
      </c>
      <c r="K9">
        <v>748.10751181102364</v>
      </c>
      <c r="L9">
        <v>748.10751181102364</v>
      </c>
      <c r="M9">
        <v>748.15241720990889</v>
      </c>
      <c r="N9">
        <v>748.23779560155242</v>
      </c>
      <c r="O9">
        <v>748.24183311938384</v>
      </c>
      <c r="P9">
        <v>748.16639490445857</v>
      </c>
      <c r="Q9">
        <v>748.0151778058007</v>
      </c>
    </row>
    <row r="10" spans="1:17" x14ac:dyDescent="0.3">
      <c r="A10" t="s">
        <v>137</v>
      </c>
      <c r="B10">
        <v>1044.494750656168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146433235.87799999</v>
      </c>
      <c r="C11">
        <v>2111722.9739999999</v>
      </c>
      <c r="D11">
        <v>2144295.9989999998</v>
      </c>
      <c r="E11">
        <v>2177309.4479999999</v>
      </c>
      <c r="F11">
        <v>2211020.2349999999</v>
      </c>
      <c r="G11">
        <v>2245428.36</v>
      </c>
      <c r="H11">
        <v>2280075.047999999</v>
      </c>
      <c r="I11">
        <v>2315620.9350000001</v>
      </c>
      <c r="J11">
        <v>2351148.4709999999</v>
      </c>
      <c r="K11">
        <v>2387501.8020000001</v>
      </c>
      <c r="L11">
        <v>2424387.3119999999</v>
      </c>
      <c r="M11">
        <v>2462245.4249999998</v>
      </c>
      <c r="N11">
        <v>2500507.2599999998</v>
      </c>
      <c r="O11">
        <v>2539429.7310000001</v>
      </c>
      <c r="P11">
        <v>2579086.2420000001</v>
      </c>
      <c r="Q11">
        <v>2619146.4750000001</v>
      </c>
    </row>
    <row r="12" spans="1:17" x14ac:dyDescent="0.3">
      <c r="A12" t="s">
        <v>141</v>
      </c>
      <c r="B12">
        <v>11003418.08421053</v>
      </c>
      <c r="C12">
        <v>158680.9894736842</v>
      </c>
      <c r="D12">
        <v>161128.62105263161</v>
      </c>
      <c r="E12">
        <v>163609.34736842109</v>
      </c>
      <c r="F12">
        <v>166142.4736842105</v>
      </c>
      <c r="G12">
        <v>168728</v>
      </c>
      <c r="H12">
        <v>171331.45263157901</v>
      </c>
      <c r="I12">
        <v>174002.4736842105</v>
      </c>
      <c r="J12">
        <v>176672.1157894737</v>
      </c>
      <c r="K12">
        <v>179403.81052631579</v>
      </c>
      <c r="L12">
        <v>182175.49473684211</v>
      </c>
      <c r="M12">
        <v>185020.26315789469</v>
      </c>
      <c r="N12">
        <v>187895.36842105261</v>
      </c>
      <c r="O12">
        <v>190820.1157894737</v>
      </c>
      <c r="P12">
        <v>193800.02105263161</v>
      </c>
      <c r="Q12">
        <v>196810.26315789469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979138.65910607087</v>
      </c>
      <c r="C14">
        <v>979234.62308205478</v>
      </c>
      <c r="D14">
        <v>979345.2968645764</v>
      </c>
      <c r="E14">
        <v>979446.86457638443</v>
      </c>
      <c r="F14">
        <v>979585.55703802546</v>
      </c>
      <c r="G14">
        <v>979738.25883922621</v>
      </c>
      <c r="H14">
        <v>979897.26484322897</v>
      </c>
      <c r="I14">
        <v>980061.8745830555</v>
      </c>
      <c r="J14">
        <v>980230.68712474988</v>
      </c>
      <c r="K14">
        <v>1001058.372248166</v>
      </c>
      <c r="L14">
        <v>1003487.5917278189</v>
      </c>
      <c r="M14">
        <v>1004338.659106071</v>
      </c>
      <c r="N14">
        <v>1005206.537691795</v>
      </c>
      <c r="O14">
        <v>1007644.863242162</v>
      </c>
      <c r="P14">
        <v>1009217.411607739</v>
      </c>
      <c r="Q14">
        <v>1010164.442961975</v>
      </c>
    </row>
    <row r="15" spans="1:17" x14ac:dyDescent="0.3">
      <c r="A15" t="s">
        <v>85</v>
      </c>
      <c r="B15">
        <v>63719512.114743173</v>
      </c>
      <c r="C15">
        <v>64638415.236824557</v>
      </c>
      <c r="D15">
        <v>65571492.308205478</v>
      </c>
      <c r="E15">
        <v>66518934.976651117</v>
      </c>
      <c r="F15">
        <v>67481046.684456319</v>
      </c>
      <c r="G15">
        <v>68458130.873915955</v>
      </c>
      <c r="H15">
        <v>69450291.354236171</v>
      </c>
      <c r="I15">
        <v>70457919.406270862</v>
      </c>
      <c r="J15">
        <v>71481007.04469648</v>
      </c>
      <c r="K15">
        <v>72519913.60907273</v>
      </c>
      <c r="L15">
        <v>73574870.673782527</v>
      </c>
      <c r="M15">
        <v>74646301.460974008</v>
      </c>
      <c r="N15">
        <v>75734381.647765189</v>
      </c>
      <c r="O15">
        <v>76839398.705803886</v>
      </c>
      <c r="P15">
        <v>77961672.048032045</v>
      </c>
      <c r="Q15">
        <v>79101377.35156773</v>
      </c>
    </row>
    <row r="16" spans="1:17" x14ac:dyDescent="0.3">
      <c r="A16" t="s">
        <v>142</v>
      </c>
      <c r="B16">
        <v>9043591.7296315767</v>
      </c>
      <c r="C16">
        <v>9174009.9390526321</v>
      </c>
      <c r="D16">
        <v>9306439.8307105247</v>
      </c>
      <c r="E16">
        <v>9440908.6048157886</v>
      </c>
      <c r="F16">
        <v>9577459.3283684216</v>
      </c>
      <c r="G16">
        <v>9716135.06836842</v>
      </c>
      <c r="H16">
        <v>9856950.5582631566</v>
      </c>
      <c r="I16">
        <v>9999961.3318157885</v>
      </c>
      <c r="J16">
        <v>10145166.25568421</v>
      </c>
      <c r="K16">
        <v>10292616.33026316</v>
      </c>
      <c r="L16">
        <v>10442344.42247368</v>
      </c>
      <c r="M16">
        <v>10594410.59944737</v>
      </c>
      <c r="N16">
        <v>10748839.794710521</v>
      </c>
      <c r="O16">
        <v>10905672.808578949</v>
      </c>
      <c r="P16">
        <v>11064954.97473684</v>
      </c>
      <c r="Q16">
        <v>11226711.226710521</v>
      </c>
    </row>
    <row r="17" spans="1:17" x14ac:dyDescent="0.3">
      <c r="A17" t="s">
        <v>86</v>
      </c>
      <c r="B17">
        <v>9910635.876000002</v>
      </c>
      <c r="C17">
        <v>10053557.784</v>
      </c>
      <c r="D17">
        <v>10198684.242000001</v>
      </c>
      <c r="E17">
        <v>10346045.058</v>
      </c>
      <c r="F17">
        <v>10495687.427999999</v>
      </c>
      <c r="G17">
        <v>10647658.548</v>
      </c>
      <c r="H17">
        <v>10801974.563999999</v>
      </c>
      <c r="I17">
        <v>10958696.334000001</v>
      </c>
      <c r="J17">
        <v>11117822.616</v>
      </c>
      <c r="K17">
        <v>11279409.300000001</v>
      </c>
      <c r="L17">
        <v>11443492.403999999</v>
      </c>
      <c r="M17">
        <v>11610137.754000001</v>
      </c>
      <c r="N17">
        <v>11779372.674000001</v>
      </c>
      <c r="O17">
        <v>11951241.876</v>
      </c>
      <c r="P17">
        <v>12125795.039999999</v>
      </c>
      <c r="Q17">
        <v>12303059.49</v>
      </c>
    </row>
    <row r="18" spans="1:17" x14ac:dyDescent="0.3">
      <c r="A18" t="s">
        <v>87</v>
      </c>
      <c r="B18">
        <v>29328497.723999999</v>
      </c>
      <c r="C18">
        <v>29763086.730599999</v>
      </c>
      <c r="D18">
        <v>30204690.7788</v>
      </c>
      <c r="E18">
        <v>30653156.4036</v>
      </c>
      <c r="F18">
        <v>31108554.517200001</v>
      </c>
      <c r="G18">
        <v>31571178.7302</v>
      </c>
      <c r="H18">
        <v>32041048.479600001</v>
      </c>
      <c r="I18">
        <v>32518040.761799999</v>
      </c>
      <c r="J18">
        <v>33002768.1708</v>
      </c>
      <c r="K18">
        <v>33495107.380800001</v>
      </c>
      <c r="L18">
        <v>33994935.216600001</v>
      </c>
      <c r="M18">
        <v>34502614.504199997</v>
      </c>
      <c r="N18">
        <v>35018359.464599997</v>
      </c>
      <c r="O18">
        <v>35542353.721800007</v>
      </c>
      <c r="P18">
        <v>36074364.2082</v>
      </c>
      <c r="Q18">
        <v>36614733.096600004</v>
      </c>
    </row>
    <row r="19" spans="1:17" x14ac:dyDescent="0.3">
      <c r="A19" t="s">
        <v>88</v>
      </c>
      <c r="B19">
        <v>2842917.253794</v>
      </c>
      <c r="C19">
        <v>2884885.939152</v>
      </c>
      <c r="D19">
        <v>2927517.1507259998</v>
      </c>
      <c r="E19">
        <v>2970810.1540080011</v>
      </c>
      <c r="F19">
        <v>3014771.1923159999</v>
      </c>
      <c r="G19">
        <v>3059420.097366001</v>
      </c>
      <c r="H19">
        <v>3104760.9089520001</v>
      </c>
      <c r="I19">
        <v>3150799.5031380001</v>
      </c>
      <c r="J19">
        <v>3197564.892990001</v>
      </c>
      <c r="K19">
        <v>3245057.8130160002</v>
      </c>
      <c r="L19">
        <v>3293279.364978001</v>
      </c>
      <c r="M19">
        <v>3342254.5221480001</v>
      </c>
      <c r="N19">
        <v>3391998.7091939999</v>
      </c>
      <c r="O19">
        <v>3444800.7489479999</v>
      </c>
      <c r="P19">
        <v>3498452.1998999999</v>
      </c>
      <c r="Q19">
        <v>3552967.86075</v>
      </c>
    </row>
    <row r="20" spans="1:17" x14ac:dyDescent="0.3">
      <c r="A20" t="s">
        <v>89</v>
      </c>
      <c r="B20">
        <v>109660055.7959816</v>
      </c>
      <c r="C20">
        <v>112971789.4810202</v>
      </c>
      <c r="D20">
        <v>116383537.52334701</v>
      </c>
      <c r="E20">
        <v>119898320.35655209</v>
      </c>
      <c r="F20">
        <v>123519249.63132</v>
      </c>
      <c r="G20">
        <v>127249530.9701858</v>
      </c>
      <c r="H20">
        <v>131092466.8054855</v>
      </c>
      <c r="I20">
        <v>135051459.30301109</v>
      </c>
      <c r="J20">
        <v>139130013.3739621</v>
      </c>
      <c r="K20">
        <v>143331739.77785569</v>
      </c>
      <c r="L20">
        <v>147660358.31914699</v>
      </c>
      <c r="M20">
        <v>152119701.14038521</v>
      </c>
      <c r="N20">
        <v>156713716.1148248</v>
      </c>
      <c r="O20">
        <v>161446470.3414925</v>
      </c>
      <c r="P20">
        <v>166322153.74580559</v>
      </c>
      <c r="Q20">
        <v>171345082.78892899</v>
      </c>
    </row>
    <row r="21" spans="1:17" x14ac:dyDescent="0.3">
      <c r="A21" t="s">
        <v>90</v>
      </c>
      <c r="B21">
        <v>2140632.757288021</v>
      </c>
      <c r="C21">
        <v>2140632.757288021</v>
      </c>
      <c r="D21">
        <v>2140632.757288021</v>
      </c>
      <c r="E21">
        <v>2140632.757288021</v>
      </c>
      <c r="F21">
        <v>2140632.757288021</v>
      </c>
      <c r="G21">
        <v>2140632.757288021</v>
      </c>
      <c r="H21">
        <v>2140632.757288021</v>
      </c>
      <c r="I21">
        <v>2140632.757288021</v>
      </c>
      <c r="J21">
        <v>2140632.757288021</v>
      </c>
      <c r="K21">
        <v>2140632.757288021</v>
      </c>
      <c r="L21">
        <v>2140632.757288021</v>
      </c>
      <c r="M21">
        <v>2140632.757288021</v>
      </c>
      <c r="N21">
        <v>2140632.757288021</v>
      </c>
      <c r="O21">
        <v>2140632.757288021</v>
      </c>
      <c r="P21">
        <v>2140632.757288021</v>
      </c>
      <c r="Q21">
        <v>2140632.757288021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18335257.873264361</v>
      </c>
      <c r="C24">
        <v>19926132.58258526</v>
      </c>
      <c r="D24">
        <v>21435126.08136541</v>
      </c>
      <c r="E24">
        <v>22875032.890404701</v>
      </c>
      <c r="F24">
        <v>24253748.645129461</v>
      </c>
      <c r="G24">
        <v>25573182.763486411</v>
      </c>
      <c r="H24">
        <v>26810714.910085831</v>
      </c>
      <c r="I24">
        <v>28002353.142947171</v>
      </c>
      <c r="J24">
        <v>29138706.450536709</v>
      </c>
      <c r="K24">
        <v>30204863.52525451</v>
      </c>
      <c r="L24">
        <v>31228761.15622526</v>
      </c>
      <c r="M24">
        <v>32189657.328124151</v>
      </c>
      <c r="N24">
        <v>33121469.139280751</v>
      </c>
      <c r="O24">
        <v>33976399.283122078</v>
      </c>
      <c r="P24">
        <v>34786092.740839809</v>
      </c>
      <c r="Q24">
        <v>35557806.056269556</v>
      </c>
    </row>
    <row r="25" spans="1:17" x14ac:dyDescent="0.3">
      <c r="A25" t="s">
        <v>93</v>
      </c>
      <c r="B25">
        <v>9645454.5262200013</v>
      </c>
      <c r="C25">
        <v>9787845.9537599999</v>
      </c>
      <c r="D25">
        <v>9932485.2013799995</v>
      </c>
      <c r="E25">
        <v>10079369.777039999</v>
      </c>
      <c r="F25">
        <v>10228520.863080001</v>
      </c>
      <c r="G25">
        <v>10380005.744580001</v>
      </c>
      <c r="H25">
        <v>10533838.127760001</v>
      </c>
      <c r="I25">
        <v>10690037.94894</v>
      </c>
      <c r="J25">
        <v>10848703.6437</v>
      </c>
      <c r="K25">
        <v>11009837.704080001</v>
      </c>
      <c r="L25">
        <v>11173443.868140001</v>
      </c>
      <c r="M25">
        <v>11339606.86524</v>
      </c>
      <c r="N25">
        <v>11508379.02822</v>
      </c>
      <c r="O25">
        <v>11679797.737679999</v>
      </c>
      <c r="P25">
        <v>11853867.977700001</v>
      </c>
      <c r="Q25">
        <v>12030634.605</v>
      </c>
    </row>
    <row r="26" spans="1:17" x14ac:dyDescent="0.3">
      <c r="A26" t="s">
        <v>94</v>
      </c>
      <c r="B26">
        <v>14938964.625</v>
      </c>
      <c r="C26">
        <v>14949967.425000001</v>
      </c>
      <c r="D26">
        <v>14961276.375</v>
      </c>
      <c r="E26">
        <v>15126163.725</v>
      </c>
      <c r="F26">
        <v>15161638.425000001</v>
      </c>
      <c r="G26">
        <v>15184728.375</v>
      </c>
      <c r="H26">
        <v>15201352.5</v>
      </c>
      <c r="I26">
        <v>15217575.975</v>
      </c>
      <c r="J26">
        <v>15343356.975</v>
      </c>
      <c r="K26">
        <v>15375860.550000001</v>
      </c>
      <c r="L26">
        <v>15401599.574999999</v>
      </c>
      <c r="M26">
        <v>15427400.775</v>
      </c>
      <c r="N26">
        <v>15457995.6</v>
      </c>
      <c r="O26">
        <v>15503510.175000001</v>
      </c>
      <c r="P26">
        <v>15549158.775</v>
      </c>
      <c r="Q26">
        <v>15594941.699999999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5955-6A86-4C2F-B370-4F14B1D3A643}">
  <sheetPr>
    <tabColor rgb="FF58267E"/>
  </sheetPr>
  <dimension ref="B2:X79"/>
  <sheetViews>
    <sheetView tabSelected="1" topLeftCell="A38" zoomScale="80" zoomScaleNormal="80" workbookViewId="0">
      <selection activeCell="H73" sqref="H73:I73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2.6640625" bestFit="1" customWidth="1"/>
    <col min="7" max="11" width="12" bestFit="1" customWidth="1"/>
    <col min="12" max="14" width="12.5546875" bestFit="1" customWidth="1"/>
    <col min="15" max="17" width="13.33203125" bestFit="1" customWidth="1"/>
    <col min="18" max="21" width="12.5546875" bestFit="1" customWidth="1"/>
  </cols>
  <sheetData>
    <row r="2" spans="2:21" ht="18.600000000000001" thickBot="1" x14ac:dyDescent="0.4">
      <c r="B2" s="71" t="s">
        <v>50</v>
      </c>
      <c r="C2" s="71"/>
      <c r="D2" s="71"/>
      <c r="E2" s="71"/>
      <c r="G2" s="71" t="s">
        <v>41</v>
      </c>
      <c r="H2" s="71"/>
      <c r="I2" s="71"/>
      <c r="J2" s="71"/>
      <c r="K2" s="7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70" t="s">
        <v>51</v>
      </c>
      <c r="C4" s="70"/>
      <c r="D4" s="70" t="s">
        <v>40</v>
      </c>
      <c r="E4" s="70"/>
      <c r="G4" s="70" t="s">
        <v>17</v>
      </c>
      <c r="H4" s="70"/>
      <c r="I4" s="70"/>
      <c r="J4" s="18">
        <v>0.06</v>
      </c>
      <c r="K4" s="16" t="s">
        <v>29</v>
      </c>
      <c r="L4" s="72"/>
      <c r="M4" s="72"/>
      <c r="N4" s="72"/>
      <c r="O4" s="72"/>
      <c r="P4" s="72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72" t="s">
        <v>52</v>
      </c>
      <c r="C5" s="72"/>
      <c r="D5" s="72" t="s">
        <v>147</v>
      </c>
      <c r="E5" s="72"/>
      <c r="G5" s="70" t="s">
        <v>46</v>
      </c>
      <c r="H5" s="70"/>
      <c r="I5" s="70"/>
      <c r="J5" s="19">
        <v>15</v>
      </c>
      <c r="K5" s="20" t="s">
        <v>47</v>
      </c>
      <c r="L5" s="84"/>
      <c r="M5" s="84"/>
      <c r="N5" s="84"/>
      <c r="O5" s="84"/>
      <c r="P5" s="84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72" t="s">
        <v>53</v>
      </c>
      <c r="C6" s="72"/>
      <c r="D6" s="72" t="s">
        <v>147</v>
      </c>
      <c r="E6" s="72"/>
      <c r="G6" s="83" t="s">
        <v>106</v>
      </c>
      <c r="H6" s="83"/>
      <c r="I6" s="83"/>
      <c r="J6" s="20">
        <v>10</v>
      </c>
      <c r="K6" s="20" t="s">
        <v>47</v>
      </c>
      <c r="L6" s="84"/>
      <c r="M6" s="84"/>
      <c r="N6" s="84"/>
      <c r="O6" s="84"/>
      <c r="P6" s="84"/>
    </row>
    <row r="7" spans="2:21" x14ac:dyDescent="0.3">
      <c r="B7" s="72" t="s">
        <v>54</v>
      </c>
      <c r="C7" s="72"/>
      <c r="D7" s="72" t="s">
        <v>147</v>
      </c>
      <c r="E7" s="72"/>
      <c r="G7" s="83" t="s">
        <v>128</v>
      </c>
      <c r="H7" s="83"/>
      <c r="I7" s="83"/>
      <c r="J7" s="21">
        <f>(SUMIF($F$12:$U$12,"&lt;="&amp;$J$6,$F$17:$U$17)) / ($J$6)</f>
        <v>892797.1</v>
      </c>
      <c r="K7" s="20" t="s">
        <v>107</v>
      </c>
      <c r="L7" s="84" t="str">
        <f>"Razonable para chile en torno a 1M y 1,5M por año."</f>
        <v>Razonable para chile en torno a 1M y 1,5M por año.</v>
      </c>
      <c r="M7" s="84"/>
      <c r="N7" s="84"/>
      <c r="O7" s="84"/>
      <c r="P7" s="84"/>
    </row>
    <row r="8" spans="2:21" x14ac:dyDescent="0.3">
      <c r="B8" s="72" t="s">
        <v>55</v>
      </c>
      <c r="C8" s="72"/>
      <c r="D8" s="72" t="s">
        <v>147</v>
      </c>
      <c r="E8" s="72"/>
      <c r="G8" s="83" t="s">
        <v>129</v>
      </c>
      <c r="H8" s="83"/>
      <c r="I8" s="83"/>
      <c r="J8" s="21">
        <f>(SUMIF($F$12:$U$12,"&lt;="&amp;$J$6,$F$18:$U$18)) / ($J$6)</f>
        <v>6201.7</v>
      </c>
      <c r="K8" s="20" t="s">
        <v>107</v>
      </c>
      <c r="L8" s="84" t="str">
        <f t="shared" ref="L8:L9" si="0">"Razonable para chile en torno a 1M y 1,5M por año."</f>
        <v>Razonable para chile en torno a 1M y 1,5M por año.</v>
      </c>
      <c r="M8" s="84"/>
      <c r="N8" s="84"/>
      <c r="O8" s="84"/>
      <c r="P8" s="84"/>
    </row>
    <row r="9" spans="2:21" x14ac:dyDescent="0.3">
      <c r="B9" s="72" t="s">
        <v>56</v>
      </c>
      <c r="C9" s="72"/>
      <c r="D9" s="72" t="s">
        <v>147</v>
      </c>
      <c r="E9" s="72"/>
      <c r="G9" s="83" t="s">
        <v>130</v>
      </c>
      <c r="H9" s="83"/>
      <c r="I9" s="83"/>
      <c r="J9" s="21">
        <f>(SUMIF($F$12:$U$12,"&lt;="&amp;$J$6,$F$19:$U$19)) / ($J$6)</f>
        <v>22377.4</v>
      </c>
      <c r="K9" s="20" t="s">
        <v>107</v>
      </c>
      <c r="L9" s="84" t="str">
        <f t="shared" si="0"/>
        <v>Razonable para chile en torno a 1M y 1,5M por año.</v>
      </c>
      <c r="M9" s="84"/>
      <c r="N9" s="84"/>
      <c r="O9" s="84"/>
      <c r="P9" s="84"/>
    </row>
    <row r="12" spans="2:21" x14ac:dyDescent="0.3">
      <c r="B12" s="44" t="s">
        <v>121</v>
      </c>
      <c r="C12" s="44"/>
      <c r="D12" s="44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45"/>
      <c r="C13" s="45"/>
      <c r="D13" s="45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2:21" x14ac:dyDescent="0.3">
      <c r="B15" s="64" t="s">
        <v>122</v>
      </c>
      <c r="C15" s="67" t="s">
        <v>138</v>
      </c>
      <c r="D15" s="68"/>
      <c r="E15" s="68"/>
      <c r="F15" s="4">
        <f>CB_SMI_Mixto!B2/1000</f>
        <v>34765.766042480063</v>
      </c>
      <c r="G15" s="4">
        <f>CB_SMI_Mixto!C2/1000</f>
        <v>35815.692176962955</v>
      </c>
      <c r="H15" s="4">
        <f>CB_SMI_Mixto!D2/1000</f>
        <v>36897.326080707237</v>
      </c>
      <c r="I15" s="4">
        <f>CB_SMI_Mixto!E2/1000</f>
        <v>38011.625328344599</v>
      </c>
      <c r="J15" s="4">
        <f>CB_SMI_Mixto!F2/1000</f>
        <v>39159.576413260605</v>
      </c>
      <c r="K15" s="4">
        <f>CB_SMI_Mixto!G2/1000</f>
        <v>40342.195620941086</v>
      </c>
      <c r="L15" s="4">
        <f>CB_SMI_Mixto!H2/1000</f>
        <v>41560.529928693504</v>
      </c>
      <c r="M15" s="4">
        <f>CB_SMI_Mixto!I2/1000</f>
        <v>42815.657932540038</v>
      </c>
      <c r="N15" s="4">
        <f>CB_SMI_Mixto!J2/1000</f>
        <v>44108.690802102763</v>
      </c>
      <c r="O15" s="4">
        <f>CB_SMI_Mixto!K2/1000</f>
        <v>45440.773264326257</v>
      </c>
      <c r="P15" s="4">
        <f>CB_SMI_Mixto!L2/1000</f>
        <v>46813.084616908905</v>
      </c>
      <c r="Q15" s="4">
        <f>CB_SMI_Mixto!M2/1000</f>
        <v>48226.839772339561</v>
      </c>
      <c r="R15" s="4">
        <f>CB_SMI_Mixto!N2/1000</f>
        <v>49683.290333464211</v>
      </c>
      <c r="S15" s="4">
        <f>CB_SMI_Mixto!O2/1000</f>
        <v>51183.725701534837</v>
      </c>
      <c r="T15" s="4">
        <f>CB_SMI_Mixto!P2/1000</f>
        <v>52729.474217721188</v>
      </c>
      <c r="U15" s="4">
        <f>CB_SMI_Mixto!Q2/1000</f>
        <v>54321.904339096371</v>
      </c>
    </row>
    <row r="16" spans="2:21" x14ac:dyDescent="0.3">
      <c r="B16" s="65"/>
      <c r="C16" s="6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2:21" x14ac:dyDescent="0.3">
      <c r="B17" s="65"/>
      <c r="C17" s="46" t="s">
        <v>115</v>
      </c>
      <c r="D17" s="47"/>
      <c r="E17" s="47"/>
      <c r="F17" s="12">
        <f>CB_SMI_Mixto!B3</f>
        <v>7706817</v>
      </c>
      <c r="G17" s="12">
        <f>CB_SMI_Mixto!C3</f>
        <v>113821</v>
      </c>
      <c r="H17" s="12">
        <f>CB_SMI_Mixto!D3</f>
        <v>115591</v>
      </c>
      <c r="I17" s="12">
        <f>CB_SMI_Mixto!E3</f>
        <v>117376</v>
      </c>
      <c r="J17" s="12">
        <f>CB_SMI_Mixto!F3</f>
        <v>119200</v>
      </c>
      <c r="K17" s="12">
        <f>CB_SMI_Mixto!G3</f>
        <v>121056</v>
      </c>
      <c r="L17" s="12">
        <f>CB_SMI_Mixto!H3</f>
        <v>122935</v>
      </c>
      <c r="M17" s="12">
        <f>CB_SMI_Mixto!I3</f>
        <v>124861</v>
      </c>
      <c r="N17" s="12">
        <f>CB_SMI_Mixto!J3</f>
        <v>126789</v>
      </c>
      <c r="O17" s="12">
        <f>CB_SMI_Mixto!K3</f>
        <v>128764</v>
      </c>
      <c r="P17" s="12">
        <f>CB_SMI_Mixto!L3</f>
        <v>130761</v>
      </c>
      <c r="Q17" s="12">
        <f>CB_SMI_Mixto!M3</f>
        <v>132814</v>
      </c>
      <c r="R17" s="12">
        <f>CB_SMI_Mixto!N3</f>
        <v>134885</v>
      </c>
      <c r="S17" s="12">
        <f>CB_SMI_Mixto!O3</f>
        <v>136990</v>
      </c>
      <c r="T17" s="12">
        <f>CB_SMI_Mixto!P3</f>
        <v>139136</v>
      </c>
      <c r="U17" s="12">
        <f>CB_SMI_Mixto!Q3</f>
        <v>141300</v>
      </c>
    </row>
    <row r="18" spans="2:21" x14ac:dyDescent="0.3">
      <c r="B18" s="65"/>
      <c r="C18" s="46" t="s">
        <v>116</v>
      </c>
      <c r="D18" s="47"/>
      <c r="E18" s="47"/>
      <c r="F18" s="12">
        <f>CB_SMI_Mixto!B4</f>
        <v>56511</v>
      </c>
      <c r="G18" s="12">
        <f>CB_SMI_Mixto!C4</f>
        <v>514</v>
      </c>
      <c r="H18" s="12">
        <f>CB_SMI_Mixto!D4</f>
        <v>519</v>
      </c>
      <c r="I18" s="12">
        <f>CB_SMI_Mixto!E4</f>
        <v>528</v>
      </c>
      <c r="J18" s="12">
        <f>CB_SMI_Mixto!F4</f>
        <v>539</v>
      </c>
      <c r="K18" s="12">
        <f>CB_SMI_Mixto!G4</f>
        <v>549</v>
      </c>
      <c r="L18" s="12">
        <f>CB_SMI_Mixto!H4</f>
        <v>558</v>
      </c>
      <c r="M18" s="12">
        <f>CB_SMI_Mixto!I4</f>
        <v>564</v>
      </c>
      <c r="N18" s="12">
        <f>CB_SMI_Mixto!J4</f>
        <v>570</v>
      </c>
      <c r="O18" s="12">
        <f>CB_SMI_Mixto!K4</f>
        <v>576</v>
      </c>
      <c r="P18" s="12">
        <f>CB_SMI_Mixto!L4</f>
        <v>589</v>
      </c>
      <c r="Q18" s="12">
        <f>CB_SMI_Mixto!M4</f>
        <v>594</v>
      </c>
      <c r="R18" s="12">
        <f>CB_SMI_Mixto!N4</f>
        <v>602</v>
      </c>
      <c r="S18" s="12">
        <f>CB_SMI_Mixto!O4</f>
        <v>612</v>
      </c>
      <c r="T18" s="12">
        <f>CB_SMI_Mixto!P4</f>
        <v>621</v>
      </c>
      <c r="U18" s="12">
        <f>CB_SMI_Mixto!Q4</f>
        <v>632</v>
      </c>
    </row>
    <row r="19" spans="2:21" x14ac:dyDescent="0.3">
      <c r="B19" s="66"/>
      <c r="C19" s="46" t="s">
        <v>117</v>
      </c>
      <c r="D19" s="47"/>
      <c r="E19" s="47"/>
      <c r="F19" s="13">
        <f>CB_SMI_Mixto!B5</f>
        <v>216250</v>
      </c>
      <c r="G19" s="13">
        <f>CB_SMI_Mixto!C5</f>
        <v>739</v>
      </c>
      <c r="H19" s="13">
        <f>CB_SMI_Mixto!D5</f>
        <v>739</v>
      </c>
      <c r="I19" s="13">
        <f>CB_SMI_Mixto!E5</f>
        <v>744</v>
      </c>
      <c r="J19" s="13">
        <f>CB_SMI_Mixto!F5</f>
        <v>746</v>
      </c>
      <c r="K19" s="13">
        <f>CB_SMI_Mixto!G5</f>
        <v>755</v>
      </c>
      <c r="L19" s="13">
        <f>CB_SMI_Mixto!H5</f>
        <v>755</v>
      </c>
      <c r="M19" s="13">
        <f>CB_SMI_Mixto!I5</f>
        <v>760</v>
      </c>
      <c r="N19" s="13">
        <f>CB_SMI_Mixto!J5</f>
        <v>762</v>
      </c>
      <c r="O19" s="13">
        <f>CB_SMI_Mixto!K5</f>
        <v>762</v>
      </c>
      <c r="P19" s="13">
        <f>CB_SMI_Mixto!L5</f>
        <v>762</v>
      </c>
      <c r="Q19" s="13">
        <f>CB_SMI_Mixto!M5</f>
        <v>767</v>
      </c>
      <c r="R19" s="13">
        <f>CB_SMI_Mixto!N5</f>
        <v>773</v>
      </c>
      <c r="S19" s="13">
        <f>CB_SMI_Mixto!O5</f>
        <v>779</v>
      </c>
      <c r="T19" s="13">
        <f>CB_SMI_Mixto!P5</f>
        <v>785</v>
      </c>
      <c r="U19" s="13">
        <f>CB_SMI_Mixto!Q5</f>
        <v>793</v>
      </c>
    </row>
    <row r="20" spans="2:21" x14ac:dyDescent="0.3">
      <c r="B20" s="1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x14ac:dyDescent="0.3">
      <c r="B21" s="75" t="s">
        <v>105</v>
      </c>
      <c r="C21" s="50" t="s">
        <v>125</v>
      </c>
      <c r="D21" s="51"/>
      <c r="E21" s="51"/>
      <c r="F21" s="9">
        <v>0</v>
      </c>
      <c r="G21" s="11">
        <f>IF(G$12&lt;=$J$6,$J7,G17)</f>
        <v>892797.1</v>
      </c>
      <c r="H21" s="11">
        <f t="shared" ref="H21:U21" si="1">IF(H$12&lt;=$J$6,$J7,H17)</f>
        <v>892797.1</v>
      </c>
      <c r="I21" s="11">
        <f t="shared" si="1"/>
        <v>892797.1</v>
      </c>
      <c r="J21" s="11">
        <f t="shared" si="1"/>
        <v>892797.1</v>
      </c>
      <c r="K21" s="11">
        <f t="shared" si="1"/>
        <v>892797.1</v>
      </c>
      <c r="L21" s="11">
        <f t="shared" si="1"/>
        <v>892797.1</v>
      </c>
      <c r="M21" s="11">
        <f t="shared" si="1"/>
        <v>892797.1</v>
      </c>
      <c r="N21" s="11">
        <f t="shared" si="1"/>
        <v>892797.1</v>
      </c>
      <c r="O21" s="11">
        <f t="shared" si="1"/>
        <v>892797.1</v>
      </c>
      <c r="P21" s="11">
        <f t="shared" si="1"/>
        <v>892797.1</v>
      </c>
      <c r="Q21" s="11">
        <f t="shared" si="1"/>
        <v>132814</v>
      </c>
      <c r="R21" s="11">
        <f t="shared" si="1"/>
        <v>134885</v>
      </c>
      <c r="S21" s="11">
        <f t="shared" si="1"/>
        <v>136990</v>
      </c>
      <c r="T21" s="11">
        <f t="shared" si="1"/>
        <v>139136</v>
      </c>
      <c r="U21" s="11">
        <f t="shared" si="1"/>
        <v>141300</v>
      </c>
    </row>
    <row r="22" spans="2:21" x14ac:dyDescent="0.3">
      <c r="B22" s="76"/>
      <c r="C22" s="50" t="s">
        <v>126</v>
      </c>
      <c r="D22" s="51"/>
      <c r="E22" s="51"/>
      <c r="F22" s="9">
        <v>0</v>
      </c>
      <c r="G22" s="11">
        <f>IF(G$12&lt;=$J$6,$J8,G18)</f>
        <v>6201.7</v>
      </c>
      <c r="H22" s="11">
        <f t="shared" ref="H22:U22" si="2">IF(H$12&lt;=$J$6,$J8,H18)</f>
        <v>6201.7</v>
      </c>
      <c r="I22" s="11">
        <f t="shared" si="2"/>
        <v>6201.7</v>
      </c>
      <c r="J22" s="11">
        <f t="shared" si="2"/>
        <v>6201.7</v>
      </c>
      <c r="K22" s="11">
        <f t="shared" si="2"/>
        <v>6201.7</v>
      </c>
      <c r="L22" s="11">
        <f t="shared" si="2"/>
        <v>6201.7</v>
      </c>
      <c r="M22" s="11">
        <f t="shared" si="2"/>
        <v>6201.7</v>
      </c>
      <c r="N22" s="11">
        <f>IF(N$12&lt;=$J$6,$J8,N18)</f>
        <v>6201.7</v>
      </c>
      <c r="O22" s="11">
        <f t="shared" si="2"/>
        <v>6201.7</v>
      </c>
      <c r="P22" s="11">
        <f t="shared" si="2"/>
        <v>6201.7</v>
      </c>
      <c r="Q22" s="11">
        <f t="shared" si="2"/>
        <v>594</v>
      </c>
      <c r="R22" s="11">
        <f t="shared" si="2"/>
        <v>602</v>
      </c>
      <c r="S22" s="11">
        <f t="shared" si="2"/>
        <v>612</v>
      </c>
      <c r="T22" s="11">
        <f t="shared" si="2"/>
        <v>621</v>
      </c>
      <c r="U22" s="11">
        <f t="shared" si="2"/>
        <v>632</v>
      </c>
    </row>
    <row r="23" spans="2:21" x14ac:dyDescent="0.3">
      <c r="B23" s="76"/>
      <c r="C23" s="50" t="s">
        <v>127</v>
      </c>
      <c r="D23" s="51"/>
      <c r="E23" s="51"/>
      <c r="F23" s="9">
        <v>0</v>
      </c>
      <c r="G23" s="11">
        <f>IF(G$12&lt;=$J$6,$J9,G19)</f>
        <v>22377.4</v>
      </c>
      <c r="H23" s="11">
        <f t="shared" ref="H23:U23" si="3">IF(H$12&lt;=$J$6,$J9,H19)</f>
        <v>22377.4</v>
      </c>
      <c r="I23" s="11">
        <f t="shared" si="3"/>
        <v>22377.4</v>
      </c>
      <c r="J23" s="11">
        <f t="shared" si="3"/>
        <v>22377.4</v>
      </c>
      <c r="K23" s="11">
        <f t="shared" si="3"/>
        <v>22377.4</v>
      </c>
      <c r="L23" s="11">
        <f t="shared" si="3"/>
        <v>22377.4</v>
      </c>
      <c r="M23" s="11">
        <f t="shared" si="3"/>
        <v>22377.4</v>
      </c>
      <c r="N23" s="11">
        <f t="shared" si="3"/>
        <v>22377.4</v>
      </c>
      <c r="O23" s="11">
        <f t="shared" si="3"/>
        <v>22377.4</v>
      </c>
      <c r="P23" s="11">
        <f t="shared" si="3"/>
        <v>22377.4</v>
      </c>
      <c r="Q23" s="11">
        <f t="shared" si="3"/>
        <v>767</v>
      </c>
      <c r="R23" s="11">
        <f t="shared" si="3"/>
        <v>773</v>
      </c>
      <c r="S23" s="11">
        <f t="shared" si="3"/>
        <v>779</v>
      </c>
      <c r="T23" s="11">
        <f t="shared" si="3"/>
        <v>785</v>
      </c>
      <c r="U23" s="11">
        <f t="shared" si="3"/>
        <v>793</v>
      </c>
    </row>
    <row r="24" spans="2:21" x14ac:dyDescent="0.3">
      <c r="B24" s="76"/>
      <c r="C24" s="69" t="s">
        <v>114</v>
      </c>
      <c r="D24" s="49"/>
      <c r="E24" s="49"/>
      <c r="F24" s="4">
        <f>SUM(F17:F19)</f>
        <v>7979578</v>
      </c>
      <c r="G24" s="7">
        <f>SUM(F24,G17:G19)-SUM(G21:G23)</f>
        <v>7173275.7999999998</v>
      </c>
      <c r="H24" s="7">
        <f>SUM(G24,H17:H19)-SUM(H21:H23)</f>
        <v>6368748.5999999996</v>
      </c>
      <c r="I24" s="7">
        <f t="shared" ref="I24:U24" si="4">SUM(H24,I17:I19)-SUM(I21:I23)</f>
        <v>5566020.3999999994</v>
      </c>
      <c r="J24" s="7">
        <f t="shared" si="4"/>
        <v>4765129.1999999993</v>
      </c>
      <c r="K24" s="7">
        <f t="shared" si="4"/>
        <v>3966112.9999999991</v>
      </c>
      <c r="L24" s="7">
        <f t="shared" si="4"/>
        <v>3168984.7999999989</v>
      </c>
      <c r="M24" s="7">
        <f t="shared" si="4"/>
        <v>2373793.5999999987</v>
      </c>
      <c r="N24" s="7">
        <f t="shared" si="4"/>
        <v>1580538.3999999987</v>
      </c>
      <c r="O24" s="7">
        <f t="shared" si="4"/>
        <v>789264.19999999879</v>
      </c>
      <c r="P24" s="7">
        <f>SUM(O24,P17:P19)-SUM(P21:P23)</f>
        <v>-1.1641532182693481E-9</v>
      </c>
      <c r="Q24" s="7">
        <f>SUM(P24,Q17:Q19)-SUM(Q21:Q23)</f>
        <v>-1.1641532182693481E-9</v>
      </c>
      <c r="R24" s="7">
        <f t="shared" si="4"/>
        <v>-1.1641532182693481E-9</v>
      </c>
      <c r="S24" s="7">
        <f t="shared" si="4"/>
        <v>-1.1641532182693481E-9</v>
      </c>
      <c r="T24" s="7">
        <f t="shared" si="4"/>
        <v>-1.1641532182693481E-9</v>
      </c>
      <c r="U24" s="7">
        <f t="shared" si="4"/>
        <v>-1.1641532182693481E-9</v>
      </c>
    </row>
    <row r="25" spans="2:21" x14ac:dyDescent="0.3">
      <c r="B25" s="77"/>
      <c r="C25" s="48" t="s">
        <v>108</v>
      </c>
      <c r="D25" s="48"/>
      <c r="E25" s="48"/>
      <c r="F25" s="17">
        <v>0</v>
      </c>
      <c r="G25" s="17">
        <f>IF(G$12&lt;=$J$6,SUM($F$21:G23)/SUM($F$17:G19),1)</f>
        <v>0.1138253009517889</v>
      </c>
      <c r="H25" s="17">
        <f>IF(H$12&lt;=$J$6,SUM($F$21:H23)/SUM($F$17:H19),1)</f>
        <v>0.22441115211457682</v>
      </c>
      <c r="I25" s="17">
        <f>IF(I$12&lt;=$J$6,SUM($F$21:I23)/SUM($F$17:I19),1)</f>
        <v>0.33182222790972887</v>
      </c>
      <c r="J25" s="17">
        <f>IF(J$12&lt;=$J$6,SUM($F$21:J23)/SUM($F$17:J19),1)</f>
        <v>0.43612169217126195</v>
      </c>
      <c r="K25" s="17">
        <f>IF(K$12&lt;=$J$6,SUM($F$21:K23)/SUM($F$17:K19),1)</f>
        <v>0.5373713080867667</v>
      </c>
      <c r="L25" s="17">
        <f>IF(L$12&lt;=$J$6,SUM($F$21:L23)/SUM($F$17:L19),1)</f>
        <v>0.63563336515184965</v>
      </c>
      <c r="M25" s="17">
        <f>IF(M$12&lt;=$J$6,SUM($F$21:M23)/SUM($F$17:M19),1)</f>
        <v>0.73096693608957186</v>
      </c>
      <c r="N25" s="17">
        <f>IF(N$12&lt;=$J$6,SUM($F$21:N23)/SUM($F$17:N19),1)</f>
        <v>0.82343406972738165</v>
      </c>
      <c r="O25" s="17">
        <f>IF(O$12&lt;=$J$6,SUM($F$21:O23)/SUM($F$17:O19),1)</f>
        <v>0.91309242263245149</v>
      </c>
      <c r="P25" s="17">
        <f>IF(P$12&lt;=$J$6,SUM($F$21:P23)/SUM($F$17:P19),1)</f>
        <v>0.99999999999999944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1" ht="28.2" customHeight="1" x14ac:dyDescent="0.3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2:21" x14ac:dyDescent="0.3">
      <c r="B27" s="55" t="s">
        <v>124</v>
      </c>
      <c r="C27" s="56"/>
      <c r="D27" s="57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1" x14ac:dyDescent="0.3">
      <c r="B28" s="58"/>
      <c r="C28" s="59"/>
      <c r="D28" s="60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</row>
    <row r="29" spans="2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3">
      <c r="B30" s="61" t="s">
        <v>118</v>
      </c>
      <c r="C30" s="52" t="s">
        <v>57</v>
      </c>
      <c r="D30" s="53"/>
      <c r="E30" s="53"/>
      <c r="F30" s="8">
        <v>0</v>
      </c>
      <c r="G30" s="8">
        <f>((-CB_SMI_Mixto!C7)*G21)/1000000</f>
        <v>-135.89958135102597</v>
      </c>
      <c r="H30" s="8">
        <f>((-CB_SMI_Mixto!D7)*H21)/1000000</f>
        <v>-135.90501743300655</v>
      </c>
      <c r="I30" s="8">
        <f>((-CB_SMI_Mixto!E7)*I21)/1000000</f>
        <v>-135.9140403550962</v>
      </c>
      <c r="J30" s="8">
        <f>((-CB_SMI_Mixto!F7)*J21)/1000000</f>
        <v>-135.91640266352633</v>
      </c>
      <c r="K30" s="8">
        <f>((-CB_SMI_Mixto!G7)*K21)/1000000</f>
        <v>-135.92312252563161</v>
      </c>
      <c r="L30" s="8">
        <f>((-CB_SMI_Mixto!H7)*L21)/1000000</f>
        <v>-135.93361168679399</v>
      </c>
      <c r="M30" s="8">
        <f>((-CB_SMI_Mixto!I7)*M21)/1000000</f>
        <v>-135.94033791042844</v>
      </c>
      <c r="N30" s="8">
        <f>((-CB_SMI_Mixto!J7)*N21)/1000000</f>
        <v>-135.94335490407741</v>
      </c>
      <c r="O30" s="8">
        <f>((-CB_SMI_Mixto!K7)*O21)/1000000</f>
        <v>-135.95242665699342</v>
      </c>
      <c r="P30" s="8">
        <f>((-CB_SMI_Mixto!L7)*P21)/1000000</f>
        <v>-135.95625524875302</v>
      </c>
      <c r="Q30" s="8">
        <f>((-CB_SMI_Mixto!M7)*Q21)/1000000</f>
        <v>-20.226288613333328</v>
      </c>
      <c r="R30" s="8">
        <f>((-CB_SMI_Mixto!N7)*R21)/1000000</f>
        <v>-20.542979093333326</v>
      </c>
      <c r="S30" s="8">
        <f>((-CB_SMI_Mixto!O7)*S21)/1000000</f>
        <v>-20.864496519999999</v>
      </c>
      <c r="T30" s="8">
        <f>((-CB_SMI_Mixto!P7)*T21)/1000000</f>
        <v>-21.192279813333339</v>
      </c>
      <c r="U30" s="8">
        <f>((-CB_SMI_Mixto!Q7)*U21)/1000000</f>
        <v>-21.522750943999995</v>
      </c>
    </row>
    <row r="31" spans="2:21" x14ac:dyDescent="0.3">
      <c r="B31" s="62"/>
      <c r="C31" s="52" t="s">
        <v>58</v>
      </c>
      <c r="D31" s="53"/>
      <c r="E31" s="53"/>
      <c r="F31" s="8">
        <v>0</v>
      </c>
      <c r="G31" s="8">
        <f>((-CB_SMI_Mixto!C8)*G22)/1000000</f>
        <v>-2.1364694017068739</v>
      </c>
      <c r="H31" s="8">
        <f>((-CB_SMI_Mixto!D8)*H22)/1000000</f>
        <v>-2.135813540264611</v>
      </c>
      <c r="I31" s="8">
        <f>((-CB_SMI_Mixto!E8)*I22)/1000000</f>
        <v>-2.1379596500101012</v>
      </c>
      <c r="J31" s="8">
        <f>((-CB_SMI_Mixto!F8)*J22)/1000000</f>
        <v>-2.1383332733506495</v>
      </c>
      <c r="K31" s="8">
        <f>((-CB_SMI_Mixto!G8)*K22)/1000000</f>
        <v>-2.1388200045221617</v>
      </c>
      <c r="L31" s="8">
        <f>((-CB_SMI_Mixto!H8)*L22)/1000000</f>
        <v>-2.1394163792927117</v>
      </c>
      <c r="M31" s="8">
        <f>((-CB_SMI_Mixto!I8)*M22)/1000000</f>
        <v>-2.1393463490638291</v>
      </c>
      <c r="N31" s="8">
        <f>((-CB_SMI_Mixto!J8)*N22)/1000000</f>
        <v>-2.1392777931555553</v>
      </c>
      <c r="O31" s="8">
        <f>((-CB_SMI_Mixto!K8)*O22)/1000000</f>
        <v>-2.1390428463449078</v>
      </c>
      <c r="P31" s="8">
        <f>((-CB_SMI_Mixto!L8)*P22)/1000000</f>
        <v>-2.1381399280294286</v>
      </c>
      <c r="Q31" s="8">
        <f>((-CB_SMI_Mixto!M8)*Q22)/1000000</f>
        <v>-0.20482873333333335</v>
      </c>
      <c r="R31" s="8">
        <f>((-CB_SMI_Mixto!N8)*R22)/1000000</f>
        <v>-0.20755923999999998</v>
      </c>
      <c r="S31" s="8">
        <f>((-CB_SMI_Mixto!O8)*S22)/1000000</f>
        <v>-0.21101913333333336</v>
      </c>
      <c r="T31" s="8">
        <f>((-CB_SMI_Mixto!P8)*T22)/1000000</f>
        <v>-0.21420785333333331</v>
      </c>
      <c r="U31" s="8">
        <f>((-CB_SMI_Mixto!Q8)*U22)/1000000</f>
        <v>-0.21797009333333334</v>
      </c>
    </row>
    <row r="32" spans="2:21" x14ac:dyDescent="0.3">
      <c r="B32" s="62"/>
      <c r="C32" s="52" t="s">
        <v>59</v>
      </c>
      <c r="D32" s="53"/>
      <c r="E32" s="53"/>
      <c r="F32" s="8">
        <v>0</v>
      </c>
      <c r="G32" s="8">
        <f>((-CB_SMI_Mixto!C9)*G23)/1000000</f>
        <v>-16.737413669730991</v>
      </c>
      <c r="H32" s="8">
        <f>((-CB_SMI_Mixto!D9)*H23)/1000000</f>
        <v>-16.737413669730991</v>
      </c>
      <c r="I32" s="8">
        <f>((-CB_SMI_Mixto!E9)*I23)/1000000</f>
        <v>-16.734721673590325</v>
      </c>
      <c r="J32" s="8">
        <f>((-CB_SMI_Mixto!F9)*J23)/1000000</f>
        <v>-16.73664695150778</v>
      </c>
      <c r="K32" s="8">
        <f>((-CB_SMI_Mixto!G9)*K23)/1000000</f>
        <v>-16.741489092217218</v>
      </c>
      <c r="L32" s="8">
        <f>((-CB_SMI_Mixto!H9)*L23)/1000000</f>
        <v>-16.741489092217218</v>
      </c>
      <c r="M32" s="8">
        <f>((-CB_SMI_Mixto!I9)*M23)/1000000</f>
        <v>-16.742498029047368</v>
      </c>
      <c r="N32" s="8">
        <f>((-CB_SMI_Mixto!J9)*N23)/1000000</f>
        <v>-16.740701034800001</v>
      </c>
      <c r="O32" s="8">
        <f>((-CB_SMI_Mixto!K9)*O23)/1000000</f>
        <v>-16.740701034800001</v>
      </c>
      <c r="P32" s="8">
        <f>((-CB_SMI_Mixto!L9)*P23)/1000000</f>
        <v>-16.740701034800001</v>
      </c>
      <c r="Q32" s="8">
        <f>((-CB_SMI_Mixto!M9)*Q23)/1000000</f>
        <v>-0.57383290400000009</v>
      </c>
      <c r="R32" s="8">
        <f>((-CB_SMI_Mixto!N9)*R23)/1000000</f>
        <v>-0.578387816</v>
      </c>
      <c r="S32" s="8">
        <f>((-CB_SMI_Mixto!O9)*S23)/1000000</f>
        <v>-0.58288038800000008</v>
      </c>
      <c r="T32" s="8">
        <f>((-CB_SMI_Mixto!P9)*T23)/1000000</f>
        <v>-0.58731062000000001</v>
      </c>
      <c r="U32" s="8">
        <f>((-CB_SMI_Mixto!Q9)*U23)/1000000</f>
        <v>-0.59317603600000002</v>
      </c>
    </row>
    <row r="33" spans="2:22" x14ac:dyDescent="0.3">
      <c r="B33" s="62"/>
      <c r="C33" s="52" t="s">
        <v>60</v>
      </c>
      <c r="D33" s="53"/>
      <c r="E33" s="53"/>
      <c r="F33" s="8">
        <f>((-CB_SMI_Mixto!B10)*CB_SMI_Mixto!B6)/1000000</f>
        <v>-58.631668333333337</v>
      </c>
      <c r="G33" s="8">
        <f>((-CB_SMI_Mixto!C10)*CB_SMI_Mixto!C6)/1000000</f>
        <v>0</v>
      </c>
      <c r="H33" s="8">
        <f>((-CB_SMI_Mixto!D10)*CB_SMI_Mixto!D6)/1000000</f>
        <v>0</v>
      </c>
      <c r="I33" s="8">
        <f>((-CB_SMI_Mixto!E10)*CB_SMI_Mixto!E6)/1000000</f>
        <v>0</v>
      </c>
      <c r="J33" s="8">
        <f>((-CB_SMI_Mixto!F10)*CB_SMI_Mixto!F6)/1000000</f>
        <v>0</v>
      </c>
      <c r="K33" s="8">
        <f>((-CB_SMI_Mixto!G10)*CB_SMI_Mixto!G6)/1000000</f>
        <v>0</v>
      </c>
      <c r="L33" s="8">
        <f>((-CB_SMI_Mixto!H10)*CB_SMI_Mixto!H6)/1000000</f>
        <v>0</v>
      </c>
      <c r="M33" s="8">
        <f>((-CB_SMI_Mixto!I10)*CB_SMI_Mixto!I6)/1000000</f>
        <v>0</v>
      </c>
      <c r="N33" s="8">
        <f>((-CB_SMI_Mixto!J10)*CB_SMI_Mixto!J6)/1000000</f>
        <v>0</v>
      </c>
      <c r="O33" s="8">
        <f>((-CB_SMI_Mixto!K10)*CB_SMI_Mixto!K6)/1000000</f>
        <v>0</v>
      </c>
      <c r="P33" s="8">
        <f>((-CB_SMI_Mixto!L10)*CB_SMI_Mixto!L6)/1000000</f>
        <v>0</v>
      </c>
      <c r="Q33" s="8">
        <f>((-CB_SMI_Mixto!M10)*CB_SMI_Mixto!M6)/1000000</f>
        <v>0</v>
      </c>
      <c r="R33" s="8">
        <f>((-CB_SMI_Mixto!N10)*CB_SMI_Mixto!N6)/1000000</f>
        <v>0</v>
      </c>
      <c r="S33" s="8">
        <f>((-CB_SMI_Mixto!O10)*CB_SMI_Mixto!O6)/1000000</f>
        <v>0</v>
      </c>
      <c r="T33" s="8">
        <f>((-CB_SMI_Mixto!P10)*CB_SMI_Mixto!P6)/1000000</f>
        <v>0</v>
      </c>
      <c r="U33" s="8">
        <f>((-CB_SMI_Mixto!Q10)*CB_SMI_Mixto!Q6)/1000000</f>
        <v>0</v>
      </c>
    </row>
    <row r="34" spans="2:22" x14ac:dyDescent="0.3">
      <c r="B34" s="62"/>
      <c r="C34" s="52" t="s">
        <v>145</v>
      </c>
      <c r="D34" s="53"/>
      <c r="E34" s="53"/>
      <c r="F34" s="8">
        <f>(-CB_SMI_Mixto!B11)/1000000</f>
        <v>-146.433235878</v>
      </c>
      <c r="G34" s="8">
        <f>(-CB_SMI_Mixto!C11)/1000000</f>
        <v>-2.1117229740000001</v>
      </c>
      <c r="H34" s="8">
        <f>(-CB_SMI_Mixto!D11)/1000000</f>
        <v>-2.1442959989999997</v>
      </c>
      <c r="I34" s="8">
        <f>(-CB_SMI_Mixto!E11)/1000000</f>
        <v>-2.1773094479999999</v>
      </c>
      <c r="J34" s="8">
        <f>(-CB_SMI_Mixto!F11)/1000000</f>
        <v>-2.2110202349999999</v>
      </c>
      <c r="K34" s="8">
        <f>(-CB_SMI_Mixto!G11)/1000000</f>
        <v>-2.24542836</v>
      </c>
      <c r="L34" s="8">
        <f>(-CB_SMI_Mixto!H11)/1000000</f>
        <v>-2.2800750479999992</v>
      </c>
      <c r="M34" s="8">
        <f>(-CB_SMI_Mixto!I11)/1000000</f>
        <v>-2.3156209350000001</v>
      </c>
      <c r="N34" s="8">
        <f>(-CB_SMI_Mixto!J11)/1000000</f>
        <v>-2.3511484709999997</v>
      </c>
      <c r="O34" s="8">
        <f>(-CB_SMI_Mixto!K11)/1000000</f>
        <v>-2.3875018020000001</v>
      </c>
      <c r="P34" s="8">
        <f>(-CB_SMI_Mixto!L11)/1000000</f>
        <v>-2.4243873119999999</v>
      </c>
      <c r="Q34" s="8">
        <f>(-CB_SMI_Mixto!M11)/1000000</f>
        <v>-2.4622454249999999</v>
      </c>
      <c r="R34" s="8">
        <f>(-CB_SMI_Mixto!N11)/1000000</f>
        <v>-2.5005072599999996</v>
      </c>
      <c r="S34" s="8">
        <f>(-CB_SMI_Mixto!O11)/1000000</f>
        <v>-2.5394297310000002</v>
      </c>
      <c r="T34" s="8">
        <f>(-CB_SMI_Mixto!P11)/1000000</f>
        <v>-2.5790862420000003</v>
      </c>
      <c r="U34" s="8">
        <f>(-CB_SMI_Mixto!Q11)/1000000</f>
        <v>-2.619146475</v>
      </c>
    </row>
    <row r="35" spans="2:22" x14ac:dyDescent="0.3">
      <c r="B35" s="62"/>
      <c r="C35" s="52" t="s">
        <v>143</v>
      </c>
      <c r="D35" s="53"/>
      <c r="E35" s="53"/>
      <c r="F35" s="8">
        <f>(-CB_SMI_Mixto!B12)/1000000</f>
        <v>-11.00341808421053</v>
      </c>
      <c r="G35" s="8">
        <f>(-CB_SMI_Mixto!C12)/1000000</f>
        <v>-0.1586809894736842</v>
      </c>
      <c r="H35" s="8">
        <f>(-CB_SMI_Mixto!D12)/1000000</f>
        <v>-0.16112862105263162</v>
      </c>
      <c r="I35" s="8">
        <f>(-CB_SMI_Mixto!E12)/1000000</f>
        <v>-0.16360934736842109</v>
      </c>
      <c r="J35" s="8">
        <f>(-CB_SMI_Mixto!F12)/1000000</f>
        <v>-0.16614247368421051</v>
      </c>
      <c r="K35" s="8">
        <f>(-CB_SMI_Mixto!G12)/1000000</f>
        <v>-0.16872799999999999</v>
      </c>
      <c r="L35" s="8">
        <f>(-CB_SMI_Mixto!H12)/1000000</f>
        <v>-0.17133145263157901</v>
      </c>
      <c r="M35" s="8">
        <f>(-CB_SMI_Mixto!I12)/1000000</f>
        <v>-0.17400247368421051</v>
      </c>
      <c r="N35" s="8">
        <f>(-CB_SMI_Mixto!J12)/1000000</f>
        <v>-0.1766721157894737</v>
      </c>
      <c r="O35" s="8">
        <f>(-CB_SMI_Mixto!K12)/1000000</f>
        <v>-0.17940381052631579</v>
      </c>
      <c r="P35" s="8">
        <f>(-CB_SMI_Mixto!L12)/1000000</f>
        <v>-0.18217549473684211</v>
      </c>
      <c r="Q35" s="8">
        <f>(-CB_SMI_Mixto!M12)/1000000</f>
        <v>-0.18502026315789469</v>
      </c>
      <c r="R35" s="8">
        <f>(-CB_SMI_Mixto!N12)/1000000</f>
        <v>-0.18789536842105262</v>
      </c>
      <c r="S35" s="8">
        <f>(-CB_SMI_Mixto!O12)/1000000</f>
        <v>-0.19082011578947369</v>
      </c>
      <c r="T35" s="8">
        <f>(-CB_SMI_Mixto!P12)/1000000</f>
        <v>-0.19380002105263161</v>
      </c>
      <c r="U35" s="8">
        <f>(-CB_SMI_Mixto!Q12)/1000000</f>
        <v>-0.19681026315789468</v>
      </c>
    </row>
    <row r="36" spans="2:22" x14ac:dyDescent="0.3">
      <c r="B36" s="63"/>
      <c r="C36" s="74" t="s">
        <v>123</v>
      </c>
      <c r="D36" s="74"/>
      <c r="E36" s="74"/>
      <c r="F36" s="15">
        <f>SUM(F30:F35)</f>
        <v>-216.06832229554385</v>
      </c>
      <c r="G36" s="15">
        <f t="shared" ref="G36:U36" si="5">SUM(G30:G35)</f>
        <v>-157.04386838593751</v>
      </c>
      <c r="H36" s="15">
        <f t="shared" si="5"/>
        <v>-157.08366926305479</v>
      </c>
      <c r="I36" s="15">
        <f t="shared" si="5"/>
        <v>-157.127640474065</v>
      </c>
      <c r="J36" s="15">
        <f t="shared" si="5"/>
        <v>-157.16854559706897</v>
      </c>
      <c r="K36" s="15">
        <f t="shared" si="5"/>
        <v>-157.21758798237099</v>
      </c>
      <c r="L36" s="15">
        <f t="shared" si="5"/>
        <v>-157.26592365893549</v>
      </c>
      <c r="M36" s="15">
        <f t="shared" si="5"/>
        <v>-157.31180569722383</v>
      </c>
      <c r="N36" s="15">
        <f t="shared" si="5"/>
        <v>-157.35115431882241</v>
      </c>
      <c r="O36" s="15">
        <f t="shared" si="5"/>
        <v>-157.39907615066465</v>
      </c>
      <c r="P36" s="15">
        <f t="shared" si="5"/>
        <v>-157.44165901831929</v>
      </c>
      <c r="Q36" s="15">
        <f t="shared" si="5"/>
        <v>-23.652215938824554</v>
      </c>
      <c r="R36" s="15">
        <f t="shared" si="5"/>
        <v>-24.017328777754376</v>
      </c>
      <c r="S36" s="15">
        <f t="shared" si="5"/>
        <v>-24.388645888122806</v>
      </c>
      <c r="T36" s="15">
        <f t="shared" si="5"/>
        <v>-24.766684549719304</v>
      </c>
      <c r="U36" s="15">
        <f t="shared" si="5"/>
        <v>-25.149853811491223</v>
      </c>
    </row>
    <row r="37" spans="2:22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2:22" x14ac:dyDescent="0.3">
      <c r="B38" s="61" t="s">
        <v>119</v>
      </c>
      <c r="C38" s="52" t="s">
        <v>100</v>
      </c>
      <c r="D38" s="53"/>
      <c r="E38" s="53"/>
      <c r="F38" s="8">
        <v>0</v>
      </c>
      <c r="G38" s="8">
        <f>(-CB_SMI_Mixto!C13/1000000)*G$25</f>
        <v>0</v>
      </c>
      <c r="H38" s="8">
        <f>(-CB_SMI_Mixto!D13/1000000)*H$25</f>
        <v>0</v>
      </c>
      <c r="I38" s="8">
        <f>(-CB_SMI_Mixto!E13/1000000)*I$25</f>
        <v>0</v>
      </c>
      <c r="J38" s="8">
        <f>(-CB_SMI_Mixto!F13/1000000)*J$25</f>
        <v>0</v>
      </c>
      <c r="K38" s="8">
        <f>(-CB_SMI_Mixto!G13/1000000)*K$25</f>
        <v>0</v>
      </c>
      <c r="L38" s="8">
        <f>(-CB_SMI_Mixto!H13/1000000)*L$25</f>
        <v>0</v>
      </c>
      <c r="M38" s="8">
        <f>(-CB_SMI_Mixto!I13/1000000)*M$25</f>
        <v>0</v>
      </c>
      <c r="N38" s="8">
        <f>(-CB_SMI_Mixto!J13/1000000)*N$25</f>
        <v>0</v>
      </c>
      <c r="O38" s="8">
        <f>(-CB_SMI_Mixto!K13/1000000)*O$25</f>
        <v>0</v>
      </c>
      <c r="P38" s="8">
        <f>(-CB_SMI_Mixto!L13/1000000)*P$25</f>
        <v>0</v>
      </c>
      <c r="Q38" s="8">
        <f>(-CB_SMI_Mixto!M13/1000000)*Q$25</f>
        <v>0</v>
      </c>
      <c r="R38" s="8">
        <f>(-CB_SMI_Mixto!N13/1000000)*R$25</f>
        <v>0</v>
      </c>
      <c r="S38" s="8">
        <f>(-CB_SMI_Mixto!O13/1000000)*S$25</f>
        <v>0</v>
      </c>
      <c r="T38" s="8">
        <f>(-CB_SMI_Mixto!P13/1000000)*T$25</f>
        <v>0</v>
      </c>
      <c r="U38" s="8">
        <f>(-CB_SMI_Mixto!Q13/1000000)*U$25</f>
        <v>0</v>
      </c>
    </row>
    <row r="39" spans="2:22" x14ac:dyDescent="0.3">
      <c r="B39" s="62"/>
      <c r="C39" s="52" t="s">
        <v>101</v>
      </c>
      <c r="D39" s="53"/>
      <c r="E39" s="53"/>
      <c r="F39" s="8">
        <v>0</v>
      </c>
      <c r="G39" s="8">
        <f>(-CB_SMI_Mixto!C14/1000000)*G$25</f>
        <v>-0.11146167567472645</v>
      </c>
      <c r="H39" s="8">
        <f>(-CB_SMI_Mixto!D14/1000000)*H$25</f>
        <v>-0.21977600638737185</v>
      </c>
      <c r="I39" s="8">
        <f>(-CB_SMI_Mixto!E14/1000000)*I$25</f>
        <v>-0.32500224072293438</v>
      </c>
      <c r="J39" s="8">
        <f>(-CB_SMI_Mixto!F14/1000000)*J$25</f>
        <v>-0.42721851076195189</v>
      </c>
      <c r="K39" s="8">
        <f>(-CB_SMI_Mixto!G14/1000000)*K$25</f>
        <v>-0.52648322973508621</v>
      </c>
      <c r="L39" s="8">
        <f>(-CB_SMI_Mixto!H14/1000000)*L$25</f>
        <v>-0.62285539595539485</v>
      </c>
      <c r="M39" s="8">
        <f>(-CB_SMI_Mixto!I14/1000000)*M$25</f>
        <v>-0.71639282564217832</v>
      </c>
      <c r="N39" s="8">
        <f>(-CB_SMI_Mixto!J14/1000000)*N$25</f>
        <v>-0.80715534397080058</v>
      </c>
      <c r="O39" s="8">
        <f>(-CB_SMI_Mixto!K14/1000000)*O$25</f>
        <v>-0.91405881431257641</v>
      </c>
      <c r="P39" s="8">
        <f>(-CB_SMI_Mixto!L14/1000000)*P$25</f>
        <v>-1.0034875917278183</v>
      </c>
      <c r="Q39" s="8">
        <f>(-CB_SMI_Mixto!M14/1000000)*Q$25</f>
        <v>-1.004338659106071</v>
      </c>
      <c r="R39" s="8">
        <f>(-CB_SMI_Mixto!N14/1000000)*R$25</f>
        <v>-1.0052065376917951</v>
      </c>
      <c r="S39" s="8">
        <f>(-CB_SMI_Mixto!O14/1000000)*S$25</f>
        <v>-1.007644863242162</v>
      </c>
      <c r="T39" s="8">
        <f>(-CB_SMI_Mixto!P14/1000000)*T$25</f>
        <v>-1.009217411607739</v>
      </c>
      <c r="U39" s="8">
        <f>(-CB_SMI_Mixto!Q14/1000000)*U$25</f>
        <v>-1.0101644429619749</v>
      </c>
    </row>
    <row r="40" spans="2:22" x14ac:dyDescent="0.3">
      <c r="B40" s="62"/>
      <c r="C40" s="52" t="s">
        <v>146</v>
      </c>
      <c r="D40" s="53"/>
      <c r="E40" s="53"/>
      <c r="F40" s="8">
        <v>0</v>
      </c>
      <c r="G40" s="8">
        <f>(-CB_SMI_Mixto!C15/1000000)*G$25</f>
        <v>-7.3574870673782522</v>
      </c>
      <c r="H40" s="8">
        <f>(-CB_SMI_Mixto!D15/1000000)*H$25</f>
        <v>-14.714974134756504</v>
      </c>
      <c r="I40" s="8">
        <f>(-CB_SMI_Mixto!E15/1000000)*I$25</f>
        <v>-22.072461202134765</v>
      </c>
      <c r="J40" s="8">
        <f>(-CB_SMI_Mixto!F15/1000000)*J$25</f>
        <v>-29.429948269513016</v>
      </c>
      <c r="K40" s="8">
        <f>(-CB_SMI_Mixto!G15/1000000)*K$25</f>
        <v>-36.787435336891292</v>
      </c>
      <c r="L40" s="8">
        <f>(-CB_SMI_Mixto!H15/1000000)*L$25</f>
        <v>-44.144922404269543</v>
      </c>
      <c r="M40" s="8">
        <f>(-CB_SMI_Mixto!I15/1000000)*M$25</f>
        <v>-51.502409471647795</v>
      </c>
      <c r="N40" s="8">
        <f>(-CB_SMI_Mixto!J15/1000000)*N$25</f>
        <v>-58.85989653902606</v>
      </c>
      <c r="O40" s="8">
        <f>(-CB_SMI_Mixto!K15/1000000)*O$25</f>
        <v>-66.217383606404312</v>
      </c>
      <c r="P40" s="8">
        <f>(-CB_SMI_Mixto!L15/1000000)*P$25</f>
        <v>-73.574870673782485</v>
      </c>
      <c r="Q40" s="8">
        <f>(-CB_SMI_Mixto!M15/1000000)*Q$25</f>
        <v>-74.646301460974001</v>
      </c>
      <c r="R40" s="8">
        <f>(-CB_SMI_Mixto!N15/1000000)*R$25</f>
        <v>-75.73438164776519</v>
      </c>
      <c r="S40" s="8">
        <f>(-CB_SMI_Mixto!O15/1000000)*S$25</f>
        <v>-76.839398705803887</v>
      </c>
      <c r="T40" s="8">
        <f>(-CB_SMI_Mixto!P15/1000000)*T$25</f>
        <v>-77.961672048032042</v>
      </c>
      <c r="U40" s="8">
        <f>(-CB_SMI_Mixto!Q15/1000000)*U$25</f>
        <v>-79.101377351567734</v>
      </c>
    </row>
    <row r="41" spans="2:22" x14ac:dyDescent="0.3">
      <c r="B41" s="62"/>
      <c r="C41" s="52" t="s">
        <v>144</v>
      </c>
      <c r="D41" s="53"/>
      <c r="E41" s="53"/>
      <c r="F41" s="8">
        <v>0</v>
      </c>
      <c r="G41" s="8">
        <f>(-CB_SMI_Mixto!C16/1000000)*G$25</f>
        <v>-1.0442344422473684</v>
      </c>
      <c r="H41" s="8">
        <f>(-CB_SMI_Mixto!D16/1000000)*H$25</f>
        <v>-2.0884688844947363</v>
      </c>
      <c r="I41" s="8">
        <f>(-CB_SMI_Mixto!E16/1000000)*I$25</f>
        <v>-3.1327033267421052</v>
      </c>
      <c r="J41" s="8">
        <f>(-CB_SMI_Mixto!F16/1000000)*J$25</f>
        <v>-4.1769377689894736</v>
      </c>
      <c r="K41" s="8">
        <f>(-CB_SMI_Mixto!G16/1000000)*K$25</f>
        <v>-5.2211722112368442</v>
      </c>
      <c r="L41" s="8">
        <f>(-CB_SMI_Mixto!H16/1000000)*L$25</f>
        <v>-6.265406653484213</v>
      </c>
      <c r="M41" s="8">
        <f>(-CB_SMI_Mixto!I16/1000000)*M$25</f>
        <v>-7.3096410957315809</v>
      </c>
      <c r="N41" s="8">
        <f>(-CB_SMI_Mixto!J16/1000000)*N$25</f>
        <v>-8.3538755379789507</v>
      </c>
      <c r="O41" s="8">
        <f>(-CB_SMI_Mixto!K16/1000000)*O$25</f>
        <v>-9.3981099802263213</v>
      </c>
      <c r="P41" s="8">
        <f>(-CB_SMI_Mixto!L16/1000000)*P$25</f>
        <v>-10.442344422473674</v>
      </c>
      <c r="Q41" s="8">
        <f>(-CB_SMI_Mixto!M16/1000000)*Q$25</f>
        <v>-10.59441059944737</v>
      </c>
      <c r="R41" s="8">
        <f>(-CB_SMI_Mixto!N16/1000000)*R$25</f>
        <v>-10.74883979471052</v>
      </c>
      <c r="S41" s="8">
        <f>(-CB_SMI_Mixto!O16/1000000)*S$25</f>
        <v>-10.905672808578949</v>
      </c>
      <c r="T41" s="8">
        <f>(-CB_SMI_Mixto!P16/1000000)*T$25</f>
        <v>-11.064954974736839</v>
      </c>
      <c r="U41" s="8">
        <f>(-CB_SMI_Mixto!Q16/1000000)*U$25</f>
        <v>-11.22671122671052</v>
      </c>
    </row>
    <row r="42" spans="2:22" x14ac:dyDescent="0.3">
      <c r="B42" s="62"/>
      <c r="C42" s="52" t="s">
        <v>61</v>
      </c>
      <c r="D42" s="53"/>
      <c r="E42" s="53"/>
      <c r="F42" s="8">
        <v>0</v>
      </c>
      <c r="G42" s="8">
        <f>(-CB_SMI_Mixto!C17/1000000)*G$25</f>
        <v>-1.1443492404</v>
      </c>
      <c r="H42" s="8">
        <f>(-CB_SMI_Mixto!D17/1000000)*H$25</f>
        <v>-2.2886984807999999</v>
      </c>
      <c r="I42" s="8">
        <f>(-CB_SMI_Mixto!E17/1000000)*I$25</f>
        <v>-3.4330477211999999</v>
      </c>
      <c r="J42" s="8">
        <f>(-CB_SMI_Mixto!F17/1000000)*J$25</f>
        <v>-4.5773969615999999</v>
      </c>
      <c r="K42" s="8">
        <f>(-CB_SMI_Mixto!G17/1000000)*K$25</f>
        <v>-5.7217462020000029</v>
      </c>
      <c r="L42" s="8">
        <f>(-CB_SMI_Mixto!H17/1000000)*L$25</f>
        <v>-6.8660954424000042</v>
      </c>
      <c r="M42" s="8">
        <f>(-CB_SMI_Mixto!I17/1000000)*M$25</f>
        <v>-8.0104446828000047</v>
      </c>
      <c r="N42" s="8">
        <f>(-CB_SMI_Mixto!J17/1000000)*N$25</f>
        <v>-9.1547939232000051</v>
      </c>
      <c r="O42" s="8">
        <f>(-CB_SMI_Mixto!K17/1000000)*O$25</f>
        <v>-10.299143163600005</v>
      </c>
      <c r="P42" s="8">
        <f>(-CB_SMI_Mixto!L17/1000000)*P$25</f>
        <v>-11.443492403999992</v>
      </c>
      <c r="Q42" s="8">
        <f>(-CB_SMI_Mixto!M17/1000000)*Q$25</f>
        <v>-11.610137754</v>
      </c>
      <c r="R42" s="8">
        <f>(-CB_SMI_Mixto!N17/1000000)*R$25</f>
        <v>-11.779372674000001</v>
      </c>
      <c r="S42" s="8">
        <f>(-CB_SMI_Mixto!O17/1000000)*S$25</f>
        <v>-11.951241876000001</v>
      </c>
      <c r="T42" s="8">
        <f>(-CB_SMI_Mixto!P17/1000000)*T$25</f>
        <v>-12.12579504</v>
      </c>
      <c r="U42" s="8">
        <f>(-CB_SMI_Mixto!Q17/1000000)*U$25</f>
        <v>-12.303059490000001</v>
      </c>
    </row>
    <row r="43" spans="2:22" x14ac:dyDescent="0.3">
      <c r="B43" s="63"/>
      <c r="C43" s="74" t="s">
        <v>131</v>
      </c>
      <c r="D43" s="74"/>
      <c r="E43" s="74"/>
      <c r="F43" s="15">
        <f>SUM(F38:F42)</f>
        <v>0</v>
      </c>
      <c r="G43" s="15">
        <f>SUM(G38:G42)</f>
        <v>-9.6575324257003476</v>
      </c>
      <c r="H43" s="15">
        <f t="shared" ref="H43:T43" si="6">SUM(H38:H42)</f>
        <v>-19.311917506438615</v>
      </c>
      <c r="I43" s="15">
        <f t="shared" si="6"/>
        <v>-28.963214490799807</v>
      </c>
      <c r="J43" s="15">
        <f t="shared" si="6"/>
        <v>-38.611501510864443</v>
      </c>
      <c r="K43" s="15">
        <f t="shared" si="6"/>
        <v>-48.256836979863223</v>
      </c>
      <c r="L43" s="15">
        <f t="shared" si="6"/>
        <v>-57.899279896109157</v>
      </c>
      <c r="M43" s="15">
        <f t="shared" si="6"/>
        <v>-67.538888075821561</v>
      </c>
      <c r="N43" s="15">
        <f t="shared" si="6"/>
        <v>-77.175721344175813</v>
      </c>
      <c r="O43" s="15">
        <f t="shared" si="6"/>
        <v>-86.828695564543224</v>
      </c>
      <c r="P43" s="15">
        <f t="shared" si="6"/>
        <v>-96.464195091983967</v>
      </c>
      <c r="Q43" s="15">
        <f t="shared" si="6"/>
        <v>-97.855188473527448</v>
      </c>
      <c r="R43" s="15">
        <f t="shared" si="6"/>
        <v>-99.267800654167502</v>
      </c>
      <c r="S43" s="15">
        <f t="shared" si="6"/>
        <v>-100.703958253625</v>
      </c>
      <c r="T43" s="15">
        <f t="shared" si="6"/>
        <v>-102.16163947437661</v>
      </c>
      <c r="U43" s="15">
        <f>SUM(U38:U42)</f>
        <v>-103.64131251124023</v>
      </c>
    </row>
    <row r="44" spans="2:22" x14ac:dyDescent="0.3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2:22" x14ac:dyDescent="0.3">
      <c r="B45" s="78" t="s">
        <v>155</v>
      </c>
      <c r="C45" s="74"/>
      <c r="D45" s="74"/>
      <c r="E45" s="74"/>
      <c r="F45" s="15">
        <f>F36+F43</f>
        <v>-216.06832229554385</v>
      </c>
      <c r="G45" s="15">
        <f t="shared" ref="G45:U45" si="7">G36+G43</f>
        <v>-166.70140081163785</v>
      </c>
      <c r="H45" s="15">
        <f t="shared" si="7"/>
        <v>-176.39558676949341</v>
      </c>
      <c r="I45" s="15">
        <f t="shared" si="7"/>
        <v>-186.0908549648648</v>
      </c>
      <c r="J45" s="15">
        <f t="shared" si="7"/>
        <v>-195.7800471079334</v>
      </c>
      <c r="K45" s="15">
        <f t="shared" si="7"/>
        <v>-205.4744249622342</v>
      </c>
      <c r="L45" s="15">
        <f t="shared" si="7"/>
        <v>-215.16520355504466</v>
      </c>
      <c r="M45" s="15">
        <f t="shared" si="7"/>
        <v>-224.85069377304541</v>
      </c>
      <c r="N45" s="15">
        <f t="shared" si="7"/>
        <v>-234.52687566299824</v>
      </c>
      <c r="O45" s="15">
        <f t="shared" si="7"/>
        <v>-244.22777171520789</v>
      </c>
      <c r="P45" s="15">
        <f t="shared" si="7"/>
        <v>-253.90585411030327</v>
      </c>
      <c r="Q45" s="15">
        <f t="shared" si="7"/>
        <v>-121.507404412352</v>
      </c>
      <c r="R45" s="15">
        <f t="shared" si="7"/>
        <v>-123.28512943192187</v>
      </c>
      <c r="S45" s="15">
        <f t="shared" si="7"/>
        <v>-125.09260414174781</v>
      </c>
      <c r="T45" s="15">
        <f t="shared" si="7"/>
        <v>-126.92832402409591</v>
      </c>
      <c r="U45" s="15">
        <f t="shared" si="7"/>
        <v>-128.79116632273144</v>
      </c>
    </row>
    <row r="46" spans="2:22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2" x14ac:dyDescent="0.3">
      <c r="B47" s="79" t="s">
        <v>120</v>
      </c>
      <c r="C47" s="52" t="s">
        <v>112</v>
      </c>
      <c r="D47" s="53"/>
      <c r="E47" s="53"/>
      <c r="F47" s="8">
        <v>0</v>
      </c>
      <c r="G47" s="8">
        <f>(CB_SMI_Mixto!C18/1000000)*G$25</f>
        <v>3.3877923043647398</v>
      </c>
      <c r="H47" s="8">
        <f>(CB_SMI_Mixto!D18/1000000)*H$25</f>
        <v>6.7782694569350426</v>
      </c>
      <c r="I47" s="8">
        <f>(CB_SMI_Mixto!E18/1000000)*I$25</f>
        <v>10.171398650307925</v>
      </c>
      <c r="J47" s="8">
        <f>(CB_SMI_Mixto!F18/1000000)*J$25</f>
        <v>13.567115437043221</v>
      </c>
      <c r="K47" s="8">
        <f>(CB_SMI_Mixto!G18/1000000)*K$25</f>
        <v>16.965445612088679</v>
      </c>
      <c r="L47" s="8">
        <f>(CB_SMI_Mixto!H18/1000000)*L$25</f>
        <v>20.366359468081704</v>
      </c>
      <c r="M47" s="8">
        <f>(CB_SMI_Mixto!I18/1000000)*M$25</f>
        <v>23.769612623288754</v>
      </c>
      <c r="N47" s="8">
        <f>(CB_SMI_Mixto!J18/1000000)*N$25</f>
        <v>27.17560370715114</v>
      </c>
      <c r="O47" s="8">
        <f>(CB_SMI_Mixto!K18/1000000)*O$25</f>
        <v>30.584128744668778</v>
      </c>
      <c r="P47" s="8">
        <f>(CB_SMI_Mixto!L18/1000000)*P$25</f>
        <v>33.994935216599977</v>
      </c>
      <c r="Q47" s="8">
        <f>(CB_SMI_Mixto!M18/1000000)*Q$25</f>
        <v>34.502614504199997</v>
      </c>
      <c r="R47" s="8">
        <f>(CB_SMI_Mixto!N18/1000000)*R$25</f>
        <v>35.018359464599996</v>
      </c>
      <c r="S47" s="8">
        <f>(CB_SMI_Mixto!O18/1000000)*S$25</f>
        <v>35.542353721800005</v>
      </c>
      <c r="T47" s="8">
        <f>(CB_SMI_Mixto!P18/1000000)*T$25</f>
        <v>36.074364208200002</v>
      </c>
      <c r="U47" s="8">
        <f>(CB_SMI_Mixto!Q18/1000000)*U$25</f>
        <v>36.614733096600006</v>
      </c>
      <c r="V47" s="30">
        <f>U47/$U$56</f>
        <v>0.13226107673090406</v>
      </c>
    </row>
    <row r="48" spans="2:22" x14ac:dyDescent="0.3">
      <c r="B48" s="80"/>
      <c r="C48" s="52" t="s">
        <v>62</v>
      </c>
      <c r="D48" s="53"/>
      <c r="E48" s="53"/>
      <c r="F48" s="8">
        <v>0</v>
      </c>
      <c r="G48" s="8">
        <f>(CB_SMI_Mixto!C19/1000000)*G$25</f>
        <v>0.32837301023556054</v>
      </c>
      <c r="H48" s="8">
        <f>(CB_SMI_Mixto!D19/1000000)*H$25</f>
        <v>0.65696749662960496</v>
      </c>
      <c r="I48" s="8">
        <f>(CB_SMI_Mixto!E19/1000000)*I$25</f>
        <v>0.98578084399977972</v>
      </c>
      <c r="J48" s="8">
        <f>(CB_SMI_Mixto!F19/1000000)*J$25</f>
        <v>1.314807113902027</v>
      </c>
      <c r="K48" s="8">
        <f>(CB_SMI_Mixto!G19/1000000)*K$25</f>
        <v>1.644044579708511</v>
      </c>
      <c r="L48" s="8">
        <f>(CB_SMI_Mixto!H19/1000000)*L$25</f>
        <v>1.9734896245490754</v>
      </c>
      <c r="M48" s="8">
        <f>(CB_SMI_Mixto!I19/1000000)*M$25</f>
        <v>2.3031302590413296</v>
      </c>
      <c r="N48" s="8">
        <f>(CB_SMI_Mixto!J19/1000000)*N$25</f>
        <v>2.6329838730521562</v>
      </c>
      <c r="O48" s="8">
        <f>(CB_SMI_Mixto!K19/1000000)*O$25</f>
        <v>2.9630377000691448</v>
      </c>
      <c r="P48" s="8">
        <f>(CB_SMI_Mixto!L19/1000000)*P$25</f>
        <v>3.293279364977999</v>
      </c>
      <c r="Q48" s="8">
        <f>(CB_SMI_Mixto!M19/1000000)*Q$25</f>
        <v>3.342254522148</v>
      </c>
      <c r="R48" s="8">
        <f>(CB_SMI_Mixto!N19/1000000)*R$25</f>
        <v>3.391998709194</v>
      </c>
      <c r="S48" s="8">
        <f>(CB_SMI_Mixto!O19/1000000)*S$25</f>
        <v>3.4448007489479999</v>
      </c>
      <c r="T48" s="8">
        <f>(CB_SMI_Mixto!P19/1000000)*T$25</f>
        <v>3.4984521999</v>
      </c>
      <c r="U48" s="8">
        <f>(CB_SMI_Mixto!Q19/1000000)*U$25</f>
        <v>3.5529678607499999</v>
      </c>
      <c r="V48" s="30">
        <f t="shared" ref="V48:V55" si="8">U48/$U$56</f>
        <v>1.2834160325935241E-2</v>
      </c>
    </row>
    <row r="49" spans="2:24" x14ac:dyDescent="0.3">
      <c r="B49" s="80"/>
      <c r="C49" s="52" t="s">
        <v>153</v>
      </c>
      <c r="D49" s="53"/>
      <c r="E49" s="53"/>
      <c r="F49" s="8">
        <v>0</v>
      </c>
      <c r="G49" s="8">
        <f>(CB_SMI_Mixto!C20/1000000)*G$25</f>
        <v>12.859047936739264</v>
      </c>
      <c r="H49" s="8">
        <f>(CB_SMI_Mixto!D20/1000000)*H$25</f>
        <v>26.117763742784383</v>
      </c>
      <c r="I49" s="8">
        <f>(CB_SMI_Mixto!E20/1000000)*I$25</f>
        <v>39.784927783345516</v>
      </c>
      <c r="J49" s="8">
        <f>(CB_SMI_Mixto!F20/1000000)*J$25</f>
        <v>53.869424164935801</v>
      </c>
      <c r="K49" s="8">
        <f>(CB_SMI_Mixto!G20/1000000)*K$25</f>
        <v>68.380246910876281</v>
      </c>
      <c r="L49" s="8">
        <f>(CB_SMI_Mixto!H20/1000000)*L$25</f>
        <v>83.32674582162791</v>
      </c>
      <c r="M49" s="8">
        <f>(CB_SMI_Mixto!I20/1000000)*M$25</f>
        <v>98.718151421147525</v>
      </c>
      <c r="N49" s="8">
        <f>(CB_SMI_Mixto!J20/1000000)*N$25</f>
        <v>114.56439313374665</v>
      </c>
      <c r="O49" s="8">
        <f>(CB_SMI_Mixto!K20/1000000)*O$25</f>
        <v>130.87512551388636</v>
      </c>
      <c r="P49" s="8">
        <f>(CB_SMI_Mixto!L20/1000000)*P$25</f>
        <v>147.66035831914689</v>
      </c>
      <c r="Q49" s="8">
        <f>(CB_SMI_Mixto!M20/1000000)*Q$25</f>
        <v>152.11970114038522</v>
      </c>
      <c r="R49" s="8">
        <f>(CB_SMI_Mixto!N20/1000000)*R$25</f>
        <v>156.71371611482479</v>
      </c>
      <c r="S49" s="8">
        <f>(CB_SMI_Mixto!O20/1000000)*S$25</f>
        <v>161.4464703414925</v>
      </c>
      <c r="T49" s="8">
        <f>(CB_SMI_Mixto!P20/1000000)*T$25</f>
        <v>166.32215374580559</v>
      </c>
      <c r="U49" s="8">
        <f>(CB_SMI_Mixto!Q20/1000000)*U$25</f>
        <v>171.34508278892898</v>
      </c>
      <c r="V49" s="30">
        <f t="shared" si="8"/>
        <v>0.61893896870475984</v>
      </c>
    </row>
    <row r="50" spans="2:24" x14ac:dyDescent="0.3">
      <c r="B50" s="80"/>
      <c r="C50" s="52" t="s">
        <v>96</v>
      </c>
      <c r="D50" s="53"/>
      <c r="E50" s="53"/>
      <c r="F50" s="8">
        <v>0</v>
      </c>
      <c r="G50" s="8">
        <f>(CB_SMI_Mixto!C21/1000000)*G$25</f>
        <v>0.24365816782556665</v>
      </c>
      <c r="H50" s="8">
        <f>(CB_SMI_Mixto!D21/1000000)*H$25</f>
        <v>0.48038186331720806</v>
      </c>
      <c r="I50" s="8">
        <f>(CB_SMI_Mixto!E21/1000000)*I$25</f>
        <v>0.71030953065985702</v>
      </c>
      <c r="J50" s="8">
        <f>(CB_SMI_Mixto!F21/1000000)*J$25</f>
        <v>0.93357638042568591</v>
      </c>
      <c r="K50" s="8">
        <f>(CB_SMI_Mixto!G21/1000000)*K$25</f>
        <v>1.150314624917246</v>
      </c>
      <c r="L50" s="8">
        <f>(CB_SMI_Mixto!H21/1000000)*L$25</f>
        <v>1.3606576030692672</v>
      </c>
      <c r="M50" s="8">
        <f>(CB_SMI_Mixto!I21/1000000)*M$25</f>
        <v>1.5647317678877968</v>
      </c>
      <c r="N50" s="8">
        <f>(CB_SMI_Mixto!J21/1000000)*N$25</f>
        <v>1.7626699431254214</v>
      </c>
      <c r="O50" s="8">
        <f>(CB_SMI_Mixto!K21/1000000)*O$25</f>
        <v>1.9545955503185035</v>
      </c>
      <c r="P50" s="8">
        <f>(CB_SMI_Mixto!L21/1000000)*P$25</f>
        <v>2.1406327572880195</v>
      </c>
      <c r="Q50" s="8">
        <f>(CB_SMI_Mixto!M21/1000000)*Q$25</f>
        <v>2.1406327572880208</v>
      </c>
      <c r="R50" s="8">
        <f>(CB_SMI_Mixto!N21/1000000)*R$25</f>
        <v>2.1406327572880208</v>
      </c>
      <c r="S50" s="8">
        <f>(CB_SMI_Mixto!O21/1000000)*S$25</f>
        <v>2.1406327572880208</v>
      </c>
      <c r="T50" s="8">
        <f>(CB_SMI_Mixto!P21/1000000)*T$25</f>
        <v>2.1406327572880208</v>
      </c>
      <c r="U50" s="8">
        <f>(CB_SMI_Mixto!Q21/1000000)*U$25</f>
        <v>2.1406327572880208</v>
      </c>
      <c r="V50" s="30">
        <f t="shared" si="8"/>
        <v>7.7324718609145899E-3</v>
      </c>
      <c r="W50" s="31">
        <f>1700*0.4</f>
        <v>680</v>
      </c>
      <c r="X50" s="31">
        <f>1700*0.23</f>
        <v>391</v>
      </c>
    </row>
    <row r="51" spans="2:24" x14ac:dyDescent="0.3">
      <c r="B51" s="80"/>
      <c r="C51" s="52" t="s">
        <v>154</v>
      </c>
      <c r="D51" s="53"/>
      <c r="E51" s="53"/>
      <c r="F51" s="8">
        <v>0</v>
      </c>
      <c r="G51" s="8">
        <f>(CB_SMI_Mixto!C22/1000000)*G$25</f>
        <v>0</v>
      </c>
      <c r="H51" s="8">
        <f>(CB_SMI_Mixto!D22/1000000)*H$25</f>
        <v>0</v>
      </c>
      <c r="I51" s="8">
        <f>(CB_SMI_Mixto!E22/1000000)*I$25</f>
        <v>0</v>
      </c>
      <c r="J51" s="8">
        <f>(CB_SMI_Mixto!F22/1000000)*J$25</f>
        <v>0</v>
      </c>
      <c r="K51" s="8">
        <f>(CB_SMI_Mixto!G22/1000000)*K$25</f>
        <v>0</v>
      </c>
      <c r="L51" s="8">
        <f>(CB_SMI_Mixto!H22/1000000)*L$25</f>
        <v>0</v>
      </c>
      <c r="M51" s="8">
        <f>(CB_SMI_Mixto!I22/1000000)*M$25</f>
        <v>0</v>
      </c>
      <c r="N51" s="8">
        <f>(CB_SMI_Mixto!J22/1000000)*N$25</f>
        <v>0</v>
      </c>
      <c r="O51" s="8">
        <f>(CB_SMI_Mixto!K22/1000000)*O$25</f>
        <v>0</v>
      </c>
      <c r="P51" s="8">
        <f>(CB_SMI_Mixto!L22/1000000)*P$25</f>
        <v>0</v>
      </c>
      <c r="Q51" s="8">
        <f>(CB_SMI_Mixto!M22/1000000)*Q$25</f>
        <v>0</v>
      </c>
      <c r="R51" s="8">
        <f>(CB_SMI_Mixto!N22/1000000)*R$25</f>
        <v>0</v>
      </c>
      <c r="S51" s="8">
        <f>(CB_SMI_Mixto!O22/1000000)*S$25</f>
        <v>0</v>
      </c>
      <c r="T51" s="8">
        <f>(CB_SMI_Mixto!P22/1000000)*T$25</f>
        <v>0</v>
      </c>
      <c r="U51" s="8">
        <f>(CB_SMI_Mixto!Q22/1000000)*U$25</f>
        <v>0</v>
      </c>
      <c r="V51" s="30">
        <f t="shared" si="8"/>
        <v>0</v>
      </c>
      <c r="W51" s="32">
        <f>+W50*0.06</f>
        <v>40.799999999999997</v>
      </c>
      <c r="X51" s="32">
        <f>+X50*0.06</f>
        <v>23.46</v>
      </c>
    </row>
    <row r="52" spans="2:24" x14ac:dyDescent="0.3">
      <c r="B52" s="80"/>
      <c r="C52" s="52" t="s">
        <v>98</v>
      </c>
      <c r="D52" s="53"/>
      <c r="E52" s="53"/>
      <c r="F52" s="8">
        <v>0</v>
      </c>
      <c r="G52" s="8">
        <f>(CB_SMI_Mixto!C23/1000000)*G$25</f>
        <v>0</v>
      </c>
      <c r="H52" s="8">
        <f>(CB_SMI_Mixto!D23/1000000)*H$25</f>
        <v>0</v>
      </c>
      <c r="I52" s="8">
        <f>(CB_SMI_Mixto!E23/1000000)*I$25</f>
        <v>0</v>
      </c>
      <c r="J52" s="8">
        <f>(CB_SMI_Mixto!F23/1000000)*J$25</f>
        <v>0</v>
      </c>
      <c r="K52" s="8">
        <f>(CB_SMI_Mixto!G23/1000000)*K$25</f>
        <v>0</v>
      </c>
      <c r="L52" s="8">
        <f>(CB_SMI_Mixto!H23/1000000)*L$25</f>
        <v>0</v>
      </c>
      <c r="M52" s="8">
        <f>(CB_SMI_Mixto!I23/1000000)*M$25</f>
        <v>0</v>
      </c>
      <c r="N52" s="8">
        <f>(CB_SMI_Mixto!J23/1000000)*N$25</f>
        <v>0</v>
      </c>
      <c r="O52" s="8">
        <f>(CB_SMI_Mixto!K23/1000000)*O$25</f>
        <v>0</v>
      </c>
      <c r="P52" s="8">
        <f>(CB_SMI_Mixto!L23/1000000)*P$25</f>
        <v>0</v>
      </c>
      <c r="Q52" s="8">
        <f>(CB_SMI_Mixto!M23/1000000)*Q$25</f>
        <v>0</v>
      </c>
      <c r="R52" s="8">
        <f>(CB_SMI_Mixto!N23/1000000)*R$25</f>
        <v>0</v>
      </c>
      <c r="S52" s="8">
        <f>(CB_SMI_Mixto!O23/1000000)*S$25</f>
        <v>0</v>
      </c>
      <c r="T52" s="8">
        <f>(CB_SMI_Mixto!P23/1000000)*T$25</f>
        <v>0</v>
      </c>
      <c r="U52" s="8">
        <f>(CB_SMI_Mixto!Q23/1000000)*U$25</f>
        <v>0</v>
      </c>
      <c r="V52" s="30">
        <f t="shared" si="8"/>
        <v>0</v>
      </c>
      <c r="W52" s="32">
        <f>+W51/7</f>
        <v>5.8285714285714283</v>
      </c>
      <c r="X52" s="32">
        <f>+X51/7</f>
        <v>3.3514285714285714</v>
      </c>
    </row>
    <row r="53" spans="2:24" x14ac:dyDescent="0.3">
      <c r="B53" s="80"/>
      <c r="C53" s="52" t="s">
        <v>63</v>
      </c>
      <c r="D53" s="53"/>
      <c r="E53" s="53"/>
      <c r="F53" s="8">
        <v>0</v>
      </c>
      <c r="G53" s="8">
        <f>(CB_SMI_Mixto!C24/1000000)*G$25</f>
        <v>2.2680980380180138</v>
      </c>
      <c r="H53" s="8">
        <f>(CB_SMI_Mixto!D24/1000000)*H$25</f>
        <v>4.8102813396404258</v>
      </c>
      <c r="I53" s="8">
        <f>(CB_SMI_Mixto!E24/1000000)*I$25</f>
        <v>7.5904443772024122</v>
      </c>
      <c r="J53" s="8">
        <f>(CB_SMI_Mixto!F24/1000000)*J$25</f>
        <v>10.577585900610313</v>
      </c>
      <c r="K53" s="8">
        <f>(CB_SMI_Mixto!G24/1000000)*K$25</f>
        <v>13.742294673556648</v>
      </c>
      <c r="L53" s="8">
        <f>(CB_SMI_Mixto!H24/1000000)*L$25</f>
        <v>17.041784940424726</v>
      </c>
      <c r="M53" s="8">
        <f>(CB_SMI_Mixto!I24/1000000)*M$25</f>
        <v>20.468794280198289</v>
      </c>
      <c r="N53" s="8">
        <f>(CB_SMI_Mixto!J24/1000000)*N$25</f>
        <v>23.993803639156951</v>
      </c>
      <c r="O53" s="8">
        <f>(CB_SMI_Mixto!K24/1000000)*O$25</f>
        <v>27.579832011557208</v>
      </c>
      <c r="P53" s="8">
        <f>(CB_SMI_Mixto!L24/1000000)*P$25</f>
        <v>31.228761156225243</v>
      </c>
      <c r="Q53" s="8">
        <f>(CB_SMI_Mixto!M24/1000000)*Q$25</f>
        <v>32.189657328124149</v>
      </c>
      <c r="R53" s="8">
        <f>(CB_SMI_Mixto!N24/1000000)*R$25</f>
        <v>33.121469139280748</v>
      </c>
      <c r="S53" s="8">
        <f>(CB_SMI_Mixto!O24/1000000)*S$25</f>
        <v>33.976399283122078</v>
      </c>
      <c r="T53" s="8">
        <f>(CB_SMI_Mixto!P24/1000000)*T$25</f>
        <v>34.786092740839813</v>
      </c>
      <c r="U53" s="8">
        <f>(CB_SMI_Mixto!Q24/1000000)*U$25</f>
        <v>35.557806056269555</v>
      </c>
      <c r="V53" s="30">
        <f t="shared" si="8"/>
        <v>0.12844320625752639</v>
      </c>
      <c r="W53" s="32">
        <f>+W52/12</f>
        <v>0.48571428571428571</v>
      </c>
      <c r="X53" s="32">
        <f>+X52/12</f>
        <v>0.2792857142857143</v>
      </c>
    </row>
    <row r="54" spans="2:24" x14ac:dyDescent="0.3">
      <c r="B54" s="80"/>
      <c r="C54" s="52" t="s">
        <v>99</v>
      </c>
      <c r="D54" s="53"/>
      <c r="E54" s="53"/>
      <c r="F54" s="8">
        <v>0</v>
      </c>
      <c r="G54" s="8">
        <f>(CB_SMI_Mixto!C25/1000000)*G$25</f>
        <v>1.1141045113564814</v>
      </c>
      <c r="H54" s="8">
        <f>(CB_SMI_Mixto!D25/1000000)*H$25</f>
        <v>2.2289604474026703</v>
      </c>
      <c r="I54" s="8">
        <f>(CB_SMI_Mixto!E25/1000000)*I$25</f>
        <v>3.3445589353433993</v>
      </c>
      <c r="J54" s="8">
        <f>(CB_SMI_Mixto!F25/1000000)*J$25</f>
        <v>4.4608798272155061</v>
      </c>
      <c r="K54" s="8">
        <f>(CB_SMI_Mixto!G25/1000000)*K$25</f>
        <v>5.5779172649131077</v>
      </c>
      <c r="L54" s="8">
        <f>(CB_SMI_Mixto!H25/1000000)*L$25</f>
        <v>6.6956589771129487</v>
      </c>
      <c r="M54" s="8">
        <f>(CB_SMI_Mixto!I25/1000000)*M$25</f>
        <v>7.8140642862179224</v>
      </c>
      <c r="N54" s="8">
        <f>(CB_SMI_Mixto!J25/1000000)*N$25</f>
        <v>8.933192192598165</v>
      </c>
      <c r="O54" s="8">
        <f>(CB_SMI_Mixto!K25/1000000)*O$25</f>
        <v>10.052999382008515</v>
      </c>
      <c r="P54" s="8">
        <f>(CB_SMI_Mixto!L25/1000000)*P$25</f>
        <v>11.173443868139996</v>
      </c>
      <c r="Q54" s="8">
        <f>(CB_SMI_Mixto!M25/1000000)*Q$25</f>
        <v>11.33960686524</v>
      </c>
      <c r="R54" s="8">
        <f>(CB_SMI_Mixto!N25/1000000)*R$25</f>
        <v>11.50837902822</v>
      </c>
      <c r="S54" s="8">
        <f>(CB_SMI_Mixto!O25/1000000)*S$25</f>
        <v>11.67979773768</v>
      </c>
      <c r="T54" s="8">
        <f>(CB_SMI_Mixto!P25/1000000)*T$25</f>
        <v>11.8538679777</v>
      </c>
      <c r="U54" s="8">
        <f>(CB_SMI_Mixto!Q25/1000000)*U$25</f>
        <v>12.030634605000001</v>
      </c>
      <c r="V54" s="30">
        <f t="shared" si="8"/>
        <v>4.3457497898875305E-2</v>
      </c>
    </row>
    <row r="55" spans="2:24" x14ac:dyDescent="0.3">
      <c r="B55" s="80"/>
      <c r="C55" s="52" t="s">
        <v>97</v>
      </c>
      <c r="D55" s="53"/>
      <c r="E55" s="53"/>
      <c r="F55" s="8">
        <v>0</v>
      </c>
      <c r="G55" s="8">
        <f>(CB_SMI_Mixto!C26/1000000)*G$25</f>
        <v>1.7016845413700656</v>
      </c>
      <c r="H55" s="8">
        <f>(CB_SMI_Mixto!D26/1000000)*H$25</f>
        <v>3.3574772684183496</v>
      </c>
      <c r="I55" s="8">
        <f>(CB_SMI_Mixto!E26/1000000)*I$25</f>
        <v>5.0191973469568234</v>
      </c>
      <c r="J55" s="8">
        <f>(CB_SMI_Mixto!F26/1000000)*J$25</f>
        <v>6.6123194059998278</v>
      </c>
      <c r="K55" s="8">
        <f>(CB_SMI_Mixto!G26/1000000)*K$25</f>
        <v>8.1598373498159944</v>
      </c>
      <c r="L55" s="8">
        <f>(CB_SMI_Mixto!H26/1000000)*L$25</f>
        <v>9.6624868444344827</v>
      </c>
      <c r="M55" s="8">
        <f>(CB_SMI_Mixto!I26/1000000)*M$25</f>
        <v>11.123544885156029</v>
      </c>
      <c r="N55" s="8">
        <f>(CB_SMI_Mixto!J26/1000000)*N$25</f>
        <v>12.634242877204256</v>
      </c>
      <c r="O55" s="8">
        <f>(CB_SMI_Mixto!K26/1000000)*O$25</f>
        <v>14.039581759658239</v>
      </c>
      <c r="P55" s="8">
        <f>(CB_SMI_Mixto!L26/1000000)*P$25</f>
        <v>15.40159957499999</v>
      </c>
      <c r="Q55" s="8">
        <f>(CB_SMI_Mixto!M26/1000000)*Q$25</f>
        <v>15.427400775000001</v>
      </c>
      <c r="R55" s="8">
        <f>(CB_SMI_Mixto!N26/1000000)*R$25</f>
        <v>15.4579956</v>
      </c>
      <c r="S55" s="8">
        <f>(CB_SMI_Mixto!O26/1000000)*S$25</f>
        <v>15.503510175000001</v>
      </c>
      <c r="T55" s="8">
        <f>(CB_SMI_Mixto!P26/1000000)*T$25</f>
        <v>15.549158775</v>
      </c>
      <c r="U55" s="8">
        <f>(CB_SMI_Mixto!Q26/1000000)*U$25</f>
        <v>15.5949417</v>
      </c>
      <c r="V55" s="30">
        <f t="shared" si="8"/>
        <v>5.6332618221084506E-2</v>
      </c>
    </row>
    <row r="56" spans="2:24" x14ac:dyDescent="0.3">
      <c r="B56" s="81"/>
      <c r="C56" s="82" t="s">
        <v>132</v>
      </c>
      <c r="D56" s="82"/>
      <c r="E56" s="82"/>
      <c r="F56" s="14">
        <f t="shared" ref="F56:T56" si="9">SUM(F47:F55)</f>
        <v>0</v>
      </c>
      <c r="G56" s="14">
        <f t="shared" si="9"/>
        <v>21.902758509909692</v>
      </c>
      <c r="H56" s="14">
        <f t="shared" si="9"/>
        <v>44.430101615127683</v>
      </c>
      <c r="I56" s="14">
        <f t="shared" si="9"/>
        <v>67.60661746781571</v>
      </c>
      <c r="J56" s="14">
        <f t="shared" si="9"/>
        <v>91.335708230132397</v>
      </c>
      <c r="K56" s="14">
        <f t="shared" si="9"/>
        <v>115.62010101587646</v>
      </c>
      <c r="L56" s="14">
        <f t="shared" si="9"/>
        <v>140.42718327930012</v>
      </c>
      <c r="M56" s="14">
        <f t="shared" si="9"/>
        <v>165.76202952293767</v>
      </c>
      <c r="N56" s="14">
        <f t="shared" si="9"/>
        <v>191.69688936603475</v>
      </c>
      <c r="O56" s="14">
        <f t="shared" si="9"/>
        <v>218.04930066216676</v>
      </c>
      <c r="P56" s="14">
        <f t="shared" si="9"/>
        <v>244.89301025737808</v>
      </c>
      <c r="Q56" s="14">
        <f t="shared" si="9"/>
        <v>251.06186789238538</v>
      </c>
      <c r="R56" s="14">
        <f t="shared" si="9"/>
        <v>257.3525508134075</v>
      </c>
      <c r="S56" s="14">
        <f t="shared" si="9"/>
        <v>263.7339647653306</v>
      </c>
      <c r="T56" s="14">
        <f t="shared" si="9"/>
        <v>270.22472240473343</v>
      </c>
      <c r="U56" s="14">
        <f>SUM(U47:U55)</f>
        <v>276.83679886483657</v>
      </c>
    </row>
    <row r="58" spans="2:24" x14ac:dyDescent="0.3">
      <c r="B58" s="42" t="s">
        <v>64</v>
      </c>
      <c r="C58" s="43"/>
      <c r="D58" s="43"/>
      <c r="E58" s="43"/>
      <c r="F58" s="33">
        <f>F45+F56</f>
        <v>-216.06832229554385</v>
      </c>
      <c r="G58" s="33">
        <f>G45+G56</f>
        <v>-144.79864230172817</v>
      </c>
      <c r="H58" s="33">
        <f t="shared" ref="H58:U58" si="10">H45+H56</f>
        <v>-131.96548515436572</v>
      </c>
      <c r="I58" s="33">
        <f t="shared" si="10"/>
        <v>-118.48423749704909</v>
      </c>
      <c r="J58" s="33">
        <f t="shared" si="10"/>
        <v>-104.444338877801</v>
      </c>
      <c r="K58" s="33">
        <f t="shared" si="10"/>
        <v>-89.854323946357738</v>
      </c>
      <c r="L58" s="33">
        <f t="shared" si="10"/>
        <v>-74.738020275744532</v>
      </c>
      <c r="M58" s="33">
        <f t="shared" si="10"/>
        <v>-59.08866425010774</v>
      </c>
      <c r="N58" s="33">
        <f t="shared" si="10"/>
        <v>-42.829986296963483</v>
      </c>
      <c r="O58" s="33">
        <f t="shared" si="10"/>
        <v>-26.178471053041136</v>
      </c>
      <c r="P58" s="33">
        <f t="shared" si="10"/>
        <v>-9.0128438529251866</v>
      </c>
      <c r="Q58" s="33">
        <f t="shared" si="10"/>
        <v>129.55446348003338</v>
      </c>
      <c r="R58" s="33">
        <f t="shared" si="10"/>
        <v>134.06742138148564</v>
      </c>
      <c r="S58" s="33">
        <f t="shared" si="10"/>
        <v>138.64136062358278</v>
      </c>
      <c r="T58" s="33">
        <f t="shared" si="10"/>
        <v>143.29639838063753</v>
      </c>
      <c r="U58" s="33">
        <f t="shared" si="10"/>
        <v>148.04563254210512</v>
      </c>
    </row>
    <row r="60" spans="2:24" x14ac:dyDescent="0.3">
      <c r="B60" s="42" t="s">
        <v>156</v>
      </c>
      <c r="C60" s="43"/>
      <c r="D60" s="43"/>
      <c r="E60" s="43"/>
      <c r="F60" s="33">
        <v>0</v>
      </c>
      <c r="G60" s="33">
        <f>F61</f>
        <v>-216.06832229554385</v>
      </c>
      <c r="H60" s="33">
        <f t="shared" ref="H60:U60" si="11">G61</f>
        <v>-360.86696459727204</v>
      </c>
      <c r="I60" s="33">
        <f t="shared" si="11"/>
        <v>-492.8324497516378</v>
      </c>
      <c r="J60" s="33">
        <f t="shared" si="11"/>
        <v>-611.31668724868689</v>
      </c>
      <c r="K60" s="33">
        <f t="shared" si="11"/>
        <v>-715.76102612648788</v>
      </c>
      <c r="L60" s="33">
        <f>K61</f>
        <v>-805.61535007284556</v>
      </c>
      <c r="M60" s="33">
        <f t="shared" si="11"/>
        <v>-880.35337034859003</v>
      </c>
      <c r="N60" s="33">
        <f t="shared" si="11"/>
        <v>-939.44203459869777</v>
      </c>
      <c r="O60" s="33">
        <f t="shared" si="11"/>
        <v>-982.27202089566129</v>
      </c>
      <c r="P60" s="33">
        <f t="shared" si="11"/>
        <v>-1008.4504919487024</v>
      </c>
      <c r="Q60" s="33">
        <f t="shared" si="11"/>
        <v>-1017.4633358016276</v>
      </c>
      <c r="R60" s="33">
        <f t="shared" si="11"/>
        <v>-887.90887232159423</v>
      </c>
      <c r="S60" s="33">
        <f t="shared" si="11"/>
        <v>-753.84145094010864</v>
      </c>
      <c r="T60" s="33">
        <f t="shared" si="11"/>
        <v>-615.2000903165258</v>
      </c>
      <c r="U60" s="33">
        <f t="shared" si="11"/>
        <v>-471.90369193588828</v>
      </c>
    </row>
    <row r="61" spans="2:24" x14ac:dyDescent="0.3">
      <c r="B61" s="42" t="s">
        <v>109</v>
      </c>
      <c r="C61" s="43"/>
      <c r="D61" s="43"/>
      <c r="E61" s="43"/>
      <c r="F61" s="33">
        <f>F58+F60</f>
        <v>-216.06832229554385</v>
      </c>
      <c r="G61" s="33">
        <f>G58+G60</f>
        <v>-360.86696459727204</v>
      </c>
      <c r="H61" s="33">
        <f t="shared" ref="H61:U61" si="12">H58+H60</f>
        <v>-492.8324497516378</v>
      </c>
      <c r="I61" s="33">
        <f t="shared" si="12"/>
        <v>-611.31668724868689</v>
      </c>
      <c r="J61" s="33">
        <f t="shared" si="12"/>
        <v>-715.76102612648788</v>
      </c>
      <c r="K61" s="33">
        <f t="shared" si="12"/>
        <v>-805.61535007284556</v>
      </c>
      <c r="L61" s="33">
        <f t="shared" si="12"/>
        <v>-880.35337034859003</v>
      </c>
      <c r="M61" s="33">
        <f t="shared" si="12"/>
        <v>-939.44203459869777</v>
      </c>
      <c r="N61" s="33">
        <f t="shared" si="12"/>
        <v>-982.27202089566129</v>
      </c>
      <c r="O61" s="33">
        <f t="shared" si="12"/>
        <v>-1008.4504919487024</v>
      </c>
      <c r="P61" s="33">
        <f t="shared" si="12"/>
        <v>-1017.4633358016276</v>
      </c>
      <c r="Q61" s="33">
        <f t="shared" si="12"/>
        <v>-887.90887232159423</v>
      </c>
      <c r="R61" s="33">
        <f t="shared" si="12"/>
        <v>-753.84145094010864</v>
      </c>
      <c r="S61" s="33">
        <f t="shared" si="12"/>
        <v>-615.2000903165258</v>
      </c>
      <c r="T61" s="33">
        <f t="shared" si="12"/>
        <v>-471.90369193588828</v>
      </c>
      <c r="U61" s="33">
        <f t="shared" si="12"/>
        <v>-323.85805939378315</v>
      </c>
    </row>
    <row r="62" spans="2:24" x14ac:dyDescent="0.3"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2:24" x14ac:dyDescent="0.3">
      <c r="B63" s="89" t="s">
        <v>157</v>
      </c>
      <c r="C63" s="90"/>
      <c r="D63" s="90"/>
      <c r="E63" s="90"/>
      <c r="F63" s="35">
        <f>F58/(1+0.06)^F27</f>
        <v>-216.06832229554385</v>
      </c>
      <c r="G63" s="35">
        <f>G58/(1+0.06)^G27</f>
        <v>-136.60249273747939</v>
      </c>
      <c r="H63" s="35">
        <f t="shared" ref="H63:T63" si="13">H58/(1+0.06)^H27</f>
        <v>-117.44881199213751</v>
      </c>
      <c r="I63" s="35">
        <f t="shared" si="13"/>
        <v>-99.481650537901302</v>
      </c>
      <c r="J63" s="35">
        <f t="shared" si="13"/>
        <v>-82.729698986190584</v>
      </c>
      <c r="K63" s="35">
        <f t="shared" si="13"/>
        <v>-67.144377936270061</v>
      </c>
      <c r="L63" s="35">
        <f t="shared" si="13"/>
        <v>-52.687355164980346</v>
      </c>
      <c r="M63" s="35">
        <f>M58/(1+0.06)^M27</f>
        <v>-39.297336493975969</v>
      </c>
      <c r="N63" s="35">
        <f t="shared" si="13"/>
        <v>-26.872063267115792</v>
      </c>
      <c r="O63" s="35">
        <f t="shared" si="13"/>
        <v>-15.494996793860285</v>
      </c>
      <c r="P63" s="35">
        <f t="shared" si="13"/>
        <v>-5.0327249326249515</v>
      </c>
      <c r="Q63" s="35">
        <f t="shared" si="13"/>
        <v>68.247675220085867</v>
      </c>
      <c r="R63" s="35">
        <f t="shared" si="13"/>
        <v>66.627401080366468</v>
      </c>
      <c r="S63" s="35">
        <f t="shared" si="13"/>
        <v>65.000479957123915</v>
      </c>
      <c r="T63" s="35">
        <f t="shared" si="13"/>
        <v>63.380135195889778</v>
      </c>
      <c r="U63" s="35">
        <f>U58/(1+0.06)^U27</f>
        <v>61.774269854312983</v>
      </c>
    </row>
    <row r="64" spans="2:24" x14ac:dyDescent="0.3">
      <c r="B64" s="89" t="s">
        <v>158</v>
      </c>
      <c r="C64" s="90"/>
      <c r="D64" s="90"/>
      <c r="E64" s="90"/>
      <c r="F64" s="35">
        <f>F63</f>
        <v>-216.06832229554385</v>
      </c>
      <c r="G64" s="35">
        <f>F64+G63</f>
        <v>-352.67081503302325</v>
      </c>
      <c r="H64" s="35">
        <f t="shared" ref="H64:U64" si="14">G64+H63</f>
        <v>-470.11962702516075</v>
      </c>
      <c r="I64" s="35">
        <f t="shared" si="14"/>
        <v>-569.60127756306201</v>
      </c>
      <c r="J64" s="35">
        <f t="shared" si="14"/>
        <v>-652.33097654925257</v>
      </c>
      <c r="K64" s="35">
        <f t="shared" si="14"/>
        <v>-719.47535448552264</v>
      </c>
      <c r="L64" s="35">
        <f t="shared" si="14"/>
        <v>-772.16270965050296</v>
      </c>
      <c r="M64" s="35">
        <f t="shared" si="14"/>
        <v>-811.46004614447895</v>
      </c>
      <c r="N64" s="35">
        <f t="shared" si="14"/>
        <v>-838.33210941159473</v>
      </c>
      <c r="O64" s="35">
        <f t="shared" si="14"/>
        <v>-853.82710620545504</v>
      </c>
      <c r="P64" s="35">
        <f t="shared" si="14"/>
        <v>-858.85983113808004</v>
      </c>
      <c r="Q64" s="35">
        <f t="shared" si="14"/>
        <v>-790.61215591799419</v>
      </c>
      <c r="R64" s="35">
        <f t="shared" si="14"/>
        <v>-723.98475483762775</v>
      </c>
      <c r="S64" s="35">
        <f t="shared" si="14"/>
        <v>-658.98427488050379</v>
      </c>
      <c r="T64" s="35">
        <f t="shared" si="14"/>
        <v>-595.60413968461398</v>
      </c>
      <c r="U64" s="35">
        <f t="shared" si="14"/>
        <v>-533.82986983030105</v>
      </c>
    </row>
    <row r="67" spans="2:20" x14ac:dyDescent="0.3">
      <c r="B67" s="91" t="s">
        <v>159</v>
      </c>
      <c r="C67" s="91"/>
      <c r="D67" s="36">
        <f>J4</f>
        <v>0.06</v>
      </c>
      <c r="H67" s="85" t="s">
        <v>160</v>
      </c>
      <c r="I67" s="85"/>
      <c r="J67" s="85" t="s">
        <v>161</v>
      </c>
      <c r="K67" s="85"/>
      <c r="L67" s="85" t="s">
        <v>162</v>
      </c>
      <c r="M67" s="85"/>
    </row>
    <row r="68" spans="2:20" x14ac:dyDescent="0.3">
      <c r="B68" s="47"/>
      <c r="C68" s="47"/>
      <c r="F68" s="86" t="s">
        <v>163</v>
      </c>
      <c r="G68" s="86"/>
      <c r="H68" s="87">
        <f>NPV(D67,G45:U45)+F45</f>
        <v>-2023.7000130640599</v>
      </c>
      <c r="I68" s="87"/>
      <c r="J68" s="87">
        <f>H68*1000000/$D$79</f>
        <v>-261.42580252941895</v>
      </c>
      <c r="K68" s="87"/>
      <c r="L68" s="88">
        <f>J68*$S$4</f>
        <v>-250801.45791462337</v>
      </c>
      <c r="M68" s="88"/>
      <c r="S68" s="6"/>
      <c r="T68" s="6"/>
    </row>
    <row r="69" spans="2:20" x14ac:dyDescent="0.3">
      <c r="B69" s="70" t="s">
        <v>110</v>
      </c>
      <c r="C69" s="70"/>
      <c r="D69" s="38">
        <f>NPV(D67,G58:U58)+F58</f>
        <v>-533.82986983030105</v>
      </c>
      <c r="F69" s="95" t="s">
        <v>164</v>
      </c>
      <c r="G69" s="95"/>
      <c r="H69" s="96">
        <f>PMT(D67,15,-H68)</f>
        <v>-208.36574676147805</v>
      </c>
      <c r="I69" s="96"/>
      <c r="J69" s="96">
        <f>H69*1000000/$D$79</f>
        <v>-26.917123197664754</v>
      </c>
      <c r="K69" s="96"/>
      <c r="L69" s="97">
        <f t="shared" ref="L69" si="15">J69*$S$4</f>
        <v>-25823.211310911658</v>
      </c>
      <c r="M69" s="97"/>
    </row>
    <row r="70" spans="2:20" x14ac:dyDescent="0.3">
      <c r="B70" s="70" t="s">
        <v>111</v>
      </c>
      <c r="C70" s="70"/>
      <c r="D70" s="39">
        <f>IRR(F58:U58)</f>
        <v>-3.8122303548709269E-2</v>
      </c>
      <c r="F70" s="92" t="s">
        <v>165</v>
      </c>
      <c r="G70" s="92"/>
      <c r="H70" s="93">
        <f>H69/12</f>
        <v>-17.36381223012317</v>
      </c>
      <c r="I70" s="93"/>
      <c r="J70" s="93">
        <f t="shared" ref="J70" si="16">J69/12</f>
        <v>-2.243093599805396</v>
      </c>
      <c r="K70" s="93"/>
      <c r="L70" s="94">
        <f>L69/12</f>
        <v>-2151.9342759093047</v>
      </c>
      <c r="M70" s="94"/>
    </row>
    <row r="71" spans="2:20" x14ac:dyDescent="0.3">
      <c r="B71" s="70" t="s">
        <v>166</v>
      </c>
      <c r="C71" s="70"/>
      <c r="D71" s="40">
        <f>NPV(D67,G56:U56)/-(F36+NPV(D67,G36:U36)+NPV(D67,G43:U43))</f>
        <v>0.73621096685074605</v>
      </c>
      <c r="F71" s="100"/>
      <c r="G71" s="100"/>
      <c r="L71" s="41"/>
      <c r="M71" s="41"/>
    </row>
    <row r="72" spans="2:20" x14ac:dyDescent="0.3">
      <c r="B72" s="47"/>
      <c r="C72" s="47"/>
      <c r="F72" s="101" t="s">
        <v>167</v>
      </c>
      <c r="G72" s="101"/>
      <c r="H72" s="87">
        <f>NPV(D67,G56:U56)+F56</f>
        <v>1489.8701432337589</v>
      </c>
      <c r="I72" s="87"/>
      <c r="J72" s="87">
        <f>H72*1000000/$D$79</f>
        <v>192.46454283991574</v>
      </c>
      <c r="K72" s="87"/>
      <c r="L72" s="88">
        <f>J72*$S$4</f>
        <v>184642.78381890157</v>
      </c>
      <c r="M72" s="88"/>
    </row>
    <row r="73" spans="2:20" x14ac:dyDescent="0.3">
      <c r="B73" s="70" t="s">
        <v>168</v>
      </c>
      <c r="C73" s="70"/>
      <c r="D73" s="4">
        <v>2527114</v>
      </c>
      <c r="F73" s="99" t="s">
        <v>169</v>
      </c>
      <c r="G73" s="99"/>
      <c r="H73" s="96">
        <f>PMT(D67,15,-H72)</f>
        <v>153.40114788184545</v>
      </c>
      <c r="I73" s="96"/>
      <c r="J73" s="96">
        <f>H73*1000000/$D$79</f>
        <v>19.816681294193412</v>
      </c>
      <c r="K73" s="96"/>
      <c r="L73" s="97">
        <f>J73*$S$4</f>
        <v>19011.331366397393</v>
      </c>
      <c r="M73" s="97"/>
    </row>
    <row r="74" spans="2:20" x14ac:dyDescent="0.3">
      <c r="B74" s="70" t="s">
        <v>170</v>
      </c>
      <c r="C74" s="70"/>
      <c r="D74" s="4">
        <v>2158536</v>
      </c>
      <c r="F74" s="103" t="s">
        <v>171</v>
      </c>
      <c r="G74" s="103"/>
      <c r="H74" s="104">
        <f>H73/12</f>
        <v>12.783428990153787</v>
      </c>
      <c r="I74" s="104"/>
      <c r="J74" s="104">
        <f t="shared" ref="J74" si="17">J73/12</f>
        <v>1.6513901078494511</v>
      </c>
      <c r="K74" s="104"/>
      <c r="L74" s="98">
        <f>L73/12</f>
        <v>1584.2776138664494</v>
      </c>
      <c r="M74" s="98"/>
    </row>
    <row r="75" spans="2:20" x14ac:dyDescent="0.3">
      <c r="B75" s="70" t="s">
        <v>172</v>
      </c>
      <c r="C75" s="70"/>
      <c r="D75" s="4">
        <v>1173397</v>
      </c>
      <c r="F75" s="100"/>
      <c r="G75" s="100"/>
      <c r="L75" s="41"/>
      <c r="M75" s="41"/>
    </row>
    <row r="76" spans="2:20" x14ac:dyDescent="0.3">
      <c r="B76" s="70" t="s">
        <v>173</v>
      </c>
      <c r="C76" s="70"/>
      <c r="D76" s="4">
        <v>1288141</v>
      </c>
      <c r="F76" s="102" t="s">
        <v>174</v>
      </c>
      <c r="G76" s="102"/>
      <c r="H76" s="87">
        <f>H72+H68</f>
        <v>-533.82986983030105</v>
      </c>
      <c r="I76" s="87"/>
      <c r="J76" s="87">
        <f>H76*1000000/$D$79</f>
        <v>-68.961259689503223</v>
      </c>
      <c r="K76" s="87"/>
      <c r="L76" s="88">
        <f>J76*$S$4</f>
        <v>-66158.674095721814</v>
      </c>
      <c r="M76" s="88"/>
    </row>
    <row r="77" spans="2:20" x14ac:dyDescent="0.3">
      <c r="B77" s="70" t="s">
        <v>175</v>
      </c>
      <c r="C77" s="70"/>
      <c r="D77" s="4">
        <v>593823</v>
      </c>
      <c r="F77" s="108" t="s">
        <v>176</v>
      </c>
      <c r="G77" s="108"/>
      <c r="H77" s="96">
        <f>PMT(D67,15,-H76)</f>
        <v>-54.96459887963259</v>
      </c>
      <c r="I77" s="96"/>
      <c r="J77" s="96">
        <f>H77*1000000/$D$79</f>
        <v>-7.1004419034713413</v>
      </c>
      <c r="K77" s="96"/>
      <c r="L77" s="97">
        <f>J77*$S$4</f>
        <v>-6811.8799445142658</v>
      </c>
      <c r="M77" s="97"/>
    </row>
    <row r="78" spans="2:20" x14ac:dyDescent="0.3">
      <c r="B78" s="47"/>
      <c r="C78" s="47"/>
      <c r="D78" s="37"/>
      <c r="F78" s="105" t="s">
        <v>177</v>
      </c>
      <c r="G78" s="105"/>
      <c r="H78" s="106">
        <f>H77/12</f>
        <v>-4.5803832399693825</v>
      </c>
      <c r="I78" s="106"/>
      <c r="J78" s="106">
        <f t="shared" ref="J78" si="18">J77/12</f>
        <v>-0.59170349195594507</v>
      </c>
      <c r="K78" s="106"/>
      <c r="L78" s="107">
        <f t="shared" ref="L78" si="19">L77/12</f>
        <v>-567.65666204285549</v>
      </c>
      <c r="M78" s="107"/>
    </row>
    <row r="79" spans="2:20" x14ac:dyDescent="0.3">
      <c r="B79" s="83" t="s">
        <v>178</v>
      </c>
      <c r="C79" s="83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:P6"/>
    <mergeCell ref="L7:P7"/>
    <mergeCell ref="L8:P8"/>
    <mergeCell ref="L9:P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C36:E36"/>
    <mergeCell ref="C22:E22"/>
    <mergeCell ref="C23:E23"/>
    <mergeCell ref="B21:B25"/>
    <mergeCell ref="C31:E31"/>
    <mergeCell ref="C33:E33"/>
    <mergeCell ref="C32:E32"/>
    <mergeCell ref="C35:E35"/>
    <mergeCell ref="C55:E55"/>
    <mergeCell ref="C50:E50"/>
    <mergeCell ref="C52:E52"/>
    <mergeCell ref="C53:E53"/>
    <mergeCell ref="B44:U44"/>
    <mergeCell ref="C51:E51"/>
    <mergeCell ref="C47:E47"/>
    <mergeCell ref="C48:E48"/>
    <mergeCell ref="C49:E49"/>
    <mergeCell ref="B45:E45"/>
    <mergeCell ref="C43:E43"/>
    <mergeCell ref="B47:B56"/>
    <mergeCell ref="C56:E56"/>
    <mergeCell ref="C42:E42"/>
    <mergeCell ref="C39:E39"/>
    <mergeCell ref="G4:I4"/>
    <mergeCell ref="G2:K2"/>
    <mergeCell ref="L4:P4"/>
    <mergeCell ref="B26:U26"/>
    <mergeCell ref="B14:U14"/>
    <mergeCell ref="B5:C5"/>
    <mergeCell ref="B6:C6"/>
    <mergeCell ref="B7:C7"/>
    <mergeCell ref="B2:E2"/>
    <mergeCell ref="B4:C4"/>
    <mergeCell ref="B8:C8"/>
    <mergeCell ref="B9:C9"/>
    <mergeCell ref="D4:E4"/>
    <mergeCell ref="D6:E6"/>
    <mergeCell ref="D7:E7"/>
    <mergeCell ref="D8:E8"/>
    <mergeCell ref="D5:E5"/>
    <mergeCell ref="G5:I5"/>
    <mergeCell ref="D9:E9"/>
    <mergeCell ref="G6:I6"/>
    <mergeCell ref="G7:I7"/>
    <mergeCell ref="G8:I8"/>
    <mergeCell ref="G9:I9"/>
    <mergeCell ref="L5:P5"/>
    <mergeCell ref="B60:E60"/>
    <mergeCell ref="B61:E61"/>
    <mergeCell ref="B12:D13"/>
    <mergeCell ref="C17:E17"/>
    <mergeCell ref="C18:E18"/>
    <mergeCell ref="C19:E19"/>
    <mergeCell ref="C25:E25"/>
    <mergeCell ref="C20:U20"/>
    <mergeCell ref="C21:E21"/>
    <mergeCell ref="C34:E34"/>
    <mergeCell ref="C38:E38"/>
    <mergeCell ref="C40:E40"/>
    <mergeCell ref="C41:E41"/>
    <mergeCell ref="B37:U37"/>
    <mergeCell ref="B27:D28"/>
    <mergeCell ref="B30:B36"/>
    <mergeCell ref="B58:E58"/>
    <mergeCell ref="C54:E54"/>
    <mergeCell ref="B15:B19"/>
    <mergeCell ref="C30:E30"/>
    <mergeCell ref="C15:E15"/>
    <mergeCell ref="C24:E24"/>
    <mergeCell ref="C16:U16"/>
    <mergeCell ref="B38:B43"/>
  </mergeCells>
  <conditionalFormatting sqref="F30:U36">
    <cfRule type="cellIs" dxfId="47" priority="11" operator="lessThan">
      <formula>0</formula>
    </cfRule>
  </conditionalFormatting>
  <conditionalFormatting sqref="F38:U43">
    <cfRule type="cellIs" dxfId="46" priority="7" operator="lessThan">
      <formula>0</formula>
    </cfRule>
  </conditionalFormatting>
  <conditionalFormatting sqref="F45:U45">
    <cfRule type="cellIs" dxfId="45" priority="5" operator="lessThan">
      <formula>0</formula>
    </cfRule>
  </conditionalFormatting>
  <conditionalFormatting sqref="F47:U56">
    <cfRule type="cellIs" dxfId="44" priority="8" operator="lessThan">
      <formula>0</formula>
    </cfRule>
  </conditionalFormatting>
  <conditionalFormatting sqref="F58:U61">
    <cfRule type="cellIs" dxfId="43" priority="3" operator="lessThan">
      <formula>0</formula>
    </cfRule>
  </conditionalFormatting>
  <conditionalFormatting sqref="F63:U64">
    <cfRule type="cellIs" dxfId="42" priority="2" operator="lessThan">
      <formula>0</formula>
    </cfRule>
  </conditionalFormatting>
  <conditionalFormatting sqref="H68:M69 H70 J70 H72:M73 H74 J74 H76:M78">
    <cfRule type="cellIs" dxfId="41" priority="4" operator="lessThan">
      <formula>0</formula>
    </cfRule>
  </conditionalFormatting>
  <conditionalFormatting sqref="L70 L74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76C3-21F1-4500-965A-22D082397342}">
  <sheetPr>
    <tabColor theme="3" tint="-0.249977111117893"/>
  </sheetPr>
  <dimension ref="A1:Q26"/>
  <sheetViews>
    <sheetView zoomScale="80" zoomScaleNormal="80" workbookViewId="0">
      <selection activeCell="D17" sqref="D17"/>
    </sheetView>
  </sheetViews>
  <sheetFormatPr baseColWidth="10" defaultRowHeight="14.4" x14ac:dyDescent="0.3"/>
  <cols>
    <col min="1" max="1" width="47.109375" bestFit="1" customWidth="1"/>
    <col min="2" max="11" width="12.6640625" bestFit="1" customWidth="1"/>
    <col min="12" max="17" width="13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11914418.734073861</v>
      </c>
      <c r="C2">
        <v>12274234.179842889</v>
      </c>
      <c r="D2">
        <v>12644916.05207414</v>
      </c>
      <c r="E2">
        <v>13026792.51684678</v>
      </c>
      <c r="F2">
        <v>13420201.650855551</v>
      </c>
      <c r="G2">
        <v>13825491.740711389</v>
      </c>
      <c r="H2">
        <v>14243021.591280879</v>
      </c>
      <c r="I2">
        <v>14673160.84333756</v>
      </c>
      <c r="J2">
        <v>15116290.300806349</v>
      </c>
      <c r="K2">
        <v>15572802.267890699</v>
      </c>
      <c r="L2">
        <v>16043100.896381</v>
      </c>
      <c r="M2">
        <v>16527602.54345171</v>
      </c>
      <c r="N2">
        <v>17026736.140263949</v>
      </c>
      <c r="O2">
        <v>17540943.571699921</v>
      </c>
      <c r="P2">
        <v>18070680.067565259</v>
      </c>
      <c r="Q2">
        <v>18616414.605605729</v>
      </c>
    </row>
    <row r="3" spans="1:17" x14ac:dyDescent="0.3">
      <c r="A3" t="s">
        <v>102</v>
      </c>
      <c r="B3">
        <v>2524610</v>
      </c>
      <c r="C3">
        <v>34572</v>
      </c>
      <c r="D3">
        <v>35048</v>
      </c>
      <c r="E3">
        <v>35523</v>
      </c>
      <c r="F3">
        <v>36013</v>
      </c>
      <c r="G3">
        <v>36511</v>
      </c>
      <c r="H3">
        <v>37004</v>
      </c>
      <c r="I3">
        <v>37514</v>
      </c>
      <c r="J3">
        <v>38026</v>
      </c>
      <c r="K3">
        <v>38547</v>
      </c>
      <c r="L3">
        <v>39074</v>
      </c>
      <c r="M3">
        <v>39615</v>
      </c>
      <c r="N3">
        <v>40155</v>
      </c>
      <c r="O3">
        <v>40705</v>
      </c>
      <c r="P3">
        <v>41265</v>
      </c>
      <c r="Q3">
        <v>41828</v>
      </c>
    </row>
    <row r="4" spans="1:17" x14ac:dyDescent="0.3">
      <c r="A4" t="s">
        <v>103</v>
      </c>
      <c r="B4">
        <v>3735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3">
      <c r="A5" t="s">
        <v>104</v>
      </c>
      <c r="B5">
        <v>42267</v>
      </c>
      <c r="C5">
        <v>147</v>
      </c>
      <c r="D5">
        <v>147</v>
      </c>
      <c r="E5">
        <v>148</v>
      </c>
      <c r="F5">
        <v>148</v>
      </c>
      <c r="G5">
        <v>148</v>
      </c>
      <c r="H5">
        <v>148</v>
      </c>
      <c r="I5">
        <v>150</v>
      </c>
      <c r="J5">
        <v>150</v>
      </c>
      <c r="K5">
        <v>150</v>
      </c>
      <c r="L5">
        <v>150</v>
      </c>
      <c r="M5">
        <v>150</v>
      </c>
      <c r="N5">
        <v>152</v>
      </c>
      <c r="O5">
        <v>152</v>
      </c>
      <c r="P5">
        <v>153</v>
      </c>
      <c r="Q5">
        <v>156</v>
      </c>
    </row>
    <row r="6" spans="1:17" x14ac:dyDescent="0.3">
      <c r="A6" t="s">
        <v>133</v>
      </c>
      <c r="B6">
        <v>25418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129.40799999999999</v>
      </c>
      <c r="C7">
        <v>129.40799999999999</v>
      </c>
      <c r="D7">
        <v>129.40799999999999</v>
      </c>
      <c r="E7">
        <v>129.40799999999999</v>
      </c>
      <c r="F7">
        <v>129.40799999999999</v>
      </c>
      <c r="G7">
        <v>129.40799999999999</v>
      </c>
      <c r="H7">
        <v>129.40799999999999</v>
      </c>
      <c r="I7">
        <v>129.40799999999999</v>
      </c>
      <c r="J7">
        <v>129.40799999999999</v>
      </c>
      <c r="K7">
        <v>129.40799999999999</v>
      </c>
      <c r="L7">
        <v>129.40799999999999</v>
      </c>
      <c r="M7">
        <v>129.40799999999999</v>
      </c>
      <c r="N7">
        <v>129.40799999999999</v>
      </c>
      <c r="O7">
        <v>129.40799999999999</v>
      </c>
      <c r="P7">
        <v>129.40799999999999</v>
      </c>
      <c r="Q7">
        <v>129.40799999999999</v>
      </c>
    </row>
    <row r="8" spans="1:17" x14ac:dyDescent="0.3">
      <c r="A8" t="s">
        <v>135</v>
      </c>
      <c r="B8">
        <v>286.76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286.76</v>
      </c>
      <c r="L8">
        <v>286.76</v>
      </c>
      <c r="M8">
        <v>286.76</v>
      </c>
      <c r="N8">
        <v>286.76</v>
      </c>
      <c r="O8">
        <v>286.76</v>
      </c>
      <c r="P8">
        <v>286.76</v>
      </c>
      <c r="Q8">
        <v>286.76</v>
      </c>
    </row>
    <row r="9" spans="1:17" x14ac:dyDescent="0.3">
      <c r="A9" t="s">
        <v>136</v>
      </c>
      <c r="B9">
        <v>717.5920000000001</v>
      </c>
      <c r="C9">
        <v>717.59199999999998</v>
      </c>
      <c r="D9">
        <v>717.59199999999998</v>
      </c>
      <c r="E9">
        <v>717.5920000000001</v>
      </c>
      <c r="F9">
        <v>717.5920000000001</v>
      </c>
      <c r="G9">
        <v>717.5920000000001</v>
      </c>
      <c r="H9">
        <v>717.5920000000001</v>
      </c>
      <c r="I9">
        <v>717.5920000000001</v>
      </c>
      <c r="J9">
        <v>717.5920000000001</v>
      </c>
      <c r="K9">
        <v>717.5920000000001</v>
      </c>
      <c r="L9">
        <v>717.5920000000001</v>
      </c>
      <c r="M9">
        <v>717.5920000000001</v>
      </c>
      <c r="N9">
        <v>717.5920000000001</v>
      </c>
      <c r="O9">
        <v>717.5920000000001</v>
      </c>
      <c r="P9">
        <v>717.59199999999998</v>
      </c>
      <c r="Q9">
        <v>717.5920000000001</v>
      </c>
    </row>
    <row r="10" spans="1:17" x14ac:dyDescent="0.3">
      <c r="A10" t="s">
        <v>137</v>
      </c>
      <c r="B10">
        <v>806.76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47173300.811999992</v>
      </c>
      <c r="C11">
        <v>637128.36899999995</v>
      </c>
      <c r="D11">
        <v>645863.44500000007</v>
      </c>
      <c r="E11">
        <v>654598.52099999995</v>
      </c>
      <c r="F11">
        <v>663590.51099999994</v>
      </c>
      <c r="G11">
        <v>672729.30900000001</v>
      </c>
      <c r="H11">
        <v>681776.35199999996</v>
      </c>
      <c r="I11">
        <v>691172.06400000001</v>
      </c>
      <c r="J11">
        <v>700567.77599999995</v>
      </c>
      <c r="K11">
        <v>710146.99800000002</v>
      </c>
      <c r="L11">
        <v>719817.97499999998</v>
      </c>
      <c r="M11">
        <v>729745.86599999992</v>
      </c>
      <c r="N11">
        <v>739692.10800000001</v>
      </c>
      <c r="O11">
        <v>749785.15799999994</v>
      </c>
      <c r="P11">
        <v>760080.0689999999</v>
      </c>
      <c r="Q11">
        <v>770466.73499999987</v>
      </c>
    </row>
    <row r="12" spans="1:17" x14ac:dyDescent="0.3">
      <c r="A12" t="s">
        <v>141</v>
      </c>
      <c r="B12">
        <v>3544738.652631579</v>
      </c>
      <c r="C12">
        <v>47875.673684210531</v>
      </c>
      <c r="D12">
        <v>48532.052631578947</v>
      </c>
      <c r="E12">
        <v>49188.431578947377</v>
      </c>
      <c r="F12">
        <v>49864.115789473683</v>
      </c>
      <c r="G12">
        <v>50550.831578947371</v>
      </c>
      <c r="H12">
        <v>51230.652631578952</v>
      </c>
      <c r="I12">
        <v>51936.673684210531</v>
      </c>
      <c r="J12">
        <v>52642.69473684211</v>
      </c>
      <c r="K12">
        <v>53362.505263157887</v>
      </c>
      <c r="L12">
        <v>54089.210526315801</v>
      </c>
      <c r="M12">
        <v>54835.221052631583</v>
      </c>
      <c r="N12">
        <v>55582.610526315802</v>
      </c>
      <c r="O12">
        <v>56341.031578947383</v>
      </c>
      <c r="P12">
        <v>57114.621052631577</v>
      </c>
      <c r="Q12">
        <v>57895.1052631579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427307.27151434298</v>
      </c>
      <c r="C14">
        <v>427307.27151434298</v>
      </c>
      <c r="D14">
        <v>427307.27151434298</v>
      </c>
      <c r="E14">
        <v>427307.27151434298</v>
      </c>
      <c r="F14">
        <v>427307.27151434298</v>
      </c>
      <c r="G14">
        <v>427307.27151434298</v>
      </c>
      <c r="H14">
        <v>427307.27151434298</v>
      </c>
      <c r="I14">
        <v>427307.27151434298</v>
      </c>
      <c r="J14">
        <v>427307.27151434298</v>
      </c>
      <c r="K14">
        <v>427307.27151434298</v>
      </c>
      <c r="L14">
        <v>428898.73248832562</v>
      </c>
      <c r="M14">
        <v>428898.73248832562</v>
      </c>
      <c r="N14">
        <v>428898.73248832562</v>
      </c>
      <c r="O14">
        <v>430457.971981321</v>
      </c>
      <c r="P14">
        <v>430457.971981321</v>
      </c>
      <c r="Q14">
        <v>430457.971981321</v>
      </c>
    </row>
    <row r="15" spans="1:17" x14ac:dyDescent="0.3">
      <c r="A15" t="s">
        <v>85</v>
      </c>
      <c r="B15">
        <v>20527168.539026018</v>
      </c>
      <c r="C15">
        <v>20804410.98732489</v>
      </c>
      <c r="D15">
        <v>21085454.449633092</v>
      </c>
      <c r="E15">
        <v>21370298.925950639</v>
      </c>
      <c r="F15">
        <v>21659056.210807212</v>
      </c>
      <c r="G15">
        <v>21951790.1867912</v>
      </c>
      <c r="H15">
        <v>22248460.927284859</v>
      </c>
      <c r="I15">
        <v>22549220.153435629</v>
      </c>
      <c r="J15">
        <v>22854067.865243498</v>
      </c>
      <c r="K15">
        <v>23163083.915943969</v>
      </c>
      <c r="L15">
        <v>23476308.232154772</v>
      </c>
      <c r="M15">
        <v>23793852.608405601</v>
      </c>
      <c r="N15">
        <v>24115725.030020021</v>
      </c>
      <c r="O15">
        <v>24441989.379586399</v>
      </c>
      <c r="P15">
        <v>24772733.495663781</v>
      </c>
      <c r="Q15">
        <v>25107997.30486992</v>
      </c>
    </row>
    <row r="16" spans="1:17" x14ac:dyDescent="0.3">
      <c r="A16" t="s">
        <v>142</v>
      </c>
      <c r="B16">
        <v>2913382.8158947369</v>
      </c>
      <c r="C16">
        <v>2952731.3204473681</v>
      </c>
      <c r="D16">
        <v>2992619.2958421051</v>
      </c>
      <c r="E16">
        <v>3033046.7420789469</v>
      </c>
      <c r="F16">
        <v>3074029.5259473678</v>
      </c>
      <c r="G16">
        <v>3115576.7141842111</v>
      </c>
      <c r="H16">
        <v>3157682.6400789469</v>
      </c>
      <c r="I16">
        <v>3200368.8371315789</v>
      </c>
      <c r="J16">
        <v>3243635.3053421038</v>
      </c>
      <c r="K16">
        <v>3287493.3781315791</v>
      </c>
      <c r="L16">
        <v>3331948.722210526</v>
      </c>
      <c r="M16">
        <v>3377017.2043684209</v>
      </c>
      <c r="N16">
        <v>3422699.9579473678</v>
      </c>
      <c r="O16">
        <v>3469006.0496842102</v>
      </c>
      <c r="P16">
        <v>3515947.946342105</v>
      </c>
      <c r="Q16">
        <v>3563531.314631579</v>
      </c>
    </row>
    <row r="17" spans="1:17" x14ac:dyDescent="0.3">
      <c r="A17" t="s">
        <v>86</v>
      </c>
      <c r="B17">
        <v>3192700.1039999998</v>
      </c>
      <c r="C17">
        <v>3235821.1020000009</v>
      </c>
      <c r="D17">
        <v>3279533.2919999999</v>
      </c>
      <c r="E17">
        <v>3323836.674000001</v>
      </c>
      <c r="F17">
        <v>3368748.6360000009</v>
      </c>
      <c r="G17">
        <v>3414279.114000001</v>
      </c>
      <c r="H17">
        <v>3460421.898000001</v>
      </c>
      <c r="I17">
        <v>3507200.5860000011</v>
      </c>
      <c r="J17">
        <v>3554615.1780000008</v>
      </c>
      <c r="K17">
        <v>3602678.094000001</v>
      </c>
      <c r="L17">
        <v>3651395.5440000012</v>
      </c>
      <c r="M17">
        <v>3700784.9160000011</v>
      </c>
      <c r="N17">
        <v>3750847.452000001</v>
      </c>
      <c r="O17">
        <v>3801593.088</v>
      </c>
      <c r="P17">
        <v>3853035.486000001</v>
      </c>
      <c r="Q17">
        <v>3905180.8560000011</v>
      </c>
    </row>
    <row r="18" spans="1:17" x14ac:dyDescent="0.3">
      <c r="A18" t="s">
        <v>87</v>
      </c>
      <c r="B18">
        <v>6052949.9003999997</v>
      </c>
      <c r="C18">
        <v>6135756.2676000008</v>
      </c>
      <c r="D18">
        <v>6219700.8455999997</v>
      </c>
      <c r="E18">
        <v>6304806.9132000003</v>
      </c>
      <c r="F18">
        <v>6391069.5696</v>
      </c>
      <c r="G18">
        <v>6478537.8228000002</v>
      </c>
      <c r="H18">
        <v>6567177.3672000002</v>
      </c>
      <c r="I18">
        <v>6657029.8596000001</v>
      </c>
      <c r="J18">
        <v>6748122.2544</v>
      </c>
      <c r="K18">
        <v>6840450.8760000002</v>
      </c>
      <c r="L18">
        <v>6934068.4079999998</v>
      </c>
      <c r="M18">
        <v>7028956.4724000003</v>
      </c>
      <c r="N18">
        <v>7125140.7984000007</v>
      </c>
      <c r="O18">
        <v>7222637.3136</v>
      </c>
      <c r="P18">
        <v>7321496.2511999998</v>
      </c>
      <c r="Q18">
        <v>7421668.6031999998</v>
      </c>
    </row>
    <row r="19" spans="1:17" x14ac:dyDescent="0.3">
      <c r="A19" t="s">
        <v>88</v>
      </c>
      <c r="B19">
        <v>928092.72495600011</v>
      </c>
      <c r="C19">
        <v>940789.06299000012</v>
      </c>
      <c r="D19">
        <v>953660.21392800019</v>
      </c>
      <c r="E19">
        <v>966709.11580200016</v>
      </c>
      <c r="F19">
        <v>979935.401358</v>
      </c>
      <c r="G19">
        <v>993346.78292999999</v>
      </c>
      <c r="H19">
        <v>1006937.384454</v>
      </c>
      <c r="I19">
        <v>1020714.183756</v>
      </c>
      <c r="J19">
        <v>1034681.22063</v>
      </c>
      <c r="K19">
        <v>1048837.7605679999</v>
      </c>
      <c r="L19">
        <v>1063191.515904</v>
      </c>
      <c r="M19">
        <v>1077740.6503679999</v>
      </c>
      <c r="N19">
        <v>1092488.1019919999</v>
      </c>
      <c r="O19">
        <v>1108169.5636440001</v>
      </c>
      <c r="P19">
        <v>1124080.0515000001</v>
      </c>
      <c r="Q19">
        <v>1140212.6207010001</v>
      </c>
    </row>
    <row r="20" spans="1:17" x14ac:dyDescent="0.3">
      <c r="A20" t="s">
        <v>89</v>
      </c>
      <c r="B20">
        <v>27022645.34552142</v>
      </c>
      <c r="C20">
        <v>27838729.234956171</v>
      </c>
      <c r="D20">
        <v>28679458.857851852</v>
      </c>
      <c r="E20">
        <v>29545578.51535897</v>
      </c>
      <c r="F20">
        <v>30437854.986522809</v>
      </c>
      <c r="G20">
        <v>31357078.207115799</v>
      </c>
      <c r="H20">
        <v>32304061.96897069</v>
      </c>
      <c r="I20">
        <v>33279644.640433609</v>
      </c>
      <c r="J20">
        <v>34284689.908574708</v>
      </c>
      <c r="K20">
        <v>35320087.543813661</v>
      </c>
      <c r="L20">
        <v>36386754.187636837</v>
      </c>
      <c r="M20">
        <v>37485634.164103471</v>
      </c>
      <c r="N20">
        <v>38617700.315859392</v>
      </c>
      <c r="O20">
        <v>39783954.865398347</v>
      </c>
      <c r="P20">
        <v>40985430.302333377</v>
      </c>
      <c r="Q20">
        <v>42223190.297463849</v>
      </c>
    </row>
    <row r="21" spans="1:17" x14ac:dyDescent="0.3">
      <c r="A21" t="s">
        <v>90</v>
      </c>
      <c r="B21">
        <v>137052.5777300116</v>
      </c>
      <c r="C21">
        <v>137052.5777300116</v>
      </c>
      <c r="D21">
        <v>137052.5777300116</v>
      </c>
      <c r="E21">
        <v>137052.5777300116</v>
      </c>
      <c r="F21">
        <v>137052.5777300116</v>
      </c>
      <c r="G21">
        <v>137052.5777300116</v>
      </c>
      <c r="H21">
        <v>137052.5777300116</v>
      </c>
      <c r="I21">
        <v>137052.5777300116</v>
      </c>
      <c r="J21">
        <v>137052.5777300116</v>
      </c>
      <c r="K21">
        <v>137052.5777300116</v>
      </c>
      <c r="L21">
        <v>137052.5777300116</v>
      </c>
      <c r="M21">
        <v>137052.5777300116</v>
      </c>
      <c r="N21">
        <v>137052.5777300116</v>
      </c>
      <c r="O21">
        <v>137052.5777300116</v>
      </c>
      <c r="P21">
        <v>137052.5777300116</v>
      </c>
      <c r="Q21">
        <v>137052.5777300116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4518210.0923758456</v>
      </c>
      <c r="C24">
        <v>4910236.5485644015</v>
      </c>
      <c r="D24">
        <v>5282085.6767656291</v>
      </c>
      <c r="E24">
        <v>5636910.3278095853</v>
      </c>
      <c r="F24">
        <v>5976656.1596147846</v>
      </c>
      <c r="G24">
        <v>6301793.6946847485</v>
      </c>
      <c r="H24">
        <v>6606748.7857477563</v>
      </c>
      <c r="I24">
        <v>6900394.6088602794</v>
      </c>
      <c r="J24">
        <v>7180417.0125998138</v>
      </c>
      <c r="K24">
        <v>7443141.5233945046</v>
      </c>
      <c r="L24">
        <v>7695452.3794396454</v>
      </c>
      <c r="M24">
        <v>7932238.2927662032</v>
      </c>
      <c r="N24">
        <v>8161857.1810558401</v>
      </c>
      <c r="O24">
        <v>8372530.7385743689</v>
      </c>
      <c r="P24">
        <v>8572056.9834561162</v>
      </c>
      <c r="Q24">
        <v>8762224.0874203183</v>
      </c>
    </row>
    <row r="25" spans="1:17" x14ac:dyDescent="0.3">
      <c r="A25" t="s">
        <v>93</v>
      </c>
      <c r="B25">
        <v>3148834.5862799999</v>
      </c>
      <c r="C25">
        <v>3191910.7437</v>
      </c>
      <c r="D25">
        <v>3235580.0066399998</v>
      </c>
      <c r="E25">
        <v>3279852.34326</v>
      </c>
      <c r="F25">
        <v>3324726.5075400011</v>
      </c>
      <c r="G25">
        <v>3370228.6658999999</v>
      </c>
      <c r="H25">
        <v>3416338.8820199999</v>
      </c>
      <c r="I25">
        <v>3463080.8302799999</v>
      </c>
      <c r="J25">
        <v>3510468.2168999999</v>
      </c>
      <c r="K25">
        <v>3558498.54984</v>
      </c>
      <c r="L25">
        <v>3607197.9955199999</v>
      </c>
      <c r="M25">
        <v>3656560.3238400011</v>
      </c>
      <c r="N25">
        <v>3706595.5029600002</v>
      </c>
      <c r="O25">
        <v>3757313.50104</v>
      </c>
      <c r="P25">
        <v>3808740.4844999998</v>
      </c>
      <c r="Q25">
        <v>3860851.5329399998</v>
      </c>
    </row>
    <row r="26" spans="1:17" x14ac:dyDescent="0.3">
      <c r="A26" t="s">
        <v>94</v>
      </c>
      <c r="B26">
        <v>1403357.282954545</v>
      </c>
      <c r="C26">
        <v>1404390.8793181819</v>
      </c>
      <c r="D26">
        <v>1405453.2352272731</v>
      </c>
      <c r="E26">
        <v>1420942.6529545451</v>
      </c>
      <c r="F26">
        <v>1424275.124772727</v>
      </c>
      <c r="G26">
        <v>1426444.1806818179</v>
      </c>
      <c r="H26">
        <v>1428005.8409090911</v>
      </c>
      <c r="I26">
        <v>1429529.864318182</v>
      </c>
      <c r="J26">
        <v>1441345.655227273</v>
      </c>
      <c r="K26">
        <v>1444399.021363636</v>
      </c>
      <c r="L26">
        <v>1446816.929772727</v>
      </c>
      <c r="M26">
        <v>1449240.678863636</v>
      </c>
      <c r="N26">
        <v>1452114.738181818</v>
      </c>
      <c r="O26">
        <v>1456390.3497727269</v>
      </c>
      <c r="P26">
        <v>1460678.551590909</v>
      </c>
      <c r="Q26">
        <v>1464979.3718181821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0CAD-4E7A-4B3A-8B69-31DCCCBFCBD9}">
  <sheetPr>
    <tabColor theme="3" tint="-0.249977111117893"/>
  </sheetPr>
  <dimension ref="B2:X79"/>
  <sheetViews>
    <sheetView topLeftCell="A35" zoomScale="80" zoomScaleNormal="80" workbookViewId="0">
      <selection activeCell="B58" sqref="B58:U79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2.664062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71" t="s">
        <v>50</v>
      </c>
      <c r="C2" s="71"/>
      <c r="D2" s="71"/>
      <c r="E2" s="71"/>
      <c r="G2" s="71" t="s">
        <v>41</v>
      </c>
      <c r="H2" s="71"/>
      <c r="I2" s="71"/>
      <c r="J2" s="71"/>
      <c r="K2" s="7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70" t="s">
        <v>51</v>
      </c>
      <c r="C4" s="70"/>
      <c r="D4" s="70" t="s">
        <v>40</v>
      </c>
      <c r="E4" s="70"/>
      <c r="G4" s="70" t="s">
        <v>17</v>
      </c>
      <c r="H4" s="70"/>
      <c r="I4" s="70"/>
      <c r="J4" s="18">
        <v>0.06</v>
      </c>
      <c r="K4" s="16" t="s">
        <v>29</v>
      </c>
      <c r="L4" s="72"/>
      <c r="M4" s="72"/>
      <c r="N4" s="72"/>
      <c r="O4" s="72"/>
      <c r="P4" s="72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72" t="s">
        <v>52</v>
      </c>
      <c r="C5" s="72"/>
      <c r="D5" s="72" t="s">
        <v>148</v>
      </c>
      <c r="E5" s="72"/>
      <c r="G5" s="70" t="s">
        <v>46</v>
      </c>
      <c r="H5" s="70"/>
      <c r="I5" s="70"/>
      <c r="J5" s="19">
        <v>15</v>
      </c>
      <c r="K5" s="20" t="s">
        <v>47</v>
      </c>
      <c r="L5" s="84"/>
      <c r="M5" s="84"/>
      <c r="N5" s="84"/>
      <c r="O5" s="84"/>
      <c r="P5" s="84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72" t="s">
        <v>53</v>
      </c>
      <c r="C6" s="72"/>
      <c r="D6" s="72" t="s">
        <v>148</v>
      </c>
      <c r="E6" s="72"/>
      <c r="G6" s="83" t="s">
        <v>106</v>
      </c>
      <c r="H6" s="83"/>
      <c r="I6" s="83"/>
      <c r="J6" s="20">
        <v>10</v>
      </c>
      <c r="K6" s="20" t="s">
        <v>47</v>
      </c>
      <c r="L6" s="84"/>
      <c r="M6" s="84"/>
      <c r="N6" s="84"/>
      <c r="O6" s="84"/>
      <c r="P6" s="84"/>
    </row>
    <row r="7" spans="2:21" x14ac:dyDescent="0.3">
      <c r="B7" s="72" t="s">
        <v>54</v>
      </c>
      <c r="C7" s="72"/>
      <c r="D7" s="72" t="s">
        <v>148</v>
      </c>
      <c r="E7" s="72"/>
      <c r="G7" s="83" t="s">
        <v>128</v>
      </c>
      <c r="H7" s="83"/>
      <c r="I7" s="83"/>
      <c r="J7" s="21">
        <f>(SUMIF($F$12:$U$12,"&lt;="&amp;$J$6,$F$17:$U$17)) / ($J$6)</f>
        <v>289244.2</v>
      </c>
      <c r="K7" s="20" t="s">
        <v>107</v>
      </c>
      <c r="L7" s="84" t="str">
        <f>"Razonable para chile en torno a 1M y 1,5M por año."</f>
        <v>Razonable para chile en torno a 1M y 1,5M por año.</v>
      </c>
      <c r="M7" s="84"/>
      <c r="N7" s="84"/>
      <c r="O7" s="84"/>
      <c r="P7" s="84"/>
    </row>
    <row r="8" spans="2:21" x14ac:dyDescent="0.3">
      <c r="B8" s="72" t="s">
        <v>55</v>
      </c>
      <c r="C8" s="72"/>
      <c r="D8" s="72" t="s">
        <v>148</v>
      </c>
      <c r="E8" s="72"/>
      <c r="G8" s="83" t="s">
        <v>129</v>
      </c>
      <c r="H8" s="83"/>
      <c r="I8" s="83"/>
      <c r="J8" s="21">
        <f>(SUMIF($F$12:$U$12,"&lt;="&amp;$J$6,$F$18:$U$18)) / ($J$6)</f>
        <v>373.7</v>
      </c>
      <c r="K8" s="20" t="s">
        <v>107</v>
      </c>
      <c r="L8" s="84" t="str">
        <f t="shared" ref="L8:L9" si="0">"Razonable para chile en torno a 1M y 1,5M por año."</f>
        <v>Razonable para chile en torno a 1M y 1,5M por año.</v>
      </c>
      <c r="M8" s="84"/>
      <c r="N8" s="84"/>
      <c r="O8" s="84"/>
      <c r="P8" s="84"/>
    </row>
    <row r="9" spans="2:21" x14ac:dyDescent="0.3">
      <c r="B9" s="72" t="s">
        <v>56</v>
      </c>
      <c r="C9" s="72"/>
      <c r="D9" s="72" t="s">
        <v>148</v>
      </c>
      <c r="E9" s="72"/>
      <c r="G9" s="83" t="s">
        <v>130</v>
      </c>
      <c r="H9" s="83"/>
      <c r="I9" s="83"/>
      <c r="J9" s="21">
        <f>(SUMIF($F$12:$U$12,"&lt;="&amp;$J$6,$F$19:$U$19)) / ($J$6)</f>
        <v>4375.3</v>
      </c>
      <c r="K9" s="20" t="s">
        <v>107</v>
      </c>
      <c r="L9" s="84" t="str">
        <f t="shared" si="0"/>
        <v>Razonable para chile en torno a 1M y 1,5M por año.</v>
      </c>
      <c r="M9" s="84"/>
      <c r="N9" s="84"/>
      <c r="O9" s="84"/>
      <c r="P9" s="84"/>
    </row>
    <row r="12" spans="2:21" x14ac:dyDescent="0.3">
      <c r="B12" s="44" t="s">
        <v>121</v>
      </c>
      <c r="C12" s="44"/>
      <c r="D12" s="44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45"/>
      <c r="C13" s="45"/>
      <c r="D13" s="45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2:21" x14ac:dyDescent="0.3">
      <c r="B15" s="64" t="s">
        <v>122</v>
      </c>
      <c r="C15" s="67" t="s">
        <v>138</v>
      </c>
      <c r="D15" s="68"/>
      <c r="E15" s="68"/>
      <c r="F15" s="4">
        <f>CB_SMI_Mixto_ALTA!B2/1000</f>
        <v>11914.418734073861</v>
      </c>
      <c r="G15" s="4">
        <f>CB_SMI_Mixto_ALTA!C2/1000</f>
        <v>12274.23417984289</v>
      </c>
      <c r="H15" s="4">
        <f>CB_SMI_Mixto_ALTA!D2/1000</f>
        <v>12644.916052074141</v>
      </c>
      <c r="I15" s="4">
        <f>CB_SMI_Mixto_ALTA!E2/1000</f>
        <v>13026.792516846779</v>
      </c>
      <c r="J15" s="4">
        <f>CB_SMI_Mixto_ALTA!F2/1000</f>
        <v>13420.20165085555</v>
      </c>
      <c r="K15" s="4">
        <f>CB_SMI_Mixto_ALTA!G2/1000</f>
        <v>13825.49174071139</v>
      </c>
      <c r="L15" s="4">
        <f>CB_SMI_Mixto_ALTA!H2/1000</f>
        <v>14243.02159128088</v>
      </c>
      <c r="M15" s="4">
        <f>CB_SMI_Mixto_ALTA!I2/1000</f>
        <v>14673.16084333756</v>
      </c>
      <c r="N15" s="4">
        <f>CB_SMI_Mixto_ALTA!J2/1000</f>
        <v>15116.290300806349</v>
      </c>
      <c r="O15" s="4">
        <f>CB_SMI_Mixto_ALTA!K2/1000</f>
        <v>15572.8022678907</v>
      </c>
      <c r="P15" s="4">
        <f>CB_SMI_Mixto_ALTA!L2/1000</f>
        <v>16043.100896381</v>
      </c>
      <c r="Q15" s="4">
        <f>CB_SMI_Mixto_ALTA!M2/1000</f>
        <v>16527.602543451711</v>
      </c>
      <c r="R15" s="4">
        <f>CB_SMI_Mixto_ALTA!N2/1000</f>
        <v>17026.736140263947</v>
      </c>
      <c r="S15" s="4">
        <f>CB_SMI_Mixto_ALTA!O2/1000</f>
        <v>17540.943571699921</v>
      </c>
      <c r="T15" s="4">
        <f>CB_SMI_Mixto_ALTA!P2/1000</f>
        <v>18070.680067565259</v>
      </c>
      <c r="U15" s="4">
        <f>CB_SMI_Mixto_ALTA!Q2/1000</f>
        <v>18616.414605605729</v>
      </c>
    </row>
    <row r="16" spans="2:21" x14ac:dyDescent="0.3">
      <c r="B16" s="65"/>
      <c r="C16" s="6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2:21" x14ac:dyDescent="0.3">
      <c r="B17" s="65"/>
      <c r="C17" s="46" t="s">
        <v>115</v>
      </c>
      <c r="D17" s="47"/>
      <c r="E17" s="47"/>
      <c r="F17" s="12">
        <f>CB_SMI_Mixto_ALTA!B3</f>
        <v>2524610</v>
      </c>
      <c r="G17" s="12">
        <f>CB_SMI_Mixto_ALTA!C3</f>
        <v>34572</v>
      </c>
      <c r="H17" s="12">
        <f>CB_SMI_Mixto_ALTA!D3</f>
        <v>35048</v>
      </c>
      <c r="I17" s="12">
        <f>CB_SMI_Mixto_ALTA!E3</f>
        <v>35523</v>
      </c>
      <c r="J17" s="12">
        <f>CB_SMI_Mixto_ALTA!F3</f>
        <v>36013</v>
      </c>
      <c r="K17" s="12">
        <f>CB_SMI_Mixto_ALTA!G3</f>
        <v>36511</v>
      </c>
      <c r="L17" s="12">
        <f>CB_SMI_Mixto_ALTA!H3</f>
        <v>37004</v>
      </c>
      <c r="M17" s="12">
        <f>CB_SMI_Mixto_ALTA!I3</f>
        <v>37514</v>
      </c>
      <c r="N17" s="12">
        <f>CB_SMI_Mixto_ALTA!J3</f>
        <v>38026</v>
      </c>
      <c r="O17" s="12">
        <f>CB_SMI_Mixto_ALTA!K3</f>
        <v>38547</v>
      </c>
      <c r="P17" s="12">
        <f>CB_SMI_Mixto_ALTA!L3</f>
        <v>39074</v>
      </c>
      <c r="Q17" s="12">
        <f>CB_SMI_Mixto_ALTA!M3</f>
        <v>39615</v>
      </c>
      <c r="R17" s="12">
        <f>CB_SMI_Mixto_ALTA!N3</f>
        <v>40155</v>
      </c>
      <c r="S17" s="12">
        <f>CB_SMI_Mixto_ALTA!O3</f>
        <v>40705</v>
      </c>
      <c r="T17" s="12">
        <f>CB_SMI_Mixto_ALTA!P3</f>
        <v>41265</v>
      </c>
      <c r="U17" s="12">
        <f>CB_SMI_Mixto_ALTA!Q3</f>
        <v>41828</v>
      </c>
    </row>
    <row r="18" spans="2:21" x14ac:dyDescent="0.3">
      <c r="B18" s="65"/>
      <c r="C18" s="46" t="s">
        <v>116</v>
      </c>
      <c r="D18" s="47"/>
      <c r="E18" s="47"/>
      <c r="F18" s="12">
        <f>CB_SMI_Mixto_ALTA!B4</f>
        <v>3735</v>
      </c>
      <c r="G18" s="12">
        <f>CB_SMI_Mixto_ALTA!C4</f>
        <v>0</v>
      </c>
      <c r="H18" s="12">
        <f>CB_SMI_Mixto_ALTA!D4</f>
        <v>0</v>
      </c>
      <c r="I18" s="12">
        <f>CB_SMI_Mixto_ALTA!E4</f>
        <v>0</v>
      </c>
      <c r="J18" s="12">
        <f>CB_SMI_Mixto_ALTA!F4</f>
        <v>0</v>
      </c>
      <c r="K18" s="12">
        <f>CB_SMI_Mixto_ALTA!G4</f>
        <v>0</v>
      </c>
      <c r="L18" s="12">
        <f>CB_SMI_Mixto_ALTA!H4</f>
        <v>0</v>
      </c>
      <c r="M18" s="12">
        <f>CB_SMI_Mixto_ALTA!I4</f>
        <v>0</v>
      </c>
      <c r="N18" s="12">
        <f>CB_SMI_Mixto_ALTA!J4</f>
        <v>0</v>
      </c>
      <c r="O18" s="12">
        <f>CB_SMI_Mixto_ALTA!K4</f>
        <v>1</v>
      </c>
      <c r="P18" s="12">
        <f>CB_SMI_Mixto_ALTA!L4</f>
        <v>1</v>
      </c>
      <c r="Q18" s="12">
        <f>CB_SMI_Mixto_ALTA!M4</f>
        <v>1</v>
      </c>
      <c r="R18" s="12">
        <f>CB_SMI_Mixto_ALTA!N4</f>
        <v>1</v>
      </c>
      <c r="S18" s="12">
        <f>CB_SMI_Mixto_ALTA!O4</f>
        <v>1</v>
      </c>
      <c r="T18" s="12">
        <f>CB_SMI_Mixto_ALTA!P4</f>
        <v>1</v>
      </c>
      <c r="U18" s="12">
        <f>CB_SMI_Mixto_ALTA!Q4</f>
        <v>1</v>
      </c>
    </row>
    <row r="19" spans="2:21" x14ac:dyDescent="0.3">
      <c r="B19" s="66"/>
      <c r="C19" s="46" t="s">
        <v>117</v>
      </c>
      <c r="D19" s="47"/>
      <c r="E19" s="47"/>
      <c r="F19" s="13">
        <f>CB_SMI_Mixto_ALTA!B5</f>
        <v>42267</v>
      </c>
      <c r="G19" s="13">
        <f>CB_SMI_Mixto_ALTA!C5</f>
        <v>147</v>
      </c>
      <c r="H19" s="13">
        <f>CB_SMI_Mixto_ALTA!D5</f>
        <v>147</v>
      </c>
      <c r="I19" s="13">
        <f>CB_SMI_Mixto_ALTA!E5</f>
        <v>148</v>
      </c>
      <c r="J19" s="13">
        <f>CB_SMI_Mixto_ALTA!F5</f>
        <v>148</v>
      </c>
      <c r="K19" s="13">
        <f>CB_SMI_Mixto_ALTA!G5</f>
        <v>148</v>
      </c>
      <c r="L19" s="13">
        <f>CB_SMI_Mixto_ALTA!H5</f>
        <v>148</v>
      </c>
      <c r="M19" s="13">
        <f>CB_SMI_Mixto_ALTA!I5</f>
        <v>150</v>
      </c>
      <c r="N19" s="13">
        <f>CB_SMI_Mixto_ALTA!J5</f>
        <v>150</v>
      </c>
      <c r="O19" s="13">
        <f>CB_SMI_Mixto_ALTA!K5</f>
        <v>150</v>
      </c>
      <c r="P19" s="13">
        <f>CB_SMI_Mixto_ALTA!L5</f>
        <v>150</v>
      </c>
      <c r="Q19" s="13">
        <f>CB_SMI_Mixto_ALTA!M5</f>
        <v>150</v>
      </c>
      <c r="R19" s="13">
        <f>CB_SMI_Mixto_ALTA!N5</f>
        <v>152</v>
      </c>
      <c r="S19" s="13">
        <f>CB_SMI_Mixto_ALTA!O5</f>
        <v>152</v>
      </c>
      <c r="T19" s="13">
        <f>CB_SMI_Mixto_ALTA!P5</f>
        <v>153</v>
      </c>
      <c r="U19" s="13">
        <f>CB_SMI_Mixto_ALTA!Q5</f>
        <v>156</v>
      </c>
    </row>
    <row r="20" spans="2:21" x14ac:dyDescent="0.3">
      <c r="B20" s="1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x14ac:dyDescent="0.3">
      <c r="B21" s="75" t="s">
        <v>105</v>
      </c>
      <c r="C21" s="50" t="s">
        <v>125</v>
      </c>
      <c r="D21" s="51"/>
      <c r="E21" s="51"/>
      <c r="F21" s="9">
        <v>0</v>
      </c>
      <c r="G21" s="11">
        <f>IF(G$12&lt;=$J$6,$J7,G17)</f>
        <v>289244.2</v>
      </c>
      <c r="H21" s="11">
        <f t="shared" ref="H21:U23" si="1">IF(H$12&lt;=$J$6,$J7,H17)</f>
        <v>289244.2</v>
      </c>
      <c r="I21" s="11">
        <f t="shared" si="1"/>
        <v>289244.2</v>
      </c>
      <c r="J21" s="11">
        <f t="shared" si="1"/>
        <v>289244.2</v>
      </c>
      <c r="K21" s="11">
        <f t="shared" si="1"/>
        <v>289244.2</v>
      </c>
      <c r="L21" s="11">
        <f t="shared" si="1"/>
        <v>289244.2</v>
      </c>
      <c r="M21" s="11">
        <f t="shared" si="1"/>
        <v>289244.2</v>
      </c>
      <c r="N21" s="11">
        <f t="shared" si="1"/>
        <v>289244.2</v>
      </c>
      <c r="O21" s="11">
        <f t="shared" si="1"/>
        <v>289244.2</v>
      </c>
      <c r="P21" s="11">
        <f t="shared" si="1"/>
        <v>289244.2</v>
      </c>
      <c r="Q21" s="11">
        <f t="shared" si="1"/>
        <v>39615</v>
      </c>
      <c r="R21" s="11">
        <f t="shared" si="1"/>
        <v>40155</v>
      </c>
      <c r="S21" s="11">
        <f t="shared" si="1"/>
        <v>40705</v>
      </c>
      <c r="T21" s="11">
        <f t="shared" si="1"/>
        <v>41265</v>
      </c>
      <c r="U21" s="11">
        <f t="shared" si="1"/>
        <v>41828</v>
      </c>
    </row>
    <row r="22" spans="2:21" x14ac:dyDescent="0.3">
      <c r="B22" s="76"/>
      <c r="C22" s="50" t="s">
        <v>126</v>
      </c>
      <c r="D22" s="51"/>
      <c r="E22" s="51"/>
      <c r="F22" s="9">
        <v>0</v>
      </c>
      <c r="G22" s="11">
        <f>IF(G$12&lt;=$J$6,$J8,G18)</f>
        <v>373.7</v>
      </c>
      <c r="H22" s="11">
        <f t="shared" si="1"/>
        <v>373.7</v>
      </c>
      <c r="I22" s="11">
        <f t="shared" si="1"/>
        <v>373.7</v>
      </c>
      <c r="J22" s="11">
        <f t="shared" si="1"/>
        <v>373.7</v>
      </c>
      <c r="K22" s="11">
        <f t="shared" si="1"/>
        <v>373.7</v>
      </c>
      <c r="L22" s="11">
        <f t="shared" si="1"/>
        <v>373.7</v>
      </c>
      <c r="M22" s="11">
        <f t="shared" si="1"/>
        <v>373.7</v>
      </c>
      <c r="N22" s="11">
        <f>IF(N$12&lt;=$J$6,$J8,N18)</f>
        <v>373.7</v>
      </c>
      <c r="O22" s="11">
        <f t="shared" si="1"/>
        <v>373.7</v>
      </c>
      <c r="P22" s="11">
        <f t="shared" si="1"/>
        <v>373.7</v>
      </c>
      <c r="Q22" s="11">
        <f t="shared" si="1"/>
        <v>1</v>
      </c>
      <c r="R22" s="11">
        <f t="shared" si="1"/>
        <v>1</v>
      </c>
      <c r="S22" s="11">
        <f t="shared" si="1"/>
        <v>1</v>
      </c>
      <c r="T22" s="11">
        <f t="shared" si="1"/>
        <v>1</v>
      </c>
      <c r="U22" s="11">
        <f t="shared" si="1"/>
        <v>1</v>
      </c>
    </row>
    <row r="23" spans="2:21" x14ac:dyDescent="0.3">
      <c r="B23" s="76"/>
      <c r="C23" s="50" t="s">
        <v>127</v>
      </c>
      <c r="D23" s="51"/>
      <c r="E23" s="51"/>
      <c r="F23" s="9">
        <v>0</v>
      </c>
      <c r="G23" s="11">
        <f>IF(G$12&lt;=$J$6,$J9,G19)</f>
        <v>4375.3</v>
      </c>
      <c r="H23" s="11">
        <f t="shared" si="1"/>
        <v>4375.3</v>
      </c>
      <c r="I23" s="11">
        <f t="shared" si="1"/>
        <v>4375.3</v>
      </c>
      <c r="J23" s="11">
        <f t="shared" si="1"/>
        <v>4375.3</v>
      </c>
      <c r="K23" s="11">
        <f t="shared" si="1"/>
        <v>4375.3</v>
      </c>
      <c r="L23" s="11">
        <f t="shared" si="1"/>
        <v>4375.3</v>
      </c>
      <c r="M23" s="11">
        <f t="shared" si="1"/>
        <v>4375.3</v>
      </c>
      <c r="N23" s="11">
        <f t="shared" si="1"/>
        <v>4375.3</v>
      </c>
      <c r="O23" s="11">
        <f t="shared" si="1"/>
        <v>4375.3</v>
      </c>
      <c r="P23" s="11">
        <f t="shared" si="1"/>
        <v>4375.3</v>
      </c>
      <c r="Q23" s="11">
        <f t="shared" si="1"/>
        <v>150</v>
      </c>
      <c r="R23" s="11">
        <f t="shared" si="1"/>
        <v>152</v>
      </c>
      <c r="S23" s="11">
        <f t="shared" si="1"/>
        <v>152</v>
      </c>
      <c r="T23" s="11">
        <f t="shared" si="1"/>
        <v>153</v>
      </c>
      <c r="U23" s="11">
        <f t="shared" si="1"/>
        <v>156</v>
      </c>
    </row>
    <row r="24" spans="2:21" x14ac:dyDescent="0.3">
      <c r="B24" s="76"/>
      <c r="C24" s="69" t="s">
        <v>114</v>
      </c>
      <c r="D24" s="49"/>
      <c r="E24" s="49"/>
      <c r="F24" s="4">
        <f>SUM(F17:F19)</f>
        <v>2570612</v>
      </c>
      <c r="G24" s="7">
        <f>SUM(F24,G17:G19)-SUM(G21:G23)</f>
        <v>2311337.7999999998</v>
      </c>
      <c r="H24" s="7">
        <f t="shared" ref="H24:U24" si="2">SUM(G24,H17:H19)-SUM(H21:H23)</f>
        <v>2052539.5999999999</v>
      </c>
      <c r="I24" s="7">
        <f t="shared" si="2"/>
        <v>1794217.4</v>
      </c>
      <c r="J24" s="7">
        <f t="shared" si="2"/>
        <v>1536385.2</v>
      </c>
      <c r="K24" s="7">
        <f t="shared" si="2"/>
        <v>1279051</v>
      </c>
      <c r="L24" s="7">
        <f t="shared" si="2"/>
        <v>1022209.8</v>
      </c>
      <c r="M24" s="7">
        <f t="shared" si="2"/>
        <v>765880.60000000009</v>
      </c>
      <c r="N24" s="7">
        <f t="shared" si="2"/>
        <v>510063.40000000008</v>
      </c>
      <c r="O24" s="7">
        <f t="shared" si="2"/>
        <v>254768.20000000013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1" x14ac:dyDescent="0.3">
      <c r="B25" s="77"/>
      <c r="C25" s="48" t="s">
        <v>108</v>
      </c>
      <c r="D25" s="48"/>
      <c r="E25" s="48"/>
      <c r="F25" s="17">
        <v>0</v>
      </c>
      <c r="G25" s="17">
        <f>IF(G$12&lt;=$J$6,SUM($F$21:G23)/SUM($F$17:G19),1)</f>
        <v>0.11284293627182113</v>
      </c>
      <c r="H25" s="17">
        <f>IF(H$12&lt;=$J$6,SUM($F$21:H23)/SUM($F$17:H19),1)</f>
        <v>0.22267775435651838</v>
      </c>
      <c r="I25" s="17">
        <f>IF(I$12&lt;=$J$6,SUM($F$21:I23)/SUM($F$17:I19),1)</f>
        <v>0.32956452757401644</v>
      </c>
      <c r="J25" s="17">
        <f>IF(J$12&lt;=$J$6,SUM($F$21:J23)/SUM($F$17:J19),1)</f>
        <v>0.43356105646820958</v>
      </c>
      <c r="K25" s="17">
        <f>IF(K$12&lt;=$J$6,SUM($F$21:K23)/SUM($F$17:K19),1)</f>
        <v>0.53472423051585349</v>
      </c>
      <c r="L25" s="17">
        <f>IF(L$12&lt;=$J$6,SUM($F$21:L23)/SUM($F$17:L19),1)</f>
        <v>0.63311277959090062</v>
      </c>
      <c r="M25" s="17">
        <f>IF(M$12&lt;=$J$6,SUM($F$21:M23)/SUM($F$17:M19),1)</f>
        <v>0.72877978265711885</v>
      </c>
      <c r="N25" s="17">
        <f>IF(N$12&lt;=$J$6,SUM($F$21:N23)/SUM($F$17:N19),1)</f>
        <v>0.82178134310548989</v>
      </c>
      <c r="O25" s="17">
        <f>IF(O$12&lt;=$J$6,SUM($F$21:O23)/SUM($F$17:O19),1)</f>
        <v>0.91217030882471073</v>
      </c>
      <c r="P25" s="17">
        <f>IF(P$12&lt;=$J$6,SUM($F$21:P23)/SUM($F$17:P19),1)</f>
        <v>1.0000000000000002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1" ht="28.2" customHeight="1" x14ac:dyDescent="0.3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2:21" x14ac:dyDescent="0.3">
      <c r="B27" s="55" t="s">
        <v>124</v>
      </c>
      <c r="C27" s="56"/>
      <c r="D27" s="57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1" x14ac:dyDescent="0.3">
      <c r="B28" s="58"/>
      <c r="C28" s="59"/>
      <c r="D28" s="60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</row>
    <row r="29" spans="2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3">
      <c r="B30" s="61" t="s">
        <v>118</v>
      </c>
      <c r="C30" s="52" t="s">
        <v>57</v>
      </c>
      <c r="D30" s="53"/>
      <c r="E30" s="53"/>
      <c r="F30" s="8">
        <v>0</v>
      </c>
      <c r="G30" s="8">
        <f>((-CB_SMI_Mixto_ALTA!C7)*G21)/1000000</f>
        <v>-37.430513433599998</v>
      </c>
      <c r="H30" s="8">
        <f>((-CB_SMI_Mixto_ALTA!D7)*H21)/1000000</f>
        <v>-37.430513433599998</v>
      </c>
      <c r="I30" s="8">
        <f>((-CB_SMI_Mixto_ALTA!E7)*I21)/1000000</f>
        <v>-37.430513433599998</v>
      </c>
      <c r="J30" s="8">
        <f>((-CB_SMI_Mixto_ALTA!F7)*J21)/1000000</f>
        <v>-37.430513433599998</v>
      </c>
      <c r="K30" s="8">
        <f>((-CB_SMI_Mixto_ALTA!G7)*K21)/1000000</f>
        <v>-37.430513433599998</v>
      </c>
      <c r="L30" s="8">
        <f>((-CB_SMI_Mixto_ALTA!H7)*L21)/1000000</f>
        <v>-37.430513433599998</v>
      </c>
      <c r="M30" s="8">
        <f>((-CB_SMI_Mixto_ALTA!I7)*M21)/1000000</f>
        <v>-37.430513433599998</v>
      </c>
      <c r="N30" s="8">
        <f>((-CB_SMI_Mixto_ALTA!J7)*N21)/1000000</f>
        <v>-37.430513433599998</v>
      </c>
      <c r="O30" s="8">
        <f>((-CB_SMI_Mixto_ALTA!K7)*O21)/1000000</f>
        <v>-37.430513433599998</v>
      </c>
      <c r="P30" s="8">
        <f>((-CB_SMI_Mixto_ALTA!L7)*P21)/1000000</f>
        <v>-37.430513433599998</v>
      </c>
      <c r="Q30" s="8">
        <f>((-CB_SMI_Mixto_ALTA!M7)*Q21)/1000000</f>
        <v>-5.1264979200000003</v>
      </c>
      <c r="R30" s="8">
        <f>((-CB_SMI_Mixto_ALTA!N7)*R21)/1000000</f>
        <v>-5.1963782399999996</v>
      </c>
      <c r="S30" s="8">
        <f>((-CB_SMI_Mixto_ALTA!O7)*S21)/1000000</f>
        <v>-5.2675526399999999</v>
      </c>
      <c r="T30" s="8">
        <f>((-CB_SMI_Mixto_ALTA!P7)*T21)/1000000</f>
        <v>-5.3400211199999994</v>
      </c>
      <c r="U30" s="8">
        <f>((-CB_SMI_Mixto_ALTA!Q7)*U21)/1000000</f>
        <v>-5.4128778239999988</v>
      </c>
    </row>
    <row r="31" spans="2:21" x14ac:dyDescent="0.3">
      <c r="B31" s="62"/>
      <c r="C31" s="52" t="s">
        <v>58</v>
      </c>
      <c r="D31" s="53"/>
      <c r="E31" s="53"/>
      <c r="F31" s="8">
        <v>0</v>
      </c>
      <c r="G31" s="8">
        <f>((-CB_SMI_Mixto_ALTA!C8)*G22)/1000000</f>
        <v>0</v>
      </c>
      <c r="H31" s="8">
        <f>((-CB_SMI_Mixto_ALTA!D8)*H22)/1000000</f>
        <v>0</v>
      </c>
      <c r="I31" s="8">
        <f>((-CB_SMI_Mixto_ALTA!E8)*I22)/1000000</f>
        <v>0</v>
      </c>
      <c r="J31" s="8">
        <f>((-CB_SMI_Mixto_ALTA!F8)*J22)/1000000</f>
        <v>0</v>
      </c>
      <c r="K31" s="8">
        <f>((-CB_SMI_Mixto_ALTA!G8)*K22)/1000000</f>
        <v>0</v>
      </c>
      <c r="L31" s="8">
        <f>((-CB_SMI_Mixto_ALTA!H8)*L22)/1000000</f>
        <v>0</v>
      </c>
      <c r="M31" s="8">
        <f>((-CB_SMI_Mixto_ALTA!I8)*M22)/1000000</f>
        <v>0</v>
      </c>
      <c r="N31" s="8">
        <f>((-CB_SMI_Mixto_ALTA!J8)*N22)/1000000</f>
        <v>0</v>
      </c>
      <c r="O31" s="8">
        <f>((-CB_SMI_Mixto_ALTA!K8)*O22)/1000000</f>
        <v>-0.10716221199999999</v>
      </c>
      <c r="P31" s="8">
        <f>((-CB_SMI_Mixto_ALTA!L8)*P22)/1000000</f>
        <v>-0.10716221199999999</v>
      </c>
      <c r="Q31" s="8">
        <f>((-CB_SMI_Mixto_ALTA!M8)*Q22)/1000000</f>
        <v>-2.8676E-4</v>
      </c>
      <c r="R31" s="8">
        <f>((-CB_SMI_Mixto_ALTA!N8)*R22)/1000000</f>
        <v>-2.8676E-4</v>
      </c>
      <c r="S31" s="8">
        <f>((-CB_SMI_Mixto_ALTA!O8)*S22)/1000000</f>
        <v>-2.8676E-4</v>
      </c>
      <c r="T31" s="8">
        <f>((-CB_SMI_Mixto_ALTA!P8)*T22)/1000000</f>
        <v>-2.8676E-4</v>
      </c>
      <c r="U31" s="8">
        <f>((-CB_SMI_Mixto_ALTA!Q8)*U22)/1000000</f>
        <v>-2.8676E-4</v>
      </c>
    </row>
    <row r="32" spans="2:21" x14ac:dyDescent="0.3">
      <c r="B32" s="62"/>
      <c r="C32" s="52" t="s">
        <v>59</v>
      </c>
      <c r="D32" s="53"/>
      <c r="E32" s="53"/>
      <c r="F32" s="8">
        <v>0</v>
      </c>
      <c r="G32" s="8">
        <f>((-CB_SMI_Mixto_ALTA!C9)*G23)/1000000</f>
        <v>-3.1396802776000001</v>
      </c>
      <c r="H32" s="8">
        <f>((-CB_SMI_Mixto_ALTA!D9)*H23)/1000000</f>
        <v>-3.1396802776000001</v>
      </c>
      <c r="I32" s="8">
        <f>((-CB_SMI_Mixto_ALTA!E9)*I23)/1000000</f>
        <v>-3.1396802776000006</v>
      </c>
      <c r="J32" s="8">
        <f>((-CB_SMI_Mixto_ALTA!F9)*J23)/1000000</f>
        <v>-3.1396802776000006</v>
      </c>
      <c r="K32" s="8">
        <f>((-CB_SMI_Mixto_ALTA!G9)*K23)/1000000</f>
        <v>-3.1396802776000006</v>
      </c>
      <c r="L32" s="8">
        <f>((-CB_SMI_Mixto_ALTA!H9)*L23)/1000000</f>
        <v>-3.1396802776000006</v>
      </c>
      <c r="M32" s="8">
        <f>((-CB_SMI_Mixto_ALTA!I9)*M23)/1000000</f>
        <v>-3.1396802776000006</v>
      </c>
      <c r="N32" s="8">
        <f>((-CB_SMI_Mixto_ALTA!J9)*N23)/1000000</f>
        <v>-3.1396802776000006</v>
      </c>
      <c r="O32" s="8">
        <f>((-CB_SMI_Mixto_ALTA!K9)*O23)/1000000</f>
        <v>-3.1396802776000006</v>
      </c>
      <c r="P32" s="8">
        <f>((-CB_SMI_Mixto_ALTA!L9)*P23)/1000000</f>
        <v>-3.1396802776000006</v>
      </c>
      <c r="Q32" s="8">
        <f>((-CB_SMI_Mixto_ALTA!M9)*Q23)/1000000</f>
        <v>-0.10763880000000002</v>
      </c>
      <c r="R32" s="8">
        <f>((-CB_SMI_Mixto_ALTA!N9)*R23)/1000000</f>
        <v>-0.10907398400000001</v>
      </c>
      <c r="S32" s="8">
        <f>((-CB_SMI_Mixto_ALTA!O9)*S23)/1000000</f>
        <v>-0.10907398400000001</v>
      </c>
      <c r="T32" s="8">
        <f>((-CB_SMI_Mixto_ALTA!P9)*T23)/1000000</f>
        <v>-0.109791576</v>
      </c>
      <c r="U32" s="8">
        <f>((-CB_SMI_Mixto_ALTA!Q9)*U23)/1000000</f>
        <v>-0.11194435200000001</v>
      </c>
    </row>
    <row r="33" spans="2:22" x14ac:dyDescent="0.3">
      <c r="B33" s="62"/>
      <c r="C33" s="52" t="s">
        <v>60</v>
      </c>
      <c r="D33" s="53"/>
      <c r="E33" s="53"/>
      <c r="F33" s="8">
        <f>((-CB_SMI_Mixto_ALTA!B10)*CB_SMI_Mixto_ALTA!B6)/1000000</f>
        <v>-20.50622568</v>
      </c>
      <c r="G33" s="8">
        <f>((-CB_SMI_Mixto_ALTA!C10)*CB_SMI_Mixto_ALTA!C6)/1000000</f>
        <v>0</v>
      </c>
      <c r="H33" s="8">
        <f>((-CB_SMI_Mixto_ALTA!D10)*CB_SMI_Mixto_ALTA!D6)/1000000</f>
        <v>0</v>
      </c>
      <c r="I33" s="8">
        <f>((-CB_SMI_Mixto_ALTA!E10)*CB_SMI_Mixto_ALTA!E6)/1000000</f>
        <v>0</v>
      </c>
      <c r="J33" s="8">
        <f>((-CB_SMI_Mixto_ALTA!F10)*CB_SMI_Mixto_ALTA!F6)/1000000</f>
        <v>0</v>
      </c>
      <c r="K33" s="8">
        <f>((-CB_SMI_Mixto_ALTA!G10)*CB_SMI_Mixto_ALTA!G6)/1000000</f>
        <v>0</v>
      </c>
      <c r="L33" s="8">
        <f>((-CB_SMI_Mixto_ALTA!H10)*CB_SMI_Mixto_ALTA!H6)/1000000</f>
        <v>0</v>
      </c>
      <c r="M33" s="8">
        <f>((-CB_SMI_Mixto_ALTA!I10)*CB_SMI_Mixto_ALTA!I6)/1000000</f>
        <v>0</v>
      </c>
      <c r="N33" s="8">
        <f>((-CB_SMI_Mixto_ALTA!J10)*CB_SMI_Mixto_ALTA!J6)/1000000</f>
        <v>0</v>
      </c>
      <c r="O33" s="8">
        <f>((-CB_SMI_Mixto_ALTA!K10)*CB_SMI_Mixto_ALTA!K6)/1000000</f>
        <v>0</v>
      </c>
      <c r="P33" s="8">
        <f>((-CB_SMI_Mixto_ALTA!L10)*CB_SMI_Mixto_ALTA!L6)/1000000</f>
        <v>0</v>
      </c>
      <c r="Q33" s="8">
        <f>((-CB_SMI_Mixto_ALTA!M10)*CB_SMI_Mixto_ALTA!M6)/1000000</f>
        <v>0</v>
      </c>
      <c r="R33" s="8">
        <f>((-CB_SMI_Mixto_ALTA!N10)*CB_SMI_Mixto_ALTA!N6)/1000000</f>
        <v>0</v>
      </c>
      <c r="S33" s="8">
        <f>((-CB_SMI_Mixto_ALTA!O10)*CB_SMI_Mixto_ALTA!O6)/1000000</f>
        <v>0</v>
      </c>
      <c r="T33" s="8">
        <f>((-CB_SMI_Mixto_ALTA!P10)*CB_SMI_Mixto_ALTA!P6)/1000000</f>
        <v>0</v>
      </c>
      <c r="U33" s="8">
        <f>((-CB_SMI_Mixto_ALTA!Q10)*CB_SMI_Mixto_ALTA!Q6)/1000000</f>
        <v>0</v>
      </c>
    </row>
    <row r="34" spans="2:22" x14ac:dyDescent="0.3">
      <c r="B34" s="62"/>
      <c r="C34" s="52" t="s">
        <v>145</v>
      </c>
      <c r="D34" s="53"/>
      <c r="E34" s="53"/>
      <c r="F34" s="8">
        <f>(-CB_SMI_Mixto_ALTA!B11)/1000000</f>
        <v>-47.173300811999994</v>
      </c>
      <c r="G34" s="8">
        <f>(-CB_SMI_Mixto_ALTA!C11)/1000000</f>
        <v>-0.63712836899999992</v>
      </c>
      <c r="H34" s="8">
        <f>(-CB_SMI_Mixto_ALTA!D11)/1000000</f>
        <v>-0.64586344500000004</v>
      </c>
      <c r="I34" s="8">
        <f>(-CB_SMI_Mixto_ALTA!E11)/1000000</f>
        <v>-0.65459852099999993</v>
      </c>
      <c r="J34" s="8">
        <f>(-CB_SMI_Mixto_ALTA!F11)/1000000</f>
        <v>-0.66359051099999999</v>
      </c>
      <c r="K34" s="8">
        <f>(-CB_SMI_Mixto_ALTA!G11)/1000000</f>
        <v>-0.67272930900000005</v>
      </c>
      <c r="L34" s="8">
        <f>(-CB_SMI_Mixto_ALTA!H11)/1000000</f>
        <v>-0.68177635199999997</v>
      </c>
      <c r="M34" s="8">
        <f>(-CB_SMI_Mixto_ALTA!I11)/1000000</f>
        <v>-0.69117206399999997</v>
      </c>
      <c r="N34" s="8">
        <f>(-CB_SMI_Mixto_ALTA!J11)/1000000</f>
        <v>-0.70056777599999998</v>
      </c>
      <c r="O34" s="8">
        <f>(-CB_SMI_Mixto_ALTA!K11)/1000000</f>
        <v>-0.71014699800000003</v>
      </c>
      <c r="P34" s="8">
        <f>(-CB_SMI_Mixto_ALTA!L11)/1000000</f>
        <v>-0.719817975</v>
      </c>
      <c r="Q34" s="8">
        <f>(-CB_SMI_Mixto_ALTA!M11)/1000000</f>
        <v>-0.72974586599999991</v>
      </c>
      <c r="R34" s="8">
        <f>(-CB_SMI_Mixto_ALTA!N11)/1000000</f>
        <v>-0.73969210799999996</v>
      </c>
      <c r="S34" s="8">
        <f>(-CB_SMI_Mixto_ALTA!O11)/1000000</f>
        <v>-0.7497851579999999</v>
      </c>
      <c r="T34" s="8">
        <f>(-CB_SMI_Mixto_ALTA!P11)/1000000</f>
        <v>-0.76008006899999991</v>
      </c>
      <c r="U34" s="8">
        <f>(-CB_SMI_Mixto_ALTA!Q11)/1000000</f>
        <v>-0.77046673499999985</v>
      </c>
    </row>
    <row r="35" spans="2:22" x14ac:dyDescent="0.3">
      <c r="B35" s="62"/>
      <c r="C35" s="52" t="s">
        <v>143</v>
      </c>
      <c r="D35" s="53"/>
      <c r="E35" s="53"/>
      <c r="F35" s="8">
        <f>(-CB_SMI_Mixto_ALTA!B12)/1000000</f>
        <v>-3.5447386526315792</v>
      </c>
      <c r="G35" s="8">
        <f>(-CB_SMI_Mixto_ALTA!C12)/1000000</f>
        <v>-4.7875673684210529E-2</v>
      </c>
      <c r="H35" s="8">
        <f>(-CB_SMI_Mixto_ALTA!D12)/1000000</f>
        <v>-4.8532052631578948E-2</v>
      </c>
      <c r="I35" s="8">
        <f>(-CB_SMI_Mixto_ALTA!E12)/1000000</f>
        <v>-4.9188431578947374E-2</v>
      </c>
      <c r="J35" s="8">
        <f>(-CB_SMI_Mixto_ALTA!F12)/1000000</f>
        <v>-4.9864115789473681E-2</v>
      </c>
      <c r="K35" s="8">
        <f>(-CB_SMI_Mixto_ALTA!G12)/1000000</f>
        <v>-5.0550831578947374E-2</v>
      </c>
      <c r="L35" s="8">
        <f>(-CB_SMI_Mixto_ALTA!H12)/1000000</f>
        <v>-5.123065263157895E-2</v>
      </c>
      <c r="M35" s="8">
        <f>(-CB_SMI_Mixto_ALTA!I12)/1000000</f>
        <v>-5.1936673684210531E-2</v>
      </c>
      <c r="N35" s="8">
        <f>(-CB_SMI_Mixto_ALTA!J12)/1000000</f>
        <v>-5.2642694736842112E-2</v>
      </c>
      <c r="O35" s="8">
        <f>(-CB_SMI_Mixto_ALTA!K12)/1000000</f>
        <v>-5.3362505263157889E-2</v>
      </c>
      <c r="P35" s="8">
        <f>(-CB_SMI_Mixto_ALTA!L12)/1000000</f>
        <v>-5.4089210526315802E-2</v>
      </c>
      <c r="Q35" s="8">
        <f>(-CB_SMI_Mixto_ALTA!M12)/1000000</f>
        <v>-5.4835221052631583E-2</v>
      </c>
      <c r="R35" s="8">
        <f>(-CB_SMI_Mixto_ALTA!N12)/1000000</f>
        <v>-5.5582610526315801E-2</v>
      </c>
      <c r="S35" s="8">
        <f>(-CB_SMI_Mixto_ALTA!O12)/1000000</f>
        <v>-5.6341031578947383E-2</v>
      </c>
      <c r="T35" s="8">
        <f>(-CB_SMI_Mixto_ALTA!P12)/1000000</f>
        <v>-5.7114621052631577E-2</v>
      </c>
      <c r="U35" s="8">
        <f>(-CB_SMI_Mixto_ALTA!Q12)/1000000</f>
        <v>-5.7895105263157901E-2</v>
      </c>
    </row>
    <row r="36" spans="2:22" x14ac:dyDescent="0.3">
      <c r="B36" s="63"/>
      <c r="C36" s="74" t="s">
        <v>123</v>
      </c>
      <c r="D36" s="74"/>
      <c r="E36" s="74"/>
      <c r="F36" s="15">
        <f>SUM(F30:F35)</f>
        <v>-71.224265144631573</v>
      </c>
      <c r="G36" s="15">
        <f t="shared" ref="G36:U36" si="3">SUM(G30:G35)</f>
        <v>-41.255197753884211</v>
      </c>
      <c r="H36" s="15">
        <f t="shared" si="3"/>
        <v>-41.26458920883158</v>
      </c>
      <c r="I36" s="15">
        <f t="shared" si="3"/>
        <v>-41.273980663778943</v>
      </c>
      <c r="J36" s="15">
        <f t="shared" si="3"/>
        <v>-41.283648337989476</v>
      </c>
      <c r="K36" s="15">
        <f t="shared" si="3"/>
        <v>-41.293473851778941</v>
      </c>
      <c r="L36" s="15">
        <f t="shared" si="3"/>
        <v>-41.303200715831579</v>
      </c>
      <c r="M36" s="15">
        <f t="shared" si="3"/>
        <v>-41.313302448884208</v>
      </c>
      <c r="N36" s="15">
        <f t="shared" si="3"/>
        <v>-41.323404181936837</v>
      </c>
      <c r="O36" s="15">
        <f t="shared" si="3"/>
        <v>-41.440865426463155</v>
      </c>
      <c r="P36" s="15">
        <f t="shared" si="3"/>
        <v>-41.451263108726309</v>
      </c>
      <c r="Q36" s="15">
        <f t="shared" si="3"/>
        <v>-6.0190045670526322</v>
      </c>
      <c r="R36" s="15">
        <f t="shared" si="3"/>
        <v>-6.1010137025263154</v>
      </c>
      <c r="S36" s="15">
        <f t="shared" si="3"/>
        <v>-6.183039573578947</v>
      </c>
      <c r="T36" s="15">
        <f t="shared" si="3"/>
        <v>-6.267294146052631</v>
      </c>
      <c r="U36" s="15">
        <f t="shared" si="3"/>
        <v>-6.3534707762631557</v>
      </c>
    </row>
    <row r="37" spans="2:22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2:22" x14ac:dyDescent="0.3">
      <c r="B38" s="61" t="s">
        <v>119</v>
      </c>
      <c r="C38" s="52" t="s">
        <v>100</v>
      </c>
      <c r="D38" s="53"/>
      <c r="E38" s="53"/>
      <c r="F38" s="8">
        <v>0</v>
      </c>
      <c r="G38" s="8">
        <f>(-CB_SMI_Mixto_ALTA!C13/1000000)*G$25</f>
        <v>0</v>
      </c>
      <c r="H38" s="8">
        <f>(-CB_SMI_Mixto_ALTA!D13/1000000)*H$25</f>
        <v>0</v>
      </c>
      <c r="I38" s="8">
        <f>(-CB_SMI_Mixto_ALTA!E13/1000000)*I$25</f>
        <v>0</v>
      </c>
      <c r="J38" s="8">
        <f>(-CB_SMI_Mixto_ALTA!F13/1000000)*J$25</f>
        <v>0</v>
      </c>
      <c r="K38" s="8">
        <f>(-CB_SMI_Mixto_ALTA!G13/1000000)*K$25</f>
        <v>0</v>
      </c>
      <c r="L38" s="8">
        <f>(-CB_SMI_Mixto_ALTA!H13/1000000)*L$25</f>
        <v>0</v>
      </c>
      <c r="M38" s="8">
        <f>(-CB_SMI_Mixto_ALTA!I13/1000000)*M$25</f>
        <v>0</v>
      </c>
      <c r="N38" s="8">
        <f>(-CB_SMI_Mixto_ALTA!J13/1000000)*N$25</f>
        <v>0</v>
      </c>
      <c r="O38" s="8">
        <f>(-CB_SMI_Mixto_ALTA!K13/1000000)*O$25</f>
        <v>0</v>
      </c>
      <c r="P38" s="8">
        <f>(-CB_SMI_Mixto_ALTA!L13/1000000)*P$25</f>
        <v>0</v>
      </c>
      <c r="Q38" s="8">
        <f>(-CB_SMI_Mixto_ALTA!M13/1000000)*Q$25</f>
        <v>0</v>
      </c>
      <c r="R38" s="8">
        <f>(-CB_SMI_Mixto_ALTA!N13/1000000)*R$25</f>
        <v>0</v>
      </c>
      <c r="S38" s="8">
        <f>(-CB_SMI_Mixto_ALTA!O13/1000000)*S$25</f>
        <v>0</v>
      </c>
      <c r="T38" s="8">
        <f>(-CB_SMI_Mixto_ALTA!P13/1000000)*T$25</f>
        <v>0</v>
      </c>
      <c r="U38" s="8">
        <f>(-CB_SMI_Mixto_ALTA!Q13/1000000)*U$25</f>
        <v>0</v>
      </c>
    </row>
    <row r="39" spans="2:22" x14ac:dyDescent="0.3">
      <c r="B39" s="62"/>
      <c r="C39" s="52" t="s">
        <v>101</v>
      </c>
      <c r="D39" s="53"/>
      <c r="E39" s="53"/>
      <c r="F39" s="8">
        <v>0</v>
      </c>
      <c r="G39" s="8">
        <f>(-CB_SMI_Mixto_ALTA!C14/1000000)*G$25</f>
        <v>-4.8218607207978777E-2</v>
      </c>
      <c r="H39" s="8">
        <f>(-CB_SMI_Mixto_ALTA!D14/1000000)*H$25</f>
        <v>-9.515182364102498E-2</v>
      </c>
      <c r="I39" s="8">
        <f>(-CB_SMI_Mixto_ALTA!E14/1000000)*I$25</f>
        <v>-0.14082531906556642</v>
      </c>
      <c r="J39" s="8">
        <f>(-CB_SMI_Mixto_ALTA!F14/1000000)*J$25</f>
        <v>-0.18526379207430663</v>
      </c>
      <c r="K39" s="8">
        <f>(-CB_SMI_Mixto_ALTA!G14/1000000)*K$25</f>
        <v>-0.22849155195433593</v>
      </c>
      <c r="L39" s="8">
        <f>(-CB_SMI_Mixto_ALTA!H14/1000000)*L$25</f>
        <v>-0.27053369440784936</v>
      </c>
      <c r="M39" s="8">
        <f>(-CB_SMI_Mixto_ALTA!I14/1000000)*M$25</f>
        <v>-0.31141290046202935</v>
      </c>
      <c r="N39" s="8">
        <f>(-CB_SMI_Mixto_ALTA!J14/1000000)*N$25</f>
        <v>-0.35115314350379906</v>
      </c>
      <c r="O39" s="8">
        <f>(-CB_SMI_Mixto_ALTA!K14/1000000)*O$25</f>
        <v>-0.3897770058202828</v>
      </c>
      <c r="P39" s="8">
        <f>(-CB_SMI_Mixto_ALTA!L14/1000000)*P$25</f>
        <v>-0.42889873248832572</v>
      </c>
      <c r="Q39" s="8">
        <f>(-CB_SMI_Mixto_ALTA!M14/1000000)*Q$25</f>
        <v>-0.42889873248832561</v>
      </c>
      <c r="R39" s="8">
        <f>(-CB_SMI_Mixto_ALTA!N14/1000000)*R$25</f>
        <v>-0.42889873248832561</v>
      </c>
      <c r="S39" s="8">
        <f>(-CB_SMI_Mixto_ALTA!O14/1000000)*S$25</f>
        <v>-0.43045797198132102</v>
      </c>
      <c r="T39" s="8">
        <f>(-CB_SMI_Mixto_ALTA!P14/1000000)*T$25</f>
        <v>-0.43045797198132102</v>
      </c>
      <c r="U39" s="8">
        <f>(-CB_SMI_Mixto_ALTA!Q14/1000000)*U$25</f>
        <v>-0.43045797198132102</v>
      </c>
    </row>
    <row r="40" spans="2:22" x14ac:dyDescent="0.3">
      <c r="B40" s="62"/>
      <c r="C40" s="52" t="s">
        <v>146</v>
      </c>
      <c r="D40" s="53"/>
      <c r="E40" s="53"/>
      <c r="F40" s="8">
        <v>0</v>
      </c>
      <c r="G40" s="8">
        <f>(-CB_SMI_Mixto_ALTA!C15/1000000)*G$25</f>
        <v>-2.3476308232154777</v>
      </c>
      <c r="H40" s="8">
        <f>(-CB_SMI_Mixto_ALTA!D15/1000000)*H$25</f>
        <v>-4.6952616464309544</v>
      </c>
      <c r="I40" s="8">
        <f>(-CB_SMI_Mixto_ALTA!E15/1000000)*I$25</f>
        <v>-7.042892469646433</v>
      </c>
      <c r="J40" s="8">
        <f>(-CB_SMI_Mixto_ALTA!F15/1000000)*J$25</f>
        <v>-9.3905232928619107</v>
      </c>
      <c r="K40" s="8">
        <f>(-CB_SMI_Mixto_ALTA!G15/1000000)*K$25</f>
        <v>-11.738154116077389</v>
      </c>
      <c r="L40" s="8">
        <f>(-CB_SMI_Mixto_ALTA!H15/1000000)*L$25</f>
        <v>-14.085784939292864</v>
      </c>
      <c r="M40" s="8">
        <f>(-CB_SMI_Mixto_ALTA!I15/1000000)*M$25</f>
        <v>-16.433415762508343</v>
      </c>
      <c r="N40" s="8">
        <f>(-CB_SMI_Mixto_ALTA!J15/1000000)*N$25</f>
        <v>-18.781046585723818</v>
      </c>
      <c r="O40" s="8">
        <f>(-CB_SMI_Mixto_ALTA!K15/1000000)*O$25</f>
        <v>-21.1286774089393</v>
      </c>
      <c r="P40" s="8">
        <f>(-CB_SMI_Mixto_ALTA!L15/1000000)*P$25</f>
        <v>-23.476308232154775</v>
      </c>
      <c r="Q40" s="8">
        <f>(-CB_SMI_Mixto_ALTA!M15/1000000)*Q$25</f>
        <v>-23.793852608405601</v>
      </c>
      <c r="R40" s="8">
        <f>(-CB_SMI_Mixto_ALTA!N15/1000000)*R$25</f>
        <v>-24.11572503002002</v>
      </c>
      <c r="S40" s="8">
        <f>(-CB_SMI_Mixto_ALTA!O15/1000000)*S$25</f>
        <v>-24.441989379586399</v>
      </c>
      <c r="T40" s="8">
        <f>(-CB_SMI_Mixto_ALTA!P15/1000000)*T$25</f>
        <v>-24.772733495663779</v>
      </c>
      <c r="U40" s="8">
        <f>(-CB_SMI_Mixto_ALTA!Q15/1000000)*U$25</f>
        <v>-25.107997304869919</v>
      </c>
    </row>
    <row r="41" spans="2:22" x14ac:dyDescent="0.3">
      <c r="B41" s="62"/>
      <c r="C41" s="52" t="s">
        <v>144</v>
      </c>
      <c r="D41" s="53"/>
      <c r="E41" s="53"/>
      <c r="F41" s="8">
        <v>0</v>
      </c>
      <c r="G41" s="8">
        <f>(-CB_SMI_Mixto_ALTA!C16/1000000)*G$25</f>
        <v>-0.3331948722210526</v>
      </c>
      <c r="H41" s="8">
        <f>(-CB_SMI_Mixto_ALTA!D16/1000000)*H$25</f>
        <v>-0.66638974444210519</v>
      </c>
      <c r="I41" s="8">
        <f>(-CB_SMI_Mixto_ALTA!E16/1000000)*I$25</f>
        <v>-0.99958461666315779</v>
      </c>
      <c r="J41" s="8">
        <f>(-CB_SMI_Mixto_ALTA!F16/1000000)*J$25</f>
        <v>-1.3327794888842102</v>
      </c>
      <c r="K41" s="8">
        <f>(-CB_SMI_Mixto_ALTA!G16/1000000)*K$25</f>
        <v>-1.6659743611052635</v>
      </c>
      <c r="L41" s="8">
        <f>(-CB_SMI_Mixto_ALTA!H16/1000000)*L$25</f>
        <v>-1.9991692333263156</v>
      </c>
      <c r="M41" s="8">
        <f>(-CB_SMI_Mixto_ALTA!I16/1000000)*M$25</f>
        <v>-2.3323641055473683</v>
      </c>
      <c r="N41" s="8">
        <f>(-CB_SMI_Mixto_ALTA!J16/1000000)*N$25</f>
        <v>-2.6655589777684199</v>
      </c>
      <c r="O41" s="8">
        <f>(-CB_SMI_Mixto_ALTA!K16/1000000)*O$25</f>
        <v>-2.9987538499894737</v>
      </c>
      <c r="P41" s="8">
        <f>(-CB_SMI_Mixto_ALTA!L16/1000000)*P$25</f>
        <v>-3.3319487222105271</v>
      </c>
      <c r="Q41" s="8">
        <f>(-CB_SMI_Mixto_ALTA!M16/1000000)*Q$25</f>
        <v>-3.3770172043684208</v>
      </c>
      <c r="R41" s="8">
        <f>(-CB_SMI_Mixto_ALTA!N16/1000000)*R$25</f>
        <v>-3.4226999579473678</v>
      </c>
      <c r="S41" s="8">
        <f>(-CB_SMI_Mixto_ALTA!O16/1000000)*S$25</f>
        <v>-3.4690060496842103</v>
      </c>
      <c r="T41" s="8">
        <f>(-CB_SMI_Mixto_ALTA!P16/1000000)*T$25</f>
        <v>-3.5159479463421048</v>
      </c>
      <c r="U41" s="8">
        <f>(-CB_SMI_Mixto_ALTA!Q16/1000000)*U$25</f>
        <v>-3.5635313146315788</v>
      </c>
    </row>
    <row r="42" spans="2:22" x14ac:dyDescent="0.3">
      <c r="B42" s="62"/>
      <c r="C42" s="52" t="s">
        <v>61</v>
      </c>
      <c r="D42" s="53"/>
      <c r="E42" s="53"/>
      <c r="F42" s="8">
        <v>0</v>
      </c>
      <c r="G42" s="8">
        <f>(-CB_SMI_Mixto_ALTA!C17/1000000)*G$25</f>
        <v>-0.36513955440000012</v>
      </c>
      <c r="H42" s="8">
        <f>(-CB_SMI_Mixto_ALTA!D17/1000000)*H$25</f>
        <v>-0.73027910880000002</v>
      </c>
      <c r="I42" s="8">
        <f>(-CB_SMI_Mixto_ALTA!E17/1000000)*I$25</f>
        <v>-1.0954186632000005</v>
      </c>
      <c r="J42" s="8">
        <f>(-CB_SMI_Mixto_ALTA!F17/1000000)*J$25</f>
        <v>-1.4605582176000003</v>
      </c>
      <c r="K42" s="8">
        <f>(-CB_SMI_Mixto_ALTA!G17/1000000)*K$25</f>
        <v>-1.8256977720000005</v>
      </c>
      <c r="L42" s="8">
        <f>(-CB_SMI_Mixto_ALTA!H17/1000000)*L$25</f>
        <v>-2.1908373264000005</v>
      </c>
      <c r="M42" s="8">
        <f>(-CB_SMI_Mixto_ALTA!I17/1000000)*M$25</f>
        <v>-2.5559768808000007</v>
      </c>
      <c r="N42" s="8">
        <f>(-CB_SMI_Mixto_ALTA!J17/1000000)*N$25</f>
        <v>-2.9211164352000005</v>
      </c>
      <c r="O42" s="8">
        <f>(-CB_SMI_Mixto_ALTA!K17/1000000)*O$25</f>
        <v>-3.2862559896000012</v>
      </c>
      <c r="P42" s="8">
        <f>(-CB_SMI_Mixto_ALTA!L17/1000000)*P$25</f>
        <v>-3.6513955440000019</v>
      </c>
      <c r="Q42" s="8">
        <f>(-CB_SMI_Mixto_ALTA!M17/1000000)*Q$25</f>
        <v>-3.7007849160000013</v>
      </c>
      <c r="R42" s="8">
        <f>(-CB_SMI_Mixto_ALTA!N17/1000000)*R$25</f>
        <v>-3.7508474520000008</v>
      </c>
      <c r="S42" s="8">
        <f>(-CB_SMI_Mixto_ALTA!O17/1000000)*S$25</f>
        <v>-3.8015930880000002</v>
      </c>
      <c r="T42" s="8">
        <f>(-CB_SMI_Mixto_ALTA!P17/1000000)*T$25</f>
        <v>-3.8530354860000009</v>
      </c>
      <c r="U42" s="8">
        <f>(-CB_SMI_Mixto_ALTA!Q17/1000000)*U$25</f>
        <v>-3.9051808560000012</v>
      </c>
    </row>
    <row r="43" spans="2:22" x14ac:dyDescent="0.3">
      <c r="B43" s="63"/>
      <c r="C43" s="74" t="s">
        <v>131</v>
      </c>
      <c r="D43" s="74"/>
      <c r="E43" s="74"/>
      <c r="F43" s="15">
        <f>SUM(F38:F42)</f>
        <v>0</v>
      </c>
      <c r="G43" s="15">
        <f>SUM(G38:G42)</f>
        <v>-3.0941838570445093</v>
      </c>
      <c r="H43" s="15">
        <f t="shared" ref="H43:T43" si="4">SUM(H38:H42)</f>
        <v>-6.187082323314085</v>
      </c>
      <c r="I43" s="15">
        <f t="shared" si="4"/>
        <v>-9.2787210685751571</v>
      </c>
      <c r="J43" s="15">
        <f t="shared" si="4"/>
        <v>-12.369124791420429</v>
      </c>
      <c r="K43" s="15">
        <f t="shared" si="4"/>
        <v>-15.458317801136989</v>
      </c>
      <c r="L43" s="15">
        <f t="shared" si="4"/>
        <v>-18.54632519342703</v>
      </c>
      <c r="M43" s="15">
        <f t="shared" si="4"/>
        <v>-21.63316964931774</v>
      </c>
      <c r="N43" s="15">
        <f t="shared" si="4"/>
        <v>-24.718875142196037</v>
      </c>
      <c r="O43" s="15">
        <f t="shared" si="4"/>
        <v>-27.803464254349056</v>
      </c>
      <c r="P43" s="15">
        <f t="shared" si="4"/>
        <v>-30.888551230853629</v>
      </c>
      <c r="Q43" s="15">
        <f t="shared" si="4"/>
        <v>-31.300553461262346</v>
      </c>
      <c r="R43" s="15">
        <f t="shared" si="4"/>
        <v>-31.718171172455715</v>
      </c>
      <c r="S43" s="15">
        <f t="shared" si="4"/>
        <v>-32.14304648925193</v>
      </c>
      <c r="T43" s="15">
        <f t="shared" si="4"/>
        <v>-32.57217489998721</v>
      </c>
      <c r="U43" s="15">
        <f>SUM(U38:U42)</f>
        <v>-33.007167447482821</v>
      </c>
    </row>
    <row r="44" spans="2:22" x14ac:dyDescent="0.3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2:22" x14ac:dyDescent="0.3">
      <c r="B45" s="78" t="s">
        <v>155</v>
      </c>
      <c r="C45" s="74"/>
      <c r="D45" s="74"/>
      <c r="E45" s="74"/>
      <c r="F45" s="15">
        <f>F36+F43</f>
        <v>-71.224265144631573</v>
      </c>
      <c r="G45" s="15">
        <f t="shared" ref="G45:U45" si="5">G36+G43</f>
        <v>-44.349381610928717</v>
      </c>
      <c r="H45" s="15">
        <f t="shared" si="5"/>
        <v>-47.451671532145667</v>
      </c>
      <c r="I45" s="15">
        <f t="shared" si="5"/>
        <v>-50.552701732354102</v>
      </c>
      <c r="J45" s="15">
        <f t="shared" si="5"/>
        <v>-53.652773129409908</v>
      </c>
      <c r="K45" s="15">
        <f t="shared" si="5"/>
        <v>-56.751791652915927</v>
      </c>
      <c r="L45" s="15">
        <f t="shared" si="5"/>
        <v>-59.84952590925861</v>
      </c>
      <c r="M45" s="15">
        <f t="shared" si="5"/>
        <v>-62.946472098201951</v>
      </c>
      <c r="N45" s="15">
        <f t="shared" si="5"/>
        <v>-66.042279324132878</v>
      </c>
      <c r="O45" s="15">
        <f t="shared" si="5"/>
        <v>-69.244329680812214</v>
      </c>
      <c r="P45" s="15">
        <f t="shared" si="5"/>
        <v>-72.339814339579931</v>
      </c>
      <c r="Q45" s="15">
        <f t="shared" si="5"/>
        <v>-37.319558028314979</v>
      </c>
      <c r="R45" s="15">
        <f t="shared" si="5"/>
        <v>-37.819184874982028</v>
      </c>
      <c r="S45" s="15">
        <f t="shared" si="5"/>
        <v>-38.326086062830875</v>
      </c>
      <c r="T45" s="15">
        <f t="shared" si="5"/>
        <v>-38.839469046039838</v>
      </c>
      <c r="U45" s="15">
        <f t="shared" si="5"/>
        <v>-39.36063822374598</v>
      </c>
    </row>
    <row r="46" spans="2:22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2" x14ac:dyDescent="0.3">
      <c r="B47" s="79" t="s">
        <v>120</v>
      </c>
      <c r="C47" s="52" t="s">
        <v>112</v>
      </c>
      <c r="D47" s="53"/>
      <c r="E47" s="53"/>
      <c r="F47" s="8">
        <v>0</v>
      </c>
      <c r="G47" s="8">
        <f>(CB_SMI_Mixto_ALTA!C18/1000000)*G$25</f>
        <v>0.6923767534842139</v>
      </c>
      <c r="H47" s="8">
        <f>(CB_SMI_Mixto_ALTA!D18/1000000)*H$25</f>
        <v>1.3849890170675463</v>
      </c>
      <c r="I47" s="8">
        <f>(CB_SMI_Mixto_ALTA!E18/1000000)*I$25</f>
        <v>2.0778407117941509</v>
      </c>
      <c r="J47" s="8">
        <f>(CB_SMI_Mixto_ALTA!F18/1000000)*J$25</f>
        <v>2.7709188745576014</v>
      </c>
      <c r="K47" s="8">
        <f>(CB_SMI_Mixto_ALTA!G18/1000000)*K$25</f>
        <v>3.4642311521645826</v>
      </c>
      <c r="L47" s="8">
        <f>(CB_SMI_Mixto_ALTA!H18/1000000)*L$25</f>
        <v>4.1577639170144449</v>
      </c>
      <c r="M47" s="8">
        <f>(CB_SMI_Mixto_ALTA!I18/1000000)*M$25</f>
        <v>4.8515087742212382</v>
      </c>
      <c r="N47" s="8">
        <f>(CB_SMI_Mixto_ALTA!J18/1000000)*N$25</f>
        <v>5.5454809696608782</v>
      </c>
      <c r="O47" s="8">
        <f>(CB_SMI_Mixto_ALTA!K18/1000000)*O$25</f>
        <v>6.2396561880611836</v>
      </c>
      <c r="P47" s="8">
        <f>(CB_SMI_Mixto_ALTA!L18/1000000)*P$25</f>
        <v>6.9340684080000017</v>
      </c>
      <c r="Q47" s="8">
        <f>(CB_SMI_Mixto_ALTA!M18/1000000)*Q$25</f>
        <v>7.0289564724</v>
      </c>
      <c r="R47" s="8">
        <f>(CB_SMI_Mixto_ALTA!N18/1000000)*R$25</f>
        <v>7.1251407984000004</v>
      </c>
      <c r="S47" s="8">
        <f>(CB_SMI_Mixto_ALTA!O18/1000000)*S$25</f>
        <v>7.2226373135999999</v>
      </c>
      <c r="T47" s="8">
        <f>(CB_SMI_Mixto_ALTA!P18/1000000)*T$25</f>
        <v>7.3214962512000001</v>
      </c>
      <c r="U47" s="8">
        <f>(CB_SMI_Mixto_ALTA!Q18/1000000)*U$25</f>
        <v>7.4216686031999997</v>
      </c>
      <c r="V47" s="30">
        <f>U47/$U$56</f>
        <v>0.11416163909931831</v>
      </c>
    </row>
    <row r="48" spans="2:22" x14ac:dyDescent="0.3">
      <c r="B48" s="80"/>
      <c r="C48" s="52" t="s">
        <v>62</v>
      </c>
      <c r="D48" s="53"/>
      <c r="E48" s="53"/>
      <c r="F48" s="8">
        <v>0</v>
      </c>
      <c r="G48" s="8">
        <f>(CB_SMI_Mixto_ALTA!C19/1000000)*G$25</f>
        <v>0.10616140028020689</v>
      </c>
      <c r="H48" s="8">
        <f>(CB_SMI_Mixto_ALTA!D19/1000000)*H$25</f>
        <v>0.21235891485664399</v>
      </c>
      <c r="I48" s="8">
        <f>(CB_SMI_Mixto_ALTA!E19/1000000)*I$25</f>
        <v>0.31859303305078135</v>
      </c>
      <c r="J48" s="8">
        <f>(CB_SMI_Mixto_ALTA!F19/1000000)*J$25</f>
        <v>0.42486182788337351</v>
      </c>
      <c r="K48" s="8">
        <f>(CB_SMI_Mixto_ALTA!G19/1000000)*K$25</f>
        <v>0.53116659413764278</v>
      </c>
      <c r="L48" s="8">
        <f>(CB_SMI_Mixto_ALTA!H19/1000000)*L$25</f>
        <v>0.63750492634566325</v>
      </c>
      <c r="M48" s="8">
        <f>(CB_SMI_Mixto_ALTA!I19/1000000)*M$25</f>
        <v>0.74387586099273617</v>
      </c>
      <c r="N48" s="8">
        <f>(CB_SMI_Mixto_ALTA!J19/1000000)*N$25</f>
        <v>0.85028172317534911</v>
      </c>
      <c r="O48" s="8">
        <f>(CB_SMI_Mixto_ALTA!K19/1000000)*O$25</f>
        <v>0.95671866396433047</v>
      </c>
      <c r="P48" s="8">
        <f>(CB_SMI_Mixto_ALTA!L19/1000000)*P$25</f>
        <v>1.0631915159040002</v>
      </c>
      <c r="Q48" s="8">
        <f>(CB_SMI_Mixto_ALTA!M19/1000000)*Q$25</f>
        <v>1.0777406503679998</v>
      </c>
      <c r="R48" s="8">
        <f>(CB_SMI_Mixto_ALTA!N19/1000000)*R$25</f>
        <v>1.0924881019919999</v>
      </c>
      <c r="S48" s="8">
        <f>(CB_SMI_Mixto_ALTA!O19/1000000)*S$25</f>
        <v>1.1081695636440001</v>
      </c>
      <c r="T48" s="8">
        <f>(CB_SMI_Mixto_ALTA!P19/1000000)*T$25</f>
        <v>1.1240800515</v>
      </c>
      <c r="U48" s="8">
        <f>(CB_SMI_Mixto_ALTA!Q19/1000000)*U$25</f>
        <v>1.1402126207010002</v>
      </c>
      <c r="V48" s="30">
        <f t="shared" ref="V48:V55" si="6">U48/$U$56</f>
        <v>1.7538985996333863E-2</v>
      </c>
    </row>
    <row r="49" spans="2:24" x14ac:dyDescent="0.3">
      <c r="B49" s="80"/>
      <c r="C49" s="52" t="s">
        <v>95</v>
      </c>
      <c r="D49" s="53"/>
      <c r="E49" s="53"/>
      <c r="F49" s="8">
        <v>0</v>
      </c>
      <c r="G49" s="8">
        <f>(CB_SMI_Mixto_ALTA!C20/1000000)*G$25</f>
        <v>3.1414039489486432</v>
      </c>
      <c r="H49" s="8">
        <f>(CB_SMI_Mixto_ALTA!D20/1000000)*H$25</f>
        <v>6.3862774946266097</v>
      </c>
      <c r="I49" s="8">
        <f>(CB_SMI_Mixto_ALTA!E20/1000000)*I$25</f>
        <v>9.7371746253152889</v>
      </c>
      <c r="J49" s="8">
        <f>(CB_SMI_Mixto_ALTA!F20/1000000)*J$25</f>
        <v>13.196668564582989</v>
      </c>
      <c r="K49" s="8">
        <f>(CB_SMI_Mixto_ALTA!G20/1000000)*K$25</f>
        <v>16.767389515525434</v>
      </c>
      <c r="L49" s="8">
        <f>(CB_SMI_Mixto_ALTA!H20/1000000)*L$25</f>
        <v>20.452114465251736</v>
      </c>
      <c r="M49" s="8">
        <f>(CB_SMI_Mixto_ALTA!I20/1000000)*M$25</f>
        <v>24.253532187961355</v>
      </c>
      <c r="N49" s="8">
        <f>(CB_SMI_Mixto_ALTA!J20/1000000)*N$25</f>
        <v>28.174518521023757</v>
      </c>
      <c r="O49" s="8">
        <f>(CB_SMI_Mixto_ALTA!K20/1000000)*O$25</f>
        <v>32.21793516255633</v>
      </c>
      <c r="P49" s="8">
        <f>(CB_SMI_Mixto_ALTA!L20/1000000)*P$25</f>
        <v>36.386754187636846</v>
      </c>
      <c r="Q49" s="8">
        <f>(CB_SMI_Mixto_ALTA!M20/1000000)*Q$25</f>
        <v>37.485634164103473</v>
      </c>
      <c r="R49" s="8">
        <f>(CB_SMI_Mixto_ALTA!N20/1000000)*R$25</f>
        <v>38.617700315859395</v>
      </c>
      <c r="S49" s="8">
        <f>(CB_SMI_Mixto_ALTA!O20/1000000)*S$25</f>
        <v>39.78395486539835</v>
      </c>
      <c r="T49" s="8">
        <f>(CB_SMI_Mixto_ALTA!P20/1000000)*T$25</f>
        <v>40.985430302333377</v>
      </c>
      <c r="U49" s="8">
        <f>(CB_SMI_Mixto_ALTA!Q20/1000000)*U$25</f>
        <v>42.223190297463852</v>
      </c>
      <c r="V49" s="30">
        <f t="shared" si="6"/>
        <v>0.64948583264450155</v>
      </c>
    </row>
    <row r="50" spans="2:24" x14ac:dyDescent="0.3">
      <c r="B50" s="80"/>
      <c r="C50" s="52" t="s">
        <v>96</v>
      </c>
      <c r="D50" s="53"/>
      <c r="E50" s="53"/>
      <c r="F50" s="8">
        <v>0</v>
      </c>
      <c r="G50" s="8">
        <f>(CB_SMI_Mixto_ALTA!C21/1000000)*G$25</f>
        <v>1.5465415294676512E-2</v>
      </c>
      <c r="H50" s="8">
        <f>(CB_SMI_Mixto_ALTA!D21/1000000)*H$25</f>
        <v>3.0518560237691169E-2</v>
      </c>
      <c r="I50" s="8">
        <f>(CB_SMI_Mixto_ALTA!E21/1000000)*I$25</f>
        <v>4.5167668032392444E-2</v>
      </c>
      <c r="J50" s="8">
        <f>(CB_SMI_Mixto_ALTA!F21/1000000)*J$25</f>
        <v>5.942066039231525E-2</v>
      </c>
      <c r="K50" s="8">
        <f>(CB_SMI_Mixto_ALTA!G21/1000000)*K$25</f>
        <v>7.3285334166894658E-2</v>
      </c>
      <c r="L50" s="8">
        <f>(CB_SMI_Mixto_ALTA!H21/1000000)*L$25</f>
        <v>8.6769738436745625E-2</v>
      </c>
      <c r="M50" s="8">
        <f>(CB_SMI_Mixto_ALTA!I21/1000000)*M$25</f>
        <v>9.9881147810675752E-2</v>
      </c>
      <c r="N50" s="8">
        <f>(CB_SMI_Mixto_ALTA!J21/1000000)*N$25</f>
        <v>0.1126272514030385</v>
      </c>
      <c r="O50" s="8">
        <f>(CB_SMI_Mixto_ALTA!K21/1000000)*O$25</f>
        <v>0.12501529215320736</v>
      </c>
      <c r="P50" s="8">
        <f>(CB_SMI_Mixto_ALTA!L21/1000000)*P$25</f>
        <v>0.13705257773001164</v>
      </c>
      <c r="Q50" s="8">
        <f>(CB_SMI_Mixto_ALTA!M21/1000000)*Q$25</f>
        <v>0.13705257773001162</v>
      </c>
      <c r="R50" s="8">
        <f>(CB_SMI_Mixto_ALTA!N21/1000000)*R$25</f>
        <v>0.13705257773001162</v>
      </c>
      <c r="S50" s="8">
        <f>(CB_SMI_Mixto_ALTA!O21/1000000)*S$25</f>
        <v>0.13705257773001162</v>
      </c>
      <c r="T50" s="8">
        <f>(CB_SMI_Mixto_ALTA!P21/1000000)*T$25</f>
        <v>0.13705257773001162</v>
      </c>
      <c r="U50" s="8">
        <f>(CB_SMI_Mixto_ALTA!Q21/1000000)*U$25</f>
        <v>0.13705257773001162</v>
      </c>
      <c r="V50" s="30">
        <f t="shared" si="6"/>
        <v>2.1081710532990803E-3</v>
      </c>
      <c r="W50" s="31">
        <f>1700*0.4</f>
        <v>680</v>
      </c>
      <c r="X50" s="31">
        <f>1700*0.23</f>
        <v>391</v>
      </c>
    </row>
    <row r="51" spans="2:24" x14ac:dyDescent="0.3">
      <c r="B51" s="80"/>
      <c r="C51" s="52" t="s">
        <v>140</v>
      </c>
      <c r="D51" s="53"/>
      <c r="E51" s="53"/>
      <c r="F51" s="8">
        <v>0</v>
      </c>
      <c r="G51" s="8">
        <f>(CB_SMI_Mixto_ALTA!C22/1000000)*G$25</f>
        <v>0</v>
      </c>
      <c r="H51" s="8">
        <f>(CB_SMI_Mixto_ALTA!D22/1000000)*H$25</f>
        <v>0</v>
      </c>
      <c r="I51" s="8">
        <f>(CB_SMI_Mixto_ALTA!E22/1000000)*I$25</f>
        <v>0</v>
      </c>
      <c r="J51" s="8">
        <f>(CB_SMI_Mixto_ALTA!F22/1000000)*J$25</f>
        <v>0</v>
      </c>
      <c r="K51" s="8">
        <f>(CB_SMI_Mixto_ALTA!G22/1000000)*K$25</f>
        <v>0</v>
      </c>
      <c r="L51" s="8">
        <f>(CB_SMI_Mixto_ALTA!H22/1000000)*L$25</f>
        <v>0</v>
      </c>
      <c r="M51" s="8">
        <f>(CB_SMI_Mixto_ALTA!I22/1000000)*M$25</f>
        <v>0</v>
      </c>
      <c r="N51" s="8">
        <f>(CB_SMI_Mixto_ALTA!J22/1000000)*N$25</f>
        <v>0</v>
      </c>
      <c r="O51" s="8">
        <f>(CB_SMI_Mixto_ALTA!K22/1000000)*O$25</f>
        <v>0</v>
      </c>
      <c r="P51" s="8">
        <f>(CB_SMI_Mixto_ALTA!L22/1000000)*P$25</f>
        <v>0</v>
      </c>
      <c r="Q51" s="8">
        <f>(CB_SMI_Mixto_ALTA!M22/1000000)*Q$25</f>
        <v>0</v>
      </c>
      <c r="R51" s="8">
        <f>(CB_SMI_Mixto_ALTA!N22/1000000)*R$25</f>
        <v>0</v>
      </c>
      <c r="S51" s="8">
        <f>(CB_SMI_Mixto_ALTA!O22/1000000)*S$25</f>
        <v>0</v>
      </c>
      <c r="T51" s="8">
        <f>(CB_SMI_Mixto_ALTA!P22/1000000)*T$25</f>
        <v>0</v>
      </c>
      <c r="U51" s="8">
        <f>(CB_SMI_Mixto_ALTA!Q22/1000000)*U$25</f>
        <v>0</v>
      </c>
      <c r="V51" s="30">
        <f t="shared" si="6"/>
        <v>0</v>
      </c>
      <c r="W51" s="32">
        <f>+W50*0.06</f>
        <v>40.799999999999997</v>
      </c>
      <c r="X51" s="32">
        <f>+X50*0.06</f>
        <v>23.46</v>
      </c>
    </row>
    <row r="52" spans="2:24" x14ac:dyDescent="0.3">
      <c r="B52" s="80"/>
      <c r="C52" s="52" t="s">
        <v>98</v>
      </c>
      <c r="D52" s="53"/>
      <c r="E52" s="53"/>
      <c r="F52" s="8">
        <v>0</v>
      </c>
      <c r="G52" s="8">
        <f>(CB_SMI_Mixto_ALTA!C23/1000000)*G$25</f>
        <v>0</v>
      </c>
      <c r="H52" s="8">
        <f>(CB_SMI_Mixto_ALTA!D23/1000000)*H$25</f>
        <v>0</v>
      </c>
      <c r="I52" s="8">
        <f>(CB_SMI_Mixto_ALTA!E23/1000000)*I$25</f>
        <v>0</v>
      </c>
      <c r="J52" s="8">
        <f>(CB_SMI_Mixto_ALTA!F23/1000000)*J$25</f>
        <v>0</v>
      </c>
      <c r="K52" s="8">
        <f>(CB_SMI_Mixto_ALTA!G23/1000000)*K$25</f>
        <v>0</v>
      </c>
      <c r="L52" s="8">
        <f>(CB_SMI_Mixto_ALTA!H23/1000000)*L$25</f>
        <v>0</v>
      </c>
      <c r="M52" s="8">
        <f>(CB_SMI_Mixto_ALTA!I23/1000000)*M$25</f>
        <v>0</v>
      </c>
      <c r="N52" s="8">
        <f>(CB_SMI_Mixto_ALTA!J23/1000000)*N$25</f>
        <v>0</v>
      </c>
      <c r="O52" s="8">
        <f>(CB_SMI_Mixto_ALTA!K23/1000000)*O$25</f>
        <v>0</v>
      </c>
      <c r="P52" s="8">
        <f>(CB_SMI_Mixto_ALTA!L23/1000000)*P$25</f>
        <v>0</v>
      </c>
      <c r="Q52" s="8">
        <f>(CB_SMI_Mixto_ALTA!M23/1000000)*Q$25</f>
        <v>0</v>
      </c>
      <c r="R52" s="8">
        <f>(CB_SMI_Mixto_ALTA!N23/1000000)*R$25</f>
        <v>0</v>
      </c>
      <c r="S52" s="8">
        <f>(CB_SMI_Mixto_ALTA!O23/1000000)*S$25</f>
        <v>0</v>
      </c>
      <c r="T52" s="8">
        <f>(CB_SMI_Mixto_ALTA!P23/1000000)*T$25</f>
        <v>0</v>
      </c>
      <c r="U52" s="8">
        <f>(CB_SMI_Mixto_ALTA!Q23/1000000)*U$25</f>
        <v>0</v>
      </c>
      <c r="V52" s="30">
        <f t="shared" si="6"/>
        <v>0</v>
      </c>
      <c r="W52" s="32">
        <f>+W51/7</f>
        <v>5.8285714285714283</v>
      </c>
      <c r="X52" s="32">
        <f>+X51/7</f>
        <v>3.3514285714285714</v>
      </c>
    </row>
    <row r="53" spans="2:24" x14ac:dyDescent="0.3">
      <c r="B53" s="80"/>
      <c r="C53" s="52" t="s">
        <v>63</v>
      </c>
      <c r="D53" s="53"/>
      <c r="E53" s="53"/>
      <c r="F53" s="8">
        <v>0</v>
      </c>
      <c r="G53" s="8">
        <f>(CB_SMI_Mixto_ALTA!C24/1000000)*G$25</f>
        <v>0.55408550992921968</v>
      </c>
      <c r="H53" s="8">
        <f>(CB_SMI_Mixto_ALTA!D24/1000000)*H$25</f>
        <v>1.1762029768209008</v>
      </c>
      <c r="I53" s="8">
        <f>(CB_SMI_Mixto_ALTA!E24/1000000)*I$25</f>
        <v>1.85772568916166</v>
      </c>
      <c r="J53" s="8">
        <f>(CB_SMI_Mixto_ALTA!F24/1000000)*J$25</f>
        <v>2.5912453587098181</v>
      </c>
      <c r="K53" s="8">
        <f>(CB_SMI_Mixto_ALTA!G24/1000000)*K$25</f>
        <v>3.3697217842599598</v>
      </c>
      <c r="L53" s="8">
        <f>(CB_SMI_Mixto_ALTA!H24/1000000)*L$25</f>
        <v>4.1828170878035698</v>
      </c>
      <c r="M53" s="8">
        <f>(CB_SMI_Mixto_ALTA!I24/1000000)*M$25</f>
        <v>5.0288680832935491</v>
      </c>
      <c r="N53" s="8">
        <f>(CB_SMI_Mixto_ALTA!J24/1000000)*N$25</f>
        <v>5.9007327366717846</v>
      </c>
      <c r="O53" s="8">
        <f>(CB_SMI_Mixto_ALTA!K24/1000000)*O$25</f>
        <v>6.7894127020207931</v>
      </c>
      <c r="P53" s="8">
        <f>(CB_SMI_Mixto_ALTA!L24/1000000)*P$25</f>
        <v>7.6954523794396472</v>
      </c>
      <c r="Q53" s="8">
        <f>(CB_SMI_Mixto_ALTA!M24/1000000)*Q$25</f>
        <v>7.9322382927662032</v>
      </c>
      <c r="R53" s="8">
        <f>(CB_SMI_Mixto_ALTA!N24/1000000)*R$25</f>
        <v>8.16185718105584</v>
      </c>
      <c r="S53" s="8">
        <f>(CB_SMI_Mixto_ALTA!O24/1000000)*S$25</f>
        <v>8.372530738574369</v>
      </c>
      <c r="T53" s="8">
        <f>(CB_SMI_Mixto_ALTA!P24/1000000)*T$25</f>
        <v>8.5720569834561164</v>
      </c>
      <c r="U53" s="8">
        <f>(CB_SMI_Mixto_ALTA!Q24/1000000)*U$25</f>
        <v>8.7622240874203179</v>
      </c>
      <c r="V53" s="30">
        <f t="shared" si="6"/>
        <v>0.13478234039500614</v>
      </c>
      <c r="W53" s="32">
        <f>+W52/12</f>
        <v>0.48571428571428571</v>
      </c>
      <c r="X53" s="32">
        <f>+X52/12</f>
        <v>0.2792857142857143</v>
      </c>
    </row>
    <row r="54" spans="2:24" x14ac:dyDescent="0.3">
      <c r="B54" s="80"/>
      <c r="C54" s="52" t="s">
        <v>99</v>
      </c>
      <c r="D54" s="53"/>
      <c r="E54" s="53"/>
      <c r="F54" s="8">
        <v>0</v>
      </c>
      <c r="G54" s="8">
        <f>(CB_SMI_Mixto_ALTA!C25/1000000)*G$25</f>
        <v>0.36018458063668024</v>
      </c>
      <c r="H54" s="8">
        <f>(CB_SMI_Mixto_ALTA!D25/1000000)*H$25</f>
        <v>0.72049168991944401</v>
      </c>
      <c r="I54" s="8">
        <f>(CB_SMI_Mixto_ALTA!E25/1000000)*I$25</f>
        <v>1.0809229880190128</v>
      </c>
      <c r="J54" s="8">
        <f>(CB_SMI_Mixto_ALTA!F25/1000000)*J$25</f>
        <v>1.4414719370769038</v>
      </c>
      <c r="K54" s="8">
        <f>(CB_SMI_Mixto_ALTA!G25/1000000)*K$25</f>
        <v>1.8021429300358489</v>
      </c>
      <c r="L54" s="8">
        <f>(CB_SMI_Mixto_ALTA!H25/1000000)*L$25</f>
        <v>2.1629278056201522</v>
      </c>
      <c r="M54" s="8">
        <f>(CB_SMI_Mixto_ALTA!I25/1000000)*M$25</f>
        <v>2.5238232948154931</v>
      </c>
      <c r="N54" s="8">
        <f>(CB_SMI_Mixto_ALTA!J25/1000000)*N$25</f>
        <v>2.8848372862132163</v>
      </c>
      <c r="O54" s="8">
        <f>(CB_SMI_Mixto_ALTA!K25/1000000)*O$25</f>
        <v>3.2459567211598381</v>
      </c>
      <c r="P54" s="8">
        <f>(CB_SMI_Mixto_ALTA!L25/1000000)*P$25</f>
        <v>3.6071979955200009</v>
      </c>
      <c r="Q54" s="8">
        <f>(CB_SMI_Mixto_ALTA!M25/1000000)*Q$25</f>
        <v>3.6565603238400013</v>
      </c>
      <c r="R54" s="8">
        <f>(CB_SMI_Mixto_ALTA!N25/1000000)*R$25</f>
        <v>3.7065955029600004</v>
      </c>
      <c r="S54" s="8">
        <f>(CB_SMI_Mixto_ALTA!O25/1000000)*S$25</f>
        <v>3.7573135010400001</v>
      </c>
      <c r="T54" s="8">
        <f>(CB_SMI_Mixto_ALTA!P25/1000000)*T$25</f>
        <v>3.8087404844999999</v>
      </c>
      <c r="U54" s="8">
        <f>(CB_SMI_Mixto_ALTA!Q25/1000000)*U$25</f>
        <v>3.8608515329399999</v>
      </c>
      <c r="V54" s="30">
        <f t="shared" si="6"/>
        <v>5.9388415582110901E-2</v>
      </c>
    </row>
    <row r="55" spans="2:24" x14ac:dyDescent="0.3">
      <c r="B55" s="80"/>
      <c r="C55" s="52" t="s">
        <v>97</v>
      </c>
      <c r="D55" s="53"/>
      <c r="E55" s="53"/>
      <c r="F55" s="8">
        <v>0</v>
      </c>
      <c r="G55" s="8">
        <f>(CB_SMI_Mixto_ALTA!C26/1000000)*G$25</f>
        <v>0.15847559049562843</v>
      </c>
      <c r="H55" s="8">
        <f>(CB_SMI_Mixto_ALTA!D26/1000000)*H$25</f>
        <v>0.31296317027351273</v>
      </c>
      <c r="I55" s="8">
        <f>(CB_SMI_Mixto_ALTA!E26/1000000)*I$25</f>
        <v>0.46829229413073425</v>
      </c>
      <c r="J55" s="8">
        <f>(CB_SMI_Mixto_ALTA!F26/1000000)*J$25</f>
        <v>0.61751022779785458</v>
      </c>
      <c r="K55" s="8">
        <f>(CB_SMI_Mixto_ALTA!G26/1000000)*K$25</f>
        <v>0.76275426688890224</v>
      </c>
      <c r="L55" s="8">
        <f>(CB_SMI_Mixto_ALTA!H26/1000000)*L$25</f>
        <v>0.90408874720999599</v>
      </c>
      <c r="M55" s="8">
        <f>(CB_SMI_Mixto_ALTA!I26/1000000)*M$25</f>
        <v>1.0418124638196653</v>
      </c>
      <c r="N55" s="8">
        <f>(CB_SMI_Mixto_ALTA!J26/1000000)*N$25</f>
        <v>1.1844709684319308</v>
      </c>
      <c r="O55" s="8">
        <f>(CB_SMI_Mixto_ALTA!K26/1000000)*O$25</f>
        <v>1.3175379013833777</v>
      </c>
      <c r="P55" s="8">
        <f>(CB_SMI_Mixto_ALTA!L26/1000000)*P$25</f>
        <v>1.4468169297727271</v>
      </c>
      <c r="Q55" s="8">
        <f>(CB_SMI_Mixto_ALTA!M26/1000000)*Q$25</f>
        <v>1.4492406788636361</v>
      </c>
      <c r="R55" s="8">
        <f>(CB_SMI_Mixto_ALTA!N26/1000000)*R$25</f>
        <v>1.452114738181818</v>
      </c>
      <c r="S55" s="8">
        <f>(CB_SMI_Mixto_ALTA!O26/1000000)*S$25</f>
        <v>1.4563903497727269</v>
      </c>
      <c r="T55" s="8">
        <f>(CB_SMI_Mixto_ALTA!P26/1000000)*T$25</f>
        <v>1.4606785515909091</v>
      </c>
      <c r="U55" s="8">
        <f>(CB_SMI_Mixto_ALTA!Q26/1000000)*U$25</f>
        <v>1.4649793718181821</v>
      </c>
      <c r="V55" s="30">
        <f t="shared" si="6"/>
        <v>2.2534615229430021E-2</v>
      </c>
    </row>
    <row r="56" spans="2:24" x14ac:dyDescent="0.3">
      <c r="B56" s="81"/>
      <c r="C56" s="82" t="s">
        <v>132</v>
      </c>
      <c r="D56" s="82"/>
      <c r="E56" s="82"/>
      <c r="F56" s="14">
        <f t="shared" ref="F56:T56" si="7">SUM(F47:F55)</f>
        <v>0</v>
      </c>
      <c r="G56" s="14">
        <f t="shared" si="7"/>
        <v>5.0281531990692692</v>
      </c>
      <c r="H56" s="14">
        <f t="shared" si="7"/>
        <v>10.223801823802349</v>
      </c>
      <c r="I56" s="14">
        <f t="shared" si="7"/>
        <v>15.585717009504021</v>
      </c>
      <c r="J56" s="14">
        <f t="shared" si="7"/>
        <v>21.102097451000855</v>
      </c>
      <c r="K56" s="14">
        <f t="shared" si="7"/>
        <v>26.77069157717926</v>
      </c>
      <c r="L56" s="14">
        <f t="shared" si="7"/>
        <v>32.583986687682312</v>
      </c>
      <c r="M56" s="14">
        <f t="shared" si="7"/>
        <v>38.543301812914713</v>
      </c>
      <c r="N56" s="14">
        <f t="shared" si="7"/>
        <v>44.652949456579961</v>
      </c>
      <c r="O56" s="14">
        <f t="shared" si="7"/>
        <v>50.892232631299052</v>
      </c>
      <c r="P56" s="14">
        <f t="shared" si="7"/>
        <v>57.270533994003245</v>
      </c>
      <c r="Q56" s="14">
        <f t="shared" si="7"/>
        <v>58.767423160071324</v>
      </c>
      <c r="R56" s="14">
        <f t="shared" si="7"/>
        <v>60.292949216179068</v>
      </c>
      <c r="S56" s="14">
        <f t="shared" si="7"/>
        <v>61.838048909759458</v>
      </c>
      <c r="T56" s="14">
        <f t="shared" si="7"/>
        <v>63.409535202310408</v>
      </c>
      <c r="U56" s="14">
        <f>SUM(U47:U55)</f>
        <v>65.010179091273372</v>
      </c>
    </row>
    <row r="58" spans="2:24" x14ac:dyDescent="0.3">
      <c r="B58" s="42" t="s">
        <v>64</v>
      </c>
      <c r="C58" s="43"/>
      <c r="D58" s="43"/>
      <c r="E58" s="43"/>
      <c r="F58" s="33">
        <f>F45+F56</f>
        <v>-71.224265144631573</v>
      </c>
      <c r="G58" s="33">
        <f>G45+G56</f>
        <v>-39.321228411859451</v>
      </c>
      <c r="H58" s="33">
        <f t="shared" ref="H58:U58" si="8">H45+H56</f>
        <v>-37.22786970834332</v>
      </c>
      <c r="I58" s="33">
        <f t="shared" si="8"/>
        <v>-34.966984722850079</v>
      </c>
      <c r="J58" s="33">
        <f t="shared" si="8"/>
        <v>-32.55067567840905</v>
      </c>
      <c r="K58" s="33">
        <f t="shared" si="8"/>
        <v>-29.981100075736666</v>
      </c>
      <c r="L58" s="33">
        <f t="shared" si="8"/>
        <v>-27.265539221576297</v>
      </c>
      <c r="M58" s="33">
        <f t="shared" si="8"/>
        <v>-24.403170285287239</v>
      </c>
      <c r="N58" s="33">
        <f t="shared" si="8"/>
        <v>-21.389329867552917</v>
      </c>
      <c r="O58" s="33">
        <f t="shared" si="8"/>
        <v>-18.352097049513162</v>
      </c>
      <c r="P58" s="33">
        <f t="shared" si="8"/>
        <v>-15.069280345576686</v>
      </c>
      <c r="Q58" s="33">
        <f t="shared" si="8"/>
        <v>21.447865131756345</v>
      </c>
      <c r="R58" s="33">
        <f t="shared" si="8"/>
        <v>22.47376434119704</v>
      </c>
      <c r="S58" s="33">
        <f t="shared" si="8"/>
        <v>23.511962846928583</v>
      </c>
      <c r="T58" s="33">
        <f t="shared" si="8"/>
        <v>24.57006615627057</v>
      </c>
      <c r="U58" s="33">
        <f t="shared" si="8"/>
        <v>25.649540867527392</v>
      </c>
    </row>
    <row r="60" spans="2:24" x14ac:dyDescent="0.3">
      <c r="B60" s="42" t="s">
        <v>156</v>
      </c>
      <c r="C60" s="43"/>
      <c r="D60" s="43"/>
      <c r="E60" s="43"/>
      <c r="F60" s="33">
        <v>0</v>
      </c>
      <c r="G60" s="33">
        <f>F61</f>
        <v>-71.224265144631573</v>
      </c>
      <c r="H60" s="33">
        <f t="shared" ref="H60:U60" si="9">G61</f>
        <v>-110.54549355649102</v>
      </c>
      <c r="I60" s="33">
        <f t="shared" si="9"/>
        <v>-147.77336326483436</v>
      </c>
      <c r="J60" s="33">
        <f t="shared" si="9"/>
        <v>-182.74034798768443</v>
      </c>
      <c r="K60" s="33">
        <f t="shared" si="9"/>
        <v>-215.29102366609348</v>
      </c>
      <c r="L60" s="33">
        <f>K61</f>
        <v>-245.27212374183014</v>
      </c>
      <c r="M60" s="33">
        <f t="shared" si="9"/>
        <v>-272.53766296340643</v>
      </c>
      <c r="N60" s="33">
        <f t="shared" si="9"/>
        <v>-296.94083324869365</v>
      </c>
      <c r="O60" s="33">
        <f t="shared" si="9"/>
        <v>-318.33016311624658</v>
      </c>
      <c r="P60" s="33">
        <f t="shared" si="9"/>
        <v>-336.68226016575977</v>
      </c>
      <c r="Q60" s="33">
        <f t="shared" si="9"/>
        <v>-351.75154051133643</v>
      </c>
      <c r="R60" s="33">
        <f t="shared" si="9"/>
        <v>-330.30367537958011</v>
      </c>
      <c r="S60" s="33">
        <f t="shared" si="9"/>
        <v>-307.8299110383831</v>
      </c>
      <c r="T60" s="33">
        <f t="shared" si="9"/>
        <v>-284.31794819145455</v>
      </c>
      <c r="U60" s="33">
        <f t="shared" si="9"/>
        <v>-259.74788203518398</v>
      </c>
    </row>
    <row r="61" spans="2:24" x14ac:dyDescent="0.3">
      <c r="B61" s="42" t="s">
        <v>109</v>
      </c>
      <c r="C61" s="43"/>
      <c r="D61" s="43"/>
      <c r="E61" s="43"/>
      <c r="F61" s="33">
        <f>F58+F60</f>
        <v>-71.224265144631573</v>
      </c>
      <c r="G61" s="33">
        <f>G58+G60</f>
        <v>-110.54549355649102</v>
      </c>
      <c r="H61" s="33">
        <f t="shared" ref="H61:U61" si="10">H58+H60</f>
        <v>-147.77336326483436</v>
      </c>
      <c r="I61" s="33">
        <f t="shared" si="10"/>
        <v>-182.74034798768443</v>
      </c>
      <c r="J61" s="33">
        <f t="shared" si="10"/>
        <v>-215.29102366609348</v>
      </c>
      <c r="K61" s="33">
        <f t="shared" si="10"/>
        <v>-245.27212374183014</v>
      </c>
      <c r="L61" s="33">
        <f t="shared" si="10"/>
        <v>-272.53766296340643</v>
      </c>
      <c r="M61" s="33">
        <f t="shared" si="10"/>
        <v>-296.94083324869365</v>
      </c>
      <c r="N61" s="33">
        <f t="shared" si="10"/>
        <v>-318.33016311624658</v>
      </c>
      <c r="O61" s="33">
        <f t="shared" si="10"/>
        <v>-336.68226016575977</v>
      </c>
      <c r="P61" s="33">
        <f t="shared" si="10"/>
        <v>-351.75154051133643</v>
      </c>
      <c r="Q61" s="33">
        <f t="shared" si="10"/>
        <v>-330.30367537958011</v>
      </c>
      <c r="R61" s="33">
        <f t="shared" si="10"/>
        <v>-307.8299110383831</v>
      </c>
      <c r="S61" s="33">
        <f t="shared" si="10"/>
        <v>-284.31794819145455</v>
      </c>
      <c r="T61" s="33">
        <f t="shared" si="10"/>
        <v>-259.74788203518398</v>
      </c>
      <c r="U61" s="33">
        <f t="shared" si="10"/>
        <v>-234.0983411676566</v>
      </c>
    </row>
    <row r="62" spans="2:24" x14ac:dyDescent="0.3"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2:24" x14ac:dyDescent="0.3">
      <c r="B63" s="89" t="s">
        <v>157</v>
      </c>
      <c r="C63" s="90"/>
      <c r="D63" s="90"/>
      <c r="E63" s="90"/>
      <c r="F63" s="35">
        <f>F58/(1+0.06)^F27</f>
        <v>-71.224265144631573</v>
      </c>
      <c r="G63" s="35">
        <f>G58/(1+0.06)^G27</f>
        <v>-37.0954985017542</v>
      </c>
      <c r="H63" s="35">
        <f t="shared" ref="H63:T63" si="11">H58/(1+0.06)^H27</f>
        <v>-33.132671509739509</v>
      </c>
      <c r="I63" s="35">
        <f t="shared" si="11"/>
        <v>-29.358954642800828</v>
      </c>
      <c r="J63" s="35">
        <f t="shared" si="11"/>
        <v>-25.783183938983758</v>
      </c>
      <c r="K63" s="35">
        <f t="shared" si="11"/>
        <v>-22.403622063109381</v>
      </c>
      <c r="L63" s="35">
        <f t="shared" si="11"/>
        <v>-19.221129265021617</v>
      </c>
      <c r="M63" s="35">
        <f>M58/(1+0.06)^M27</f>
        <v>-16.229501993167489</v>
      </c>
      <c r="N63" s="35">
        <f t="shared" si="11"/>
        <v>-13.419930173613931</v>
      </c>
      <c r="O63" s="35">
        <f t="shared" si="11"/>
        <v>-10.862578046160746</v>
      </c>
      <c r="P63" s="35">
        <f t="shared" si="11"/>
        <v>-8.4146074368396651</v>
      </c>
      <c r="Q63" s="35">
        <f t="shared" si="11"/>
        <v>11.298467797691149</v>
      </c>
      <c r="R63" s="35">
        <f t="shared" si="11"/>
        <v>11.16877236182418</v>
      </c>
      <c r="S63" s="35">
        <f t="shared" si="11"/>
        <v>11.023325672154884</v>
      </c>
      <c r="T63" s="35">
        <f t="shared" si="11"/>
        <v>10.867363955790836</v>
      </c>
      <c r="U63" s="35">
        <f>U58/(1+0.06)^U27</f>
        <v>10.702657227927542</v>
      </c>
    </row>
    <row r="64" spans="2:24" x14ac:dyDescent="0.3">
      <c r="B64" s="89" t="s">
        <v>158</v>
      </c>
      <c r="C64" s="90"/>
      <c r="D64" s="90"/>
      <c r="E64" s="90"/>
      <c r="F64" s="35">
        <f>F63</f>
        <v>-71.224265144631573</v>
      </c>
      <c r="G64" s="35">
        <f>F64+G63</f>
        <v>-108.31976364638578</v>
      </c>
      <c r="H64" s="35">
        <f t="shared" ref="H64:U64" si="12">G64+H63</f>
        <v>-141.45243515612529</v>
      </c>
      <c r="I64" s="35">
        <f t="shared" si="12"/>
        <v>-170.81138979892611</v>
      </c>
      <c r="J64" s="35">
        <f t="shared" si="12"/>
        <v>-196.59457373790988</v>
      </c>
      <c r="K64" s="35">
        <f t="shared" si="12"/>
        <v>-218.99819580101928</v>
      </c>
      <c r="L64" s="35">
        <f t="shared" si="12"/>
        <v>-238.21932506604088</v>
      </c>
      <c r="M64" s="35">
        <f t="shared" si="12"/>
        <v>-254.44882705920838</v>
      </c>
      <c r="N64" s="35">
        <f t="shared" si="12"/>
        <v>-267.8687572328223</v>
      </c>
      <c r="O64" s="35">
        <f t="shared" si="12"/>
        <v>-278.73133527898307</v>
      </c>
      <c r="P64" s="35">
        <f t="shared" si="12"/>
        <v>-287.14594271582274</v>
      </c>
      <c r="Q64" s="35">
        <f t="shared" si="12"/>
        <v>-275.84747491813158</v>
      </c>
      <c r="R64" s="35">
        <f t="shared" si="12"/>
        <v>-264.67870255630743</v>
      </c>
      <c r="S64" s="35">
        <f t="shared" si="12"/>
        <v>-253.65537688415253</v>
      </c>
      <c r="T64" s="35">
        <f t="shared" si="12"/>
        <v>-242.7880129283617</v>
      </c>
      <c r="U64" s="35">
        <f t="shared" si="12"/>
        <v>-232.08535570043415</v>
      </c>
    </row>
    <row r="67" spans="2:20" x14ac:dyDescent="0.3">
      <c r="B67" s="91" t="s">
        <v>159</v>
      </c>
      <c r="C67" s="91"/>
      <c r="D67" s="36">
        <f>J4</f>
        <v>0.06</v>
      </c>
      <c r="H67" s="85" t="s">
        <v>160</v>
      </c>
      <c r="I67" s="85"/>
      <c r="J67" s="85" t="s">
        <v>161</v>
      </c>
      <c r="K67" s="85"/>
      <c r="L67" s="85" t="s">
        <v>162</v>
      </c>
      <c r="M67" s="85"/>
    </row>
    <row r="68" spans="2:20" x14ac:dyDescent="0.3">
      <c r="B68" s="47"/>
      <c r="C68" s="47"/>
      <c r="F68" s="86" t="s">
        <v>163</v>
      </c>
      <c r="G68" s="86"/>
      <c r="H68" s="87">
        <f>NPV(D67,G45:U45)+F45</f>
        <v>-579.54226345216443</v>
      </c>
      <c r="I68" s="87"/>
      <c r="J68" s="87">
        <f>H68*1000000/$D$73</f>
        <v>-229.32968732402432</v>
      </c>
      <c r="K68" s="87"/>
      <c r="L68" s="88">
        <f>J68*$S$4</f>
        <v>-220009.72883117598</v>
      </c>
      <c r="M68" s="88"/>
      <c r="S68" s="6"/>
      <c r="T68" s="6"/>
    </row>
    <row r="69" spans="2:20" x14ac:dyDescent="0.3">
      <c r="B69" s="70" t="s">
        <v>110</v>
      </c>
      <c r="C69" s="70"/>
      <c r="D69" s="38">
        <f>NPV(D67,G58:U58)+F58</f>
        <v>-232.08535570043409</v>
      </c>
      <c r="F69" s="95" t="s">
        <v>164</v>
      </c>
      <c r="G69" s="95"/>
      <c r="H69" s="96">
        <f>PMT(D67,15,-H68)</f>
        <v>-59.671273273952856</v>
      </c>
      <c r="I69" s="96"/>
      <c r="J69" s="96">
        <f>H69*1000000/$D$73</f>
        <v>-23.612418463889185</v>
      </c>
      <c r="K69" s="96"/>
      <c r="L69" s="97">
        <f t="shared" ref="L69" si="13">J69*$S$4</f>
        <v>-22652.80977751673</v>
      </c>
      <c r="M69" s="97"/>
    </row>
    <row r="70" spans="2:20" x14ac:dyDescent="0.3">
      <c r="B70" s="70" t="s">
        <v>111</v>
      </c>
      <c r="C70" s="70"/>
      <c r="D70" s="39">
        <f>IRR(F58:U58)</f>
        <v>-0.11647352525534815</v>
      </c>
      <c r="F70" s="92" t="s">
        <v>165</v>
      </c>
      <c r="G70" s="92"/>
      <c r="H70" s="93">
        <f>H69/12</f>
        <v>-4.972606106162738</v>
      </c>
      <c r="I70" s="93"/>
      <c r="J70" s="93">
        <f t="shared" ref="J70" si="14">J69/12</f>
        <v>-1.9677015386574321</v>
      </c>
      <c r="K70" s="93"/>
      <c r="L70" s="94">
        <f>L69/12</f>
        <v>-1887.7341481263941</v>
      </c>
      <c r="M70" s="94"/>
    </row>
    <row r="71" spans="2:20" x14ac:dyDescent="0.3">
      <c r="B71" s="70" t="s">
        <v>166</v>
      </c>
      <c r="C71" s="70"/>
      <c r="D71" s="40">
        <f>NPV(D67,G56:U56)/-(F36+NPV(D67,G36:U36)+NPV(D67,G43:U43))</f>
        <v>0.59953678905491858</v>
      </c>
      <c r="F71" s="100"/>
      <c r="G71" s="100"/>
      <c r="L71" s="41"/>
      <c r="M71" s="41"/>
    </row>
    <row r="72" spans="2:20" x14ac:dyDescent="0.3">
      <c r="B72" s="47"/>
      <c r="C72" s="47"/>
      <c r="F72" s="101" t="s">
        <v>167</v>
      </c>
      <c r="G72" s="101"/>
      <c r="H72" s="87">
        <f>NPV(D67,G56:U56)+F56</f>
        <v>347.45690775173045</v>
      </c>
      <c r="I72" s="87"/>
      <c r="J72" s="87">
        <f>H72*1000000/$D$73</f>
        <v>137.49158437321404</v>
      </c>
      <c r="K72" s="87"/>
      <c r="L72" s="88">
        <f>J72*$S$4</f>
        <v>131903.92638428663</v>
      </c>
      <c r="M72" s="88"/>
    </row>
    <row r="73" spans="2:20" x14ac:dyDescent="0.3">
      <c r="B73" s="70" t="s">
        <v>168</v>
      </c>
      <c r="C73" s="70"/>
      <c r="D73" s="4">
        <v>2527114</v>
      </c>
      <c r="F73" s="99" t="s">
        <v>169</v>
      </c>
      <c r="G73" s="99"/>
      <c r="H73" s="96">
        <f>PMT(D67,15,-H72)</f>
        <v>35.775123577484287</v>
      </c>
      <c r="I73" s="96"/>
      <c r="J73" s="96">
        <f>H73*1000000/$D$73</f>
        <v>14.1565135476612</v>
      </c>
      <c r="K73" s="96"/>
      <c r="L73" s="97">
        <f>J73*$S$4</f>
        <v>13581.192837084249</v>
      </c>
      <c r="M73" s="97"/>
    </row>
    <row r="74" spans="2:20" x14ac:dyDescent="0.3">
      <c r="B74" s="70" t="s">
        <v>170</v>
      </c>
      <c r="C74" s="70"/>
      <c r="D74" s="4">
        <v>2158536</v>
      </c>
      <c r="F74" s="103" t="s">
        <v>171</v>
      </c>
      <c r="G74" s="103"/>
      <c r="H74" s="104">
        <f>H73/12</f>
        <v>2.9812602981236904</v>
      </c>
      <c r="I74" s="104"/>
      <c r="J74" s="104">
        <f t="shared" ref="J74" si="15">J73/12</f>
        <v>1.1797094623051001</v>
      </c>
      <c r="K74" s="104"/>
      <c r="L74" s="98">
        <f>L73/12</f>
        <v>1131.7660697570207</v>
      </c>
      <c r="M74" s="98"/>
    </row>
    <row r="75" spans="2:20" x14ac:dyDescent="0.3">
      <c r="B75" s="70" t="s">
        <v>172</v>
      </c>
      <c r="C75" s="70"/>
      <c r="D75" s="4">
        <v>1173397</v>
      </c>
      <c r="F75" s="100"/>
      <c r="G75" s="100"/>
      <c r="L75" s="41"/>
      <c r="M75" s="41"/>
    </row>
    <row r="76" spans="2:20" x14ac:dyDescent="0.3">
      <c r="B76" s="70" t="s">
        <v>173</v>
      </c>
      <c r="C76" s="70"/>
      <c r="D76" s="4">
        <v>1288141</v>
      </c>
      <c r="F76" s="102" t="s">
        <v>174</v>
      </c>
      <c r="G76" s="102"/>
      <c r="H76" s="87">
        <f>H72+H68</f>
        <v>-232.08535570043398</v>
      </c>
      <c r="I76" s="87"/>
      <c r="J76" s="87">
        <f>J68+J72</f>
        <v>-91.838102950810281</v>
      </c>
      <c r="K76" s="87"/>
      <c r="L76" s="88">
        <f>J76*$S$4</f>
        <v>-88105.802446889356</v>
      </c>
      <c r="M76" s="88"/>
    </row>
    <row r="77" spans="2:20" x14ac:dyDescent="0.3">
      <c r="B77" s="70" t="s">
        <v>175</v>
      </c>
      <c r="C77" s="70"/>
      <c r="D77" s="4">
        <v>593823</v>
      </c>
      <c r="F77" s="108" t="s">
        <v>176</v>
      </c>
      <c r="G77" s="108"/>
      <c r="H77" s="96">
        <f>PMT(D67,15,-H76)</f>
        <v>-23.896149696468573</v>
      </c>
      <c r="I77" s="96"/>
      <c r="J77" s="96">
        <f>J69+J73</f>
        <v>-9.4559049162279845</v>
      </c>
      <c r="K77" s="96"/>
      <c r="L77" s="97">
        <f>J77*$S$4</f>
        <v>-9071.6169404324792</v>
      </c>
      <c r="M77" s="97"/>
    </row>
    <row r="78" spans="2:20" x14ac:dyDescent="0.3">
      <c r="B78" s="47"/>
      <c r="C78" s="47"/>
      <c r="D78" s="37"/>
      <c r="F78" s="105" t="s">
        <v>177</v>
      </c>
      <c r="G78" s="105"/>
      <c r="H78" s="106">
        <f>H77/12</f>
        <v>-1.9913458080390478</v>
      </c>
      <c r="I78" s="106"/>
      <c r="J78" s="106">
        <f t="shared" ref="J78" si="16">J77/12</f>
        <v>-0.78799207635233204</v>
      </c>
      <c r="K78" s="106"/>
      <c r="L78" s="107">
        <f t="shared" ref="L78" si="17">L77/12</f>
        <v>-755.9680783693733</v>
      </c>
      <c r="M78" s="107"/>
    </row>
    <row r="79" spans="2:20" x14ac:dyDescent="0.3">
      <c r="B79" s="83" t="s">
        <v>178</v>
      </c>
      <c r="C79" s="83"/>
      <c r="D79" s="4">
        <f>SUM(D73:D77)</f>
        <v>7741011</v>
      </c>
    </row>
  </sheetData>
  <mergeCells count="131">
    <mergeCell ref="B79:C79"/>
    <mergeCell ref="J77:K77"/>
    <mergeCell ref="L77:M77"/>
    <mergeCell ref="B78:C78"/>
    <mergeCell ref="F78:G78"/>
    <mergeCell ref="H78:I78"/>
    <mergeCell ref="J78:K78"/>
    <mergeCell ref="L78:M78"/>
    <mergeCell ref="J69:K69"/>
    <mergeCell ref="L69:M69"/>
    <mergeCell ref="H73:I73"/>
    <mergeCell ref="J73:K73"/>
    <mergeCell ref="L73:M73"/>
    <mergeCell ref="B77:C77"/>
    <mergeCell ref="J76:K76"/>
    <mergeCell ref="L76:M76"/>
    <mergeCell ref="J74:K74"/>
    <mergeCell ref="L74:M74"/>
    <mergeCell ref="J72:K72"/>
    <mergeCell ref="L72:M72"/>
    <mergeCell ref="J70:K70"/>
    <mergeCell ref="L70:M70"/>
    <mergeCell ref="F70:G70"/>
    <mergeCell ref="H70:I70"/>
    <mergeCell ref="B63:E63"/>
    <mergeCell ref="B64:E64"/>
    <mergeCell ref="H69:I69"/>
    <mergeCell ref="F77:G77"/>
    <mergeCell ref="H77:I77"/>
    <mergeCell ref="B76:C76"/>
    <mergeCell ref="F76:G76"/>
    <mergeCell ref="H76:I76"/>
    <mergeCell ref="B75:C75"/>
    <mergeCell ref="F75:G75"/>
    <mergeCell ref="B73:C73"/>
    <mergeCell ref="F73:G73"/>
    <mergeCell ref="B74:C74"/>
    <mergeCell ref="F74:G74"/>
    <mergeCell ref="H74:I74"/>
    <mergeCell ref="B72:C72"/>
    <mergeCell ref="F72:G72"/>
    <mergeCell ref="H72:I72"/>
    <mergeCell ref="B71:C71"/>
    <mergeCell ref="F71:G71"/>
    <mergeCell ref="B69:C69"/>
    <mergeCell ref="F69:G69"/>
    <mergeCell ref="B70:C70"/>
    <mergeCell ref="B68:C68"/>
    <mergeCell ref="F68:G68"/>
    <mergeCell ref="H68:I68"/>
    <mergeCell ref="J68:K68"/>
    <mergeCell ref="L68:M68"/>
    <mergeCell ref="B67:C67"/>
    <mergeCell ref="H67:I67"/>
    <mergeCell ref="J67:K67"/>
    <mergeCell ref="L67:M67"/>
    <mergeCell ref="B61:E61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39" priority="9" operator="lessThan">
      <formula>0</formula>
    </cfRule>
  </conditionalFormatting>
  <conditionalFormatting sqref="F38:U43">
    <cfRule type="cellIs" dxfId="38" priority="7" operator="lessThan">
      <formula>0</formula>
    </cfRule>
  </conditionalFormatting>
  <conditionalFormatting sqref="F45:U45">
    <cfRule type="cellIs" dxfId="37" priority="5" operator="lessThan">
      <formula>0</formula>
    </cfRule>
  </conditionalFormatting>
  <conditionalFormatting sqref="F47:U56">
    <cfRule type="cellIs" dxfId="36" priority="8" operator="lessThan">
      <formula>0</formula>
    </cfRule>
  </conditionalFormatting>
  <conditionalFormatting sqref="F58:U61">
    <cfRule type="cellIs" dxfId="35" priority="3" operator="lessThan">
      <formula>0</formula>
    </cfRule>
  </conditionalFormatting>
  <conditionalFormatting sqref="F63:U64">
    <cfRule type="cellIs" dxfId="34" priority="2" operator="lessThan">
      <formula>0</formula>
    </cfRule>
  </conditionalFormatting>
  <conditionalFormatting sqref="H68:M69 H70 J70 H72:M73 H74 J74 H76:M78">
    <cfRule type="cellIs" dxfId="33" priority="4" operator="lessThan">
      <formula>0</formula>
    </cfRule>
  </conditionalFormatting>
  <conditionalFormatting sqref="L70 L74">
    <cfRule type="cellIs" dxfId="3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D46B-21DD-41EB-9843-ADBEEEEBB106}">
  <sheetPr>
    <tabColor theme="5" tint="-0.499984740745262"/>
  </sheetPr>
  <dimension ref="A1:Q26"/>
  <sheetViews>
    <sheetView zoomScale="80" zoomScaleNormal="80" workbookViewId="0">
      <selection activeCell="G17" sqref="G17"/>
    </sheetView>
  </sheetViews>
  <sheetFormatPr baseColWidth="10" defaultRowHeight="14.4" x14ac:dyDescent="0.3"/>
  <cols>
    <col min="1" max="1" width="47.109375" bestFit="1" customWidth="1"/>
    <col min="2" max="11" width="12.6640625" bestFit="1" customWidth="1"/>
    <col min="12" max="17" width="13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8711682.8114798889</v>
      </c>
      <c r="C2">
        <v>8974775.6323865801</v>
      </c>
      <c r="D2">
        <v>9245813.8564846553</v>
      </c>
      <c r="E2">
        <v>9525037.4349504914</v>
      </c>
      <c r="F2">
        <v>9812693.5654859971</v>
      </c>
      <c r="G2">
        <v>10109036.911163669</v>
      </c>
      <c r="H2">
        <v>10414329.82588082</v>
      </c>
      <c r="I2">
        <v>10728842.586622421</v>
      </c>
      <c r="J2">
        <v>11052853.632738421</v>
      </c>
      <c r="K2">
        <v>11386649.81244712</v>
      </c>
      <c r="L2">
        <v>11730526.636783021</v>
      </c>
      <c r="M2">
        <v>12084788.541213861</v>
      </c>
      <c r="N2">
        <v>12449749.15515852</v>
      </c>
      <c r="O2">
        <v>12825731.579644309</v>
      </c>
      <c r="P2">
        <v>13213068.67334957</v>
      </c>
      <c r="Q2">
        <v>13612103.347284731</v>
      </c>
    </row>
    <row r="3" spans="1:17" x14ac:dyDescent="0.3">
      <c r="A3" t="s">
        <v>102</v>
      </c>
      <c r="B3">
        <v>2150704</v>
      </c>
      <c r="C3">
        <v>38887</v>
      </c>
      <c r="D3">
        <v>39594</v>
      </c>
      <c r="E3">
        <v>40305</v>
      </c>
      <c r="F3">
        <v>41038</v>
      </c>
      <c r="G3">
        <v>41776</v>
      </c>
      <c r="H3">
        <v>42534</v>
      </c>
      <c r="I3">
        <v>43306</v>
      </c>
      <c r="J3">
        <v>44089</v>
      </c>
      <c r="K3">
        <v>44883</v>
      </c>
      <c r="L3">
        <v>45701</v>
      </c>
      <c r="M3">
        <v>46528</v>
      </c>
      <c r="N3">
        <v>47366</v>
      </c>
      <c r="O3">
        <v>48223</v>
      </c>
      <c r="P3">
        <v>49098</v>
      </c>
      <c r="Q3">
        <v>49984</v>
      </c>
    </row>
    <row r="4" spans="1:17" x14ac:dyDescent="0.3">
      <c r="A4" t="s">
        <v>103</v>
      </c>
      <c r="B4">
        <v>10728</v>
      </c>
      <c r="C4">
        <v>107</v>
      </c>
      <c r="D4">
        <v>108</v>
      </c>
      <c r="E4">
        <v>108</v>
      </c>
      <c r="F4">
        <v>109</v>
      </c>
      <c r="G4">
        <v>110</v>
      </c>
      <c r="H4">
        <v>111</v>
      </c>
      <c r="I4">
        <v>113</v>
      </c>
      <c r="J4">
        <v>114</v>
      </c>
      <c r="K4">
        <v>115</v>
      </c>
      <c r="L4">
        <v>118</v>
      </c>
      <c r="M4">
        <v>118</v>
      </c>
      <c r="N4">
        <v>120</v>
      </c>
      <c r="O4">
        <v>121</v>
      </c>
      <c r="P4">
        <v>122</v>
      </c>
      <c r="Q4">
        <v>124</v>
      </c>
    </row>
    <row r="5" spans="1:17" x14ac:dyDescent="0.3">
      <c r="A5" t="s">
        <v>104</v>
      </c>
      <c r="B5">
        <v>46540</v>
      </c>
      <c r="C5">
        <v>232</v>
      </c>
      <c r="D5">
        <v>232</v>
      </c>
      <c r="E5">
        <v>235</v>
      </c>
      <c r="F5">
        <v>235</v>
      </c>
      <c r="G5">
        <v>237</v>
      </c>
      <c r="H5">
        <v>237</v>
      </c>
      <c r="I5">
        <v>237</v>
      </c>
      <c r="J5">
        <v>239</v>
      </c>
      <c r="K5">
        <v>239</v>
      </c>
      <c r="L5">
        <v>239</v>
      </c>
      <c r="M5">
        <v>241</v>
      </c>
      <c r="N5">
        <v>241</v>
      </c>
      <c r="O5">
        <v>244</v>
      </c>
      <c r="P5">
        <v>247</v>
      </c>
      <c r="Q5">
        <v>250</v>
      </c>
    </row>
    <row r="6" spans="1:17" x14ac:dyDescent="0.3">
      <c r="A6" t="s">
        <v>133</v>
      </c>
      <c r="B6">
        <v>29192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138.76</v>
      </c>
      <c r="C7">
        <v>138.76</v>
      </c>
      <c r="D7">
        <v>138.76</v>
      </c>
      <c r="E7">
        <v>138.76</v>
      </c>
      <c r="F7">
        <v>138.76</v>
      </c>
      <c r="G7">
        <v>138.76</v>
      </c>
      <c r="H7">
        <v>138.76</v>
      </c>
      <c r="I7">
        <v>138.76</v>
      </c>
      <c r="J7">
        <v>138.76</v>
      </c>
      <c r="K7">
        <v>138.76</v>
      </c>
      <c r="L7">
        <v>138.76</v>
      </c>
      <c r="M7">
        <v>138.76</v>
      </c>
      <c r="N7">
        <v>138.76</v>
      </c>
      <c r="O7">
        <v>138.76</v>
      </c>
      <c r="P7">
        <v>138.76</v>
      </c>
      <c r="Q7">
        <v>138.76</v>
      </c>
    </row>
    <row r="8" spans="1:17" x14ac:dyDescent="0.3">
      <c r="A8" t="s">
        <v>135</v>
      </c>
      <c r="B8">
        <v>302.34666666666669</v>
      </c>
      <c r="C8">
        <v>302.34666666666669</v>
      </c>
      <c r="D8">
        <v>302.34666666666669</v>
      </c>
      <c r="E8">
        <v>302.34666666666669</v>
      </c>
      <c r="F8">
        <v>302.34666666666669</v>
      </c>
      <c r="G8">
        <v>302.34666666666669</v>
      </c>
      <c r="H8">
        <v>302.34666666666669</v>
      </c>
      <c r="I8">
        <v>302.34666666666669</v>
      </c>
      <c r="J8">
        <v>302.34666666666669</v>
      </c>
      <c r="K8">
        <v>302.34666666666669</v>
      </c>
      <c r="L8">
        <v>302.34666666666669</v>
      </c>
      <c r="M8">
        <v>302.34666666666669</v>
      </c>
      <c r="N8">
        <v>302.34666666666669</v>
      </c>
      <c r="O8">
        <v>302.34666666666669</v>
      </c>
      <c r="P8">
        <v>302.34666666666669</v>
      </c>
      <c r="Q8">
        <v>302.34666666666669</v>
      </c>
    </row>
    <row r="9" spans="1:17" x14ac:dyDescent="0.3">
      <c r="A9" t="s">
        <v>136</v>
      </c>
      <c r="B9">
        <v>717.59199999999998</v>
      </c>
      <c r="C9">
        <v>717.5920000000001</v>
      </c>
      <c r="D9">
        <v>717.5920000000001</v>
      </c>
      <c r="E9">
        <v>717.59199999999998</v>
      </c>
      <c r="F9">
        <v>717.59199999999998</v>
      </c>
      <c r="G9">
        <v>717.59199999999998</v>
      </c>
      <c r="H9">
        <v>717.59199999999998</v>
      </c>
      <c r="I9">
        <v>717.59199999999998</v>
      </c>
      <c r="J9">
        <v>717.5920000000001</v>
      </c>
      <c r="K9">
        <v>717.5920000000001</v>
      </c>
      <c r="L9">
        <v>717.5920000000001</v>
      </c>
      <c r="M9">
        <v>717.5920000000001</v>
      </c>
      <c r="N9">
        <v>717.5920000000001</v>
      </c>
      <c r="O9">
        <v>717.5920000000001</v>
      </c>
      <c r="P9">
        <v>717.59199999999998</v>
      </c>
      <c r="Q9">
        <v>717.59199999999998</v>
      </c>
    </row>
    <row r="10" spans="1:17" x14ac:dyDescent="0.3">
      <c r="A10" t="s">
        <v>137</v>
      </c>
      <c r="B10">
        <v>822.34666666666669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40518494.171999998</v>
      </c>
      <c r="C11">
        <v>719836.32600000012</v>
      </c>
      <c r="D11">
        <v>732828.83399999992</v>
      </c>
      <c r="E11">
        <v>745931.44799999997</v>
      </c>
      <c r="F11">
        <v>759401.08199999994</v>
      </c>
      <c r="G11">
        <v>772999.17299999995</v>
      </c>
      <c r="H11">
        <v>786927.58199999994</v>
      </c>
      <c r="I11">
        <v>801131.25599999982</v>
      </c>
      <c r="J11">
        <v>815555.14199999999</v>
      </c>
      <c r="K11">
        <v>830144.18699999992</v>
      </c>
      <c r="L11">
        <v>845210.35800000001</v>
      </c>
      <c r="M11">
        <v>860423.33700000006</v>
      </c>
      <c r="N11">
        <v>875838.17699999991</v>
      </c>
      <c r="O11">
        <v>891638.38799999992</v>
      </c>
      <c r="P11">
        <v>907768.9169999999</v>
      </c>
      <c r="Q11">
        <v>924119.65800000005</v>
      </c>
    </row>
    <row r="12" spans="1:17" x14ac:dyDescent="0.3">
      <c r="A12" t="s">
        <v>141</v>
      </c>
      <c r="B12">
        <v>3044677.1789473691</v>
      </c>
      <c r="C12">
        <v>54090.589473684217</v>
      </c>
      <c r="D12">
        <v>55066.884210526317</v>
      </c>
      <c r="E12">
        <v>56051.452631578963</v>
      </c>
      <c r="F12">
        <v>57063.600000000013</v>
      </c>
      <c r="G12">
        <v>58085.400000000009</v>
      </c>
      <c r="H12">
        <v>59132.021052631579</v>
      </c>
      <c r="I12">
        <v>60199.326315789483</v>
      </c>
      <c r="J12">
        <v>61283.178947368433</v>
      </c>
      <c r="K12">
        <v>62379.442105263159</v>
      </c>
      <c r="L12">
        <v>63511.557894736841</v>
      </c>
      <c r="M12">
        <v>64654.705263157899</v>
      </c>
      <c r="N12">
        <v>65813.021052631579</v>
      </c>
      <c r="O12">
        <v>67000.294736842101</v>
      </c>
      <c r="P12">
        <v>68212.389473684205</v>
      </c>
      <c r="Q12">
        <v>69441.031578947368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490752.76851234172</v>
      </c>
      <c r="C14">
        <v>490752.76851234172</v>
      </c>
      <c r="D14">
        <v>490752.76851234172</v>
      </c>
      <c r="E14">
        <v>490752.76851234172</v>
      </c>
      <c r="F14">
        <v>490752.76851234172</v>
      </c>
      <c r="G14">
        <v>490752.76851234172</v>
      </c>
      <c r="H14">
        <v>490752.76851234172</v>
      </c>
      <c r="I14">
        <v>490752.76851234172</v>
      </c>
      <c r="J14">
        <v>490752.76851234172</v>
      </c>
      <c r="K14">
        <v>490752.76851234172</v>
      </c>
      <c r="L14">
        <v>490752.76851234172</v>
      </c>
      <c r="M14">
        <v>490752.76851234172</v>
      </c>
      <c r="N14">
        <v>490752.76851234172</v>
      </c>
      <c r="O14">
        <v>490752.76851234172</v>
      </c>
      <c r="P14">
        <v>491409.80653769191</v>
      </c>
      <c r="Q14">
        <v>491409.80653769191</v>
      </c>
    </row>
    <row r="15" spans="1:17" x14ac:dyDescent="0.3">
      <c r="A15" t="s">
        <v>85</v>
      </c>
      <c r="B15">
        <v>17631370.807204809</v>
      </c>
      <c r="C15">
        <v>17944603.10873916</v>
      </c>
      <c r="D15">
        <v>18263489.019346241</v>
      </c>
      <c r="E15">
        <v>18588076.450967312</v>
      </c>
      <c r="F15">
        <v>18918525.11007338</v>
      </c>
      <c r="G15">
        <v>19254890.893929292</v>
      </c>
      <c r="H15">
        <v>19597317.538358908</v>
      </c>
      <c r="I15">
        <v>19945924.823215481</v>
      </c>
      <c r="J15">
        <v>20300808.57238159</v>
      </c>
      <c r="K15">
        <v>20662040.65376918</v>
      </c>
      <c r="L15">
        <v>21029828.685790531</v>
      </c>
      <c r="M15">
        <v>21404236.55103403</v>
      </c>
      <c r="N15">
        <v>21785352.08805871</v>
      </c>
      <c r="O15">
        <v>22173342.98865911</v>
      </c>
      <c r="P15">
        <v>22568352.98865911</v>
      </c>
      <c r="Q15">
        <v>22970477.911941301</v>
      </c>
    </row>
    <row r="16" spans="1:17" x14ac:dyDescent="0.3">
      <c r="A16" t="s">
        <v>142</v>
      </c>
      <c r="B16">
        <v>2502387.6348421052</v>
      </c>
      <c r="C16">
        <v>2546844.112263158</v>
      </c>
      <c r="D16">
        <v>2592102.9958947371</v>
      </c>
      <c r="E16">
        <v>2638171.0857894728</v>
      </c>
      <c r="F16">
        <v>2685071.0487894728</v>
      </c>
      <c r="G16">
        <v>2732810.8182894741</v>
      </c>
      <c r="H16">
        <v>2781410.794447368</v>
      </c>
      <c r="I16">
        <v>2830887.9773947368</v>
      </c>
      <c r="J16">
        <v>2881255.967236842</v>
      </c>
      <c r="K16">
        <v>2932524.964052632</v>
      </c>
      <c r="L16">
        <v>2984724.4347368409</v>
      </c>
      <c r="M16">
        <v>3037863.4460263159</v>
      </c>
      <c r="N16">
        <v>3091954.4646842112</v>
      </c>
      <c r="O16">
        <v>3147021.290894737</v>
      </c>
      <c r="P16">
        <v>3203084.3248157888</v>
      </c>
      <c r="Q16">
        <v>3260157.1665526312</v>
      </c>
    </row>
    <row r="17" spans="1:17" x14ac:dyDescent="0.3">
      <c r="A17" t="s">
        <v>86</v>
      </c>
      <c r="B17">
        <v>2742301.2239999999</v>
      </c>
      <c r="C17">
        <v>2791019.9160000002</v>
      </c>
      <c r="D17">
        <v>2840617.9440000011</v>
      </c>
      <c r="E17">
        <v>2891102.76</v>
      </c>
      <c r="F17">
        <v>2942499.2039999999</v>
      </c>
      <c r="G17">
        <v>2994815.9700000011</v>
      </c>
      <c r="H17">
        <v>3048075.4139999999</v>
      </c>
      <c r="I17">
        <v>3102296.1660000002</v>
      </c>
      <c r="J17">
        <v>3157493.13</v>
      </c>
      <c r="K17">
        <v>3213677.4840000011</v>
      </c>
      <c r="L17">
        <v>3270881.52</v>
      </c>
      <c r="M17">
        <v>3329115.174000001</v>
      </c>
      <c r="N17">
        <v>3388392.108</v>
      </c>
      <c r="O17">
        <v>3448738.4040000001</v>
      </c>
      <c r="P17">
        <v>3510176.418000001</v>
      </c>
      <c r="Q17">
        <v>3572721.054</v>
      </c>
    </row>
    <row r="18" spans="1:17" x14ac:dyDescent="0.3">
      <c r="A18" t="s">
        <v>87</v>
      </c>
      <c r="B18">
        <v>6223259.8931999998</v>
      </c>
      <c r="C18">
        <v>6335652.1157999998</v>
      </c>
      <c r="D18">
        <v>6450070.6997999996</v>
      </c>
      <c r="E18">
        <v>6566561.8073999994</v>
      </c>
      <c r="F18">
        <v>6685174.7844000002</v>
      </c>
      <c r="G18">
        <v>6805903.2636000002</v>
      </c>
      <c r="H18">
        <v>6928809.3251999998</v>
      </c>
      <c r="I18">
        <v>7054002.8033999996</v>
      </c>
      <c r="J18">
        <v>7181397.7410000004</v>
      </c>
      <c r="K18">
        <v>7311124.6655999999</v>
      </c>
      <c r="L18">
        <v>7443161.2920000004</v>
      </c>
      <c r="M18">
        <v>7577638.1478000004</v>
      </c>
      <c r="N18">
        <v>7714505.8872000007</v>
      </c>
      <c r="O18">
        <v>7853852.0592</v>
      </c>
      <c r="P18">
        <v>7995718.0505999997</v>
      </c>
      <c r="Q18">
        <v>8140150.0236000009</v>
      </c>
    </row>
    <row r="19" spans="1:17" x14ac:dyDescent="0.3">
      <c r="A19" t="s">
        <v>88</v>
      </c>
      <c r="B19">
        <v>792730.98014400003</v>
      </c>
      <c r="C19">
        <v>807047.64282600011</v>
      </c>
      <c r="D19">
        <v>821622.11781600013</v>
      </c>
      <c r="E19">
        <v>836460.64843200019</v>
      </c>
      <c r="F19">
        <v>851569.47799200006</v>
      </c>
      <c r="G19">
        <v>866947.87198800012</v>
      </c>
      <c r="H19">
        <v>882603.91000799998</v>
      </c>
      <c r="I19">
        <v>898550.81319600018</v>
      </c>
      <c r="J19">
        <v>914778.29844000004</v>
      </c>
      <c r="K19">
        <v>931302.5249160002</v>
      </c>
      <c r="L19">
        <v>948121.65635400009</v>
      </c>
      <c r="M19">
        <v>965251.11742200016</v>
      </c>
      <c r="N19">
        <v>982685.39931000012</v>
      </c>
      <c r="O19">
        <v>1001097.107712</v>
      </c>
      <c r="P19">
        <v>1019854.07748</v>
      </c>
      <c r="Q19">
        <v>1038962.098251</v>
      </c>
    </row>
    <row r="20" spans="1:17" x14ac:dyDescent="0.3">
      <c r="A20" t="s">
        <v>89</v>
      </c>
      <c r="B20">
        <v>32537018.691531461</v>
      </c>
      <c r="C20">
        <v>33519636.65601572</v>
      </c>
      <c r="D20">
        <v>34531929.683027387</v>
      </c>
      <c r="E20">
        <v>35574793.95945482</v>
      </c>
      <c r="F20">
        <v>36649152.737030357</v>
      </c>
      <c r="G20">
        <v>37755957.149688669</v>
      </c>
      <c r="H20">
        <v>38896187.055609271</v>
      </c>
      <c r="I20">
        <v>40070851.904688671</v>
      </c>
      <c r="J20">
        <v>41280991.63221027</v>
      </c>
      <c r="K20">
        <v>42527677.579503007</v>
      </c>
      <c r="L20">
        <v>43812013.442404009</v>
      </c>
      <c r="M20">
        <v>45135136.248364612</v>
      </c>
      <c r="N20">
        <v>46498217.36306522</v>
      </c>
      <c r="O20">
        <v>47902463.527429789</v>
      </c>
      <c r="P20">
        <v>49349117.925958171</v>
      </c>
      <c r="Q20">
        <v>50839461.287322097</v>
      </c>
    </row>
    <row r="21" spans="1:17" x14ac:dyDescent="0.3">
      <c r="A21" t="s">
        <v>90</v>
      </c>
      <c r="B21">
        <v>725878.99896777514</v>
      </c>
      <c r="C21">
        <v>725878.99896777514</v>
      </c>
      <c r="D21">
        <v>725878.99896777514</v>
      </c>
      <c r="E21">
        <v>725878.99896777514</v>
      </c>
      <c r="F21">
        <v>725878.99896777514</v>
      </c>
      <c r="G21">
        <v>725878.99896777514</v>
      </c>
      <c r="H21">
        <v>725878.99896777514</v>
      </c>
      <c r="I21">
        <v>725878.99896777514</v>
      </c>
      <c r="J21">
        <v>725878.99896777514</v>
      </c>
      <c r="K21">
        <v>725878.99896777514</v>
      </c>
      <c r="L21">
        <v>725878.99896777514</v>
      </c>
      <c r="M21">
        <v>725878.99896777514</v>
      </c>
      <c r="N21">
        <v>725878.99896777514</v>
      </c>
      <c r="O21">
        <v>725878.99896777514</v>
      </c>
      <c r="P21">
        <v>725878.99896777514</v>
      </c>
      <c r="Q21">
        <v>725878.99896777514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5440218.1706560198</v>
      </c>
      <c r="C24">
        <v>5912243.4653481962</v>
      </c>
      <c r="D24">
        <v>6359973.9476904152</v>
      </c>
      <c r="E24">
        <v>6787205.8546934323</v>
      </c>
      <c r="F24">
        <v>7196281.8847590014</v>
      </c>
      <c r="G24">
        <v>7587768.5775169767</v>
      </c>
      <c r="H24">
        <v>7954954.2979053482</v>
      </c>
      <c r="I24">
        <v>8308522.92574088</v>
      </c>
      <c r="J24">
        <v>8645688.0725288074</v>
      </c>
      <c r="K24">
        <v>8962025.433625361</v>
      </c>
      <c r="L24">
        <v>9265824.0785858426</v>
      </c>
      <c r="M24">
        <v>9550929.684986975</v>
      </c>
      <c r="N24">
        <v>9827405.7281233929</v>
      </c>
      <c r="O24">
        <v>10081070.36351143</v>
      </c>
      <c r="P24">
        <v>10321312.911054781</v>
      </c>
      <c r="Q24">
        <v>10550286.44555084</v>
      </c>
    </row>
    <row r="25" spans="1:17" x14ac:dyDescent="0.3">
      <c r="A25" t="s">
        <v>93</v>
      </c>
      <c r="B25">
        <v>2689579.02672</v>
      </c>
      <c r="C25">
        <v>2738152.6243799999</v>
      </c>
      <c r="D25">
        <v>2787600.92808</v>
      </c>
      <c r="E25">
        <v>2837945.1201599999</v>
      </c>
      <c r="F25">
        <v>2889206.3829600001</v>
      </c>
      <c r="G25">
        <v>2941382.22444</v>
      </c>
      <c r="H25">
        <v>2994500.0570399999</v>
      </c>
      <c r="I25">
        <v>3048604.7374800011</v>
      </c>
      <c r="J25">
        <v>3103661.3772</v>
      </c>
      <c r="K25">
        <v>3159724.8010800001</v>
      </c>
      <c r="L25">
        <v>3216788.7790199998</v>
      </c>
      <c r="M25">
        <v>3274905.6438600002</v>
      </c>
      <c r="N25">
        <v>3334056.7053</v>
      </c>
      <c r="O25">
        <v>3394278.097920001</v>
      </c>
      <c r="P25">
        <v>3455589.7580400002</v>
      </c>
      <c r="Q25">
        <v>3518009.1299399999</v>
      </c>
    </row>
    <row r="26" spans="1:17" x14ac:dyDescent="0.3">
      <c r="A26" t="s">
        <v>94</v>
      </c>
      <c r="B26">
        <v>1901322.770454546</v>
      </c>
      <c r="C26">
        <v>1902723.1268181819</v>
      </c>
      <c r="D26">
        <v>1904162.447727273</v>
      </c>
      <c r="E26">
        <v>1925148.1104545449</v>
      </c>
      <c r="F26">
        <v>1929663.072272727</v>
      </c>
      <c r="G26">
        <v>1932601.793181818</v>
      </c>
      <c r="H26">
        <v>1934717.5909090911</v>
      </c>
      <c r="I26">
        <v>1936782.396818182</v>
      </c>
      <c r="J26">
        <v>1952790.8877272729</v>
      </c>
      <c r="K26">
        <v>1956927.7063636361</v>
      </c>
      <c r="L26">
        <v>1960203.582272728</v>
      </c>
      <c r="M26">
        <v>1963487.3713636361</v>
      </c>
      <c r="N26">
        <v>1967381.2581818181</v>
      </c>
      <c r="O26">
        <v>1973174.022272727</v>
      </c>
      <c r="P26">
        <v>1978983.844090909</v>
      </c>
      <c r="Q26">
        <v>1984810.761818182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AF39-0530-45BF-9796-549582385426}">
  <sheetPr>
    <tabColor theme="5" tint="-0.499984740745262"/>
  </sheetPr>
  <dimension ref="B2:X79"/>
  <sheetViews>
    <sheetView topLeftCell="A41" zoomScale="80" zoomScaleNormal="80" workbookViewId="0">
      <selection activeCell="B58" sqref="B58:U79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71" t="s">
        <v>50</v>
      </c>
      <c r="C2" s="71"/>
      <c r="D2" s="71"/>
      <c r="E2" s="71"/>
      <c r="G2" s="71" t="s">
        <v>41</v>
      </c>
      <c r="H2" s="71"/>
      <c r="I2" s="71"/>
      <c r="J2" s="71"/>
      <c r="K2" s="7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70" t="s">
        <v>51</v>
      </c>
      <c r="C4" s="70"/>
      <c r="D4" s="70" t="s">
        <v>40</v>
      </c>
      <c r="E4" s="70"/>
      <c r="G4" s="70" t="s">
        <v>17</v>
      </c>
      <c r="H4" s="70"/>
      <c r="I4" s="70"/>
      <c r="J4" s="18">
        <v>0.06</v>
      </c>
      <c r="K4" s="16" t="s">
        <v>29</v>
      </c>
      <c r="L4" s="72"/>
      <c r="M4" s="72"/>
      <c r="N4" s="72"/>
      <c r="O4" s="72"/>
      <c r="P4" s="72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72" t="s">
        <v>52</v>
      </c>
      <c r="C5" s="72"/>
      <c r="D5" s="72" t="s">
        <v>149</v>
      </c>
      <c r="E5" s="72"/>
      <c r="G5" s="70" t="s">
        <v>46</v>
      </c>
      <c r="H5" s="70"/>
      <c r="I5" s="70"/>
      <c r="J5" s="19">
        <v>15</v>
      </c>
      <c r="K5" s="20" t="s">
        <v>47</v>
      </c>
      <c r="L5" s="84"/>
      <c r="M5" s="84"/>
      <c r="N5" s="84"/>
      <c r="O5" s="84"/>
      <c r="P5" s="84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72" t="s">
        <v>53</v>
      </c>
      <c r="C6" s="72"/>
      <c r="D6" s="72" t="s">
        <v>149</v>
      </c>
      <c r="E6" s="72"/>
      <c r="G6" s="83" t="s">
        <v>106</v>
      </c>
      <c r="H6" s="83"/>
      <c r="I6" s="83"/>
      <c r="J6" s="20">
        <v>10</v>
      </c>
      <c r="K6" s="20" t="s">
        <v>47</v>
      </c>
      <c r="L6" s="84"/>
      <c r="M6" s="84"/>
      <c r="N6" s="84"/>
      <c r="O6" s="84"/>
      <c r="P6" s="84"/>
    </row>
    <row r="7" spans="2:21" x14ac:dyDescent="0.3">
      <c r="B7" s="72" t="s">
        <v>54</v>
      </c>
      <c r="C7" s="72"/>
      <c r="D7" s="72" t="s">
        <v>149</v>
      </c>
      <c r="E7" s="72"/>
      <c r="G7" s="83" t="s">
        <v>128</v>
      </c>
      <c r="H7" s="83"/>
      <c r="I7" s="83"/>
      <c r="J7" s="21">
        <f>(SUMIF($F$12:$U$12,"&lt;="&amp;$J$6,$F$17:$U$17)) / ($J$6)</f>
        <v>257281.7</v>
      </c>
      <c r="K7" s="20" t="s">
        <v>107</v>
      </c>
      <c r="L7" s="84" t="str">
        <f>"Razonable para chile en torno a 1M y 1,5M por año."</f>
        <v>Razonable para chile en torno a 1M y 1,5M por año.</v>
      </c>
      <c r="M7" s="84"/>
      <c r="N7" s="84"/>
      <c r="O7" s="84"/>
      <c r="P7" s="84"/>
    </row>
    <row r="8" spans="2:21" x14ac:dyDescent="0.3">
      <c r="B8" s="72" t="s">
        <v>55</v>
      </c>
      <c r="C8" s="72"/>
      <c r="D8" s="72" t="s">
        <v>149</v>
      </c>
      <c r="E8" s="72"/>
      <c r="G8" s="83" t="s">
        <v>129</v>
      </c>
      <c r="H8" s="83"/>
      <c r="I8" s="83"/>
      <c r="J8" s="21">
        <f>(SUMIF($F$12:$U$12,"&lt;="&amp;$J$6,$F$18:$U$18)) / ($J$6)</f>
        <v>1184.0999999999999</v>
      </c>
      <c r="K8" s="20" t="s">
        <v>107</v>
      </c>
      <c r="L8" s="84" t="str">
        <f t="shared" ref="L8:L9" si="0">"Razonable para chile en torno a 1M y 1,5M por año."</f>
        <v>Razonable para chile en torno a 1M y 1,5M por año.</v>
      </c>
      <c r="M8" s="84"/>
      <c r="N8" s="84"/>
      <c r="O8" s="84"/>
      <c r="P8" s="84"/>
    </row>
    <row r="9" spans="2:21" x14ac:dyDescent="0.3">
      <c r="B9" s="72" t="s">
        <v>56</v>
      </c>
      <c r="C9" s="72"/>
      <c r="D9" s="72" t="s">
        <v>149</v>
      </c>
      <c r="E9" s="72"/>
      <c r="G9" s="83" t="s">
        <v>130</v>
      </c>
      <c r="H9" s="83"/>
      <c r="I9" s="83"/>
      <c r="J9" s="21">
        <f>(SUMIF($F$12:$U$12,"&lt;="&amp;$J$6,$F$19:$U$19)) / ($J$6)</f>
        <v>4890.2</v>
      </c>
      <c r="K9" s="20" t="s">
        <v>107</v>
      </c>
      <c r="L9" s="84" t="str">
        <f t="shared" si="0"/>
        <v>Razonable para chile en torno a 1M y 1,5M por año.</v>
      </c>
      <c r="M9" s="84"/>
      <c r="N9" s="84"/>
      <c r="O9" s="84"/>
      <c r="P9" s="84"/>
    </row>
    <row r="12" spans="2:21" x14ac:dyDescent="0.3">
      <c r="B12" s="44" t="s">
        <v>121</v>
      </c>
      <c r="C12" s="44"/>
      <c r="D12" s="44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45"/>
      <c r="C13" s="45"/>
      <c r="D13" s="45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2:21" x14ac:dyDescent="0.3">
      <c r="B15" s="64" t="s">
        <v>122</v>
      </c>
      <c r="C15" s="67" t="s">
        <v>138</v>
      </c>
      <c r="D15" s="68"/>
      <c r="E15" s="68"/>
      <c r="F15" s="4">
        <f>CB_SMI_Mixto_MEDIA!B2/1000</f>
        <v>8711.6828114798882</v>
      </c>
      <c r="G15" s="4">
        <f>CB_SMI_Mixto_MEDIA!C2/1000</f>
        <v>8974.7756323865797</v>
      </c>
      <c r="H15" s="4">
        <f>CB_SMI_Mixto_MEDIA!D2/1000</f>
        <v>9245.8138564846558</v>
      </c>
      <c r="I15" s="4">
        <f>CB_SMI_Mixto_MEDIA!E2/1000</f>
        <v>9525.0374349504909</v>
      </c>
      <c r="J15" s="4">
        <f>CB_SMI_Mixto_MEDIA!F2/1000</f>
        <v>9812.6935654859972</v>
      </c>
      <c r="K15" s="4">
        <f>CB_SMI_Mixto_MEDIA!G2/1000</f>
        <v>10109.036911163668</v>
      </c>
      <c r="L15" s="4">
        <f>CB_SMI_Mixto_MEDIA!H2/1000</f>
        <v>10414.329825880819</v>
      </c>
      <c r="M15" s="4">
        <f>CB_SMI_Mixto_MEDIA!I2/1000</f>
        <v>10728.842586622421</v>
      </c>
      <c r="N15" s="4">
        <f>CB_SMI_Mixto_MEDIA!J2/1000</f>
        <v>11052.853632738421</v>
      </c>
      <c r="O15" s="4">
        <f>CB_SMI_Mixto_MEDIA!K2/1000</f>
        <v>11386.64981244712</v>
      </c>
      <c r="P15" s="4">
        <f>CB_SMI_Mixto_MEDIA!L2/1000</f>
        <v>11730.526636783021</v>
      </c>
      <c r="Q15" s="4">
        <f>CB_SMI_Mixto_MEDIA!M2/1000</f>
        <v>12084.78854121386</v>
      </c>
      <c r="R15" s="4">
        <f>CB_SMI_Mixto_MEDIA!N2/1000</f>
        <v>12449.749155158519</v>
      </c>
      <c r="S15" s="4">
        <f>CB_SMI_Mixto_MEDIA!O2/1000</f>
        <v>12825.731579644309</v>
      </c>
      <c r="T15" s="4">
        <f>CB_SMI_Mixto_MEDIA!P2/1000</f>
        <v>13213.068673349571</v>
      </c>
      <c r="U15" s="4">
        <f>CB_SMI_Mixto_MEDIA!Q2/1000</f>
        <v>13612.10334728473</v>
      </c>
    </row>
    <row r="16" spans="2:21" x14ac:dyDescent="0.3">
      <c r="B16" s="65"/>
      <c r="C16" s="6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2:21" x14ac:dyDescent="0.3">
      <c r="B17" s="65"/>
      <c r="C17" s="46" t="s">
        <v>115</v>
      </c>
      <c r="D17" s="47"/>
      <c r="E17" s="47"/>
      <c r="F17" s="12">
        <f>CB_SMI_Mixto_MEDIA!B3</f>
        <v>2150704</v>
      </c>
      <c r="G17" s="12">
        <f>CB_SMI_Mixto_MEDIA!C3</f>
        <v>38887</v>
      </c>
      <c r="H17" s="12">
        <f>CB_SMI_Mixto_MEDIA!D3</f>
        <v>39594</v>
      </c>
      <c r="I17" s="12">
        <f>CB_SMI_Mixto_MEDIA!E3</f>
        <v>40305</v>
      </c>
      <c r="J17" s="12">
        <f>CB_SMI_Mixto_MEDIA!F3</f>
        <v>41038</v>
      </c>
      <c r="K17" s="12">
        <f>CB_SMI_Mixto_MEDIA!G3</f>
        <v>41776</v>
      </c>
      <c r="L17" s="12">
        <f>CB_SMI_Mixto_MEDIA!H3</f>
        <v>42534</v>
      </c>
      <c r="M17" s="12">
        <f>CB_SMI_Mixto_MEDIA!I3</f>
        <v>43306</v>
      </c>
      <c r="N17" s="12">
        <f>CB_SMI_Mixto_MEDIA!J3</f>
        <v>44089</v>
      </c>
      <c r="O17" s="12">
        <f>CB_SMI_Mixto_MEDIA!K3</f>
        <v>44883</v>
      </c>
      <c r="P17" s="12">
        <f>CB_SMI_Mixto_MEDIA!L3</f>
        <v>45701</v>
      </c>
      <c r="Q17" s="12">
        <f>CB_SMI_Mixto_MEDIA!M3</f>
        <v>46528</v>
      </c>
      <c r="R17" s="12">
        <f>CB_SMI_Mixto_MEDIA!N3</f>
        <v>47366</v>
      </c>
      <c r="S17" s="12">
        <f>CB_SMI_Mixto_MEDIA!O3</f>
        <v>48223</v>
      </c>
      <c r="T17" s="12">
        <f>CB_SMI_Mixto_MEDIA!P3</f>
        <v>49098</v>
      </c>
      <c r="U17" s="12">
        <f>CB_SMI_Mixto_MEDIA!Q3</f>
        <v>49984</v>
      </c>
    </row>
    <row r="18" spans="2:21" x14ac:dyDescent="0.3">
      <c r="B18" s="65"/>
      <c r="C18" s="46" t="s">
        <v>116</v>
      </c>
      <c r="D18" s="47"/>
      <c r="E18" s="47"/>
      <c r="F18" s="12">
        <f>CB_SMI_Mixto_MEDIA!B4</f>
        <v>10728</v>
      </c>
      <c r="G18" s="12">
        <f>CB_SMI_Mixto_MEDIA!C4</f>
        <v>107</v>
      </c>
      <c r="H18" s="12">
        <f>CB_SMI_Mixto_MEDIA!D4</f>
        <v>108</v>
      </c>
      <c r="I18" s="12">
        <f>CB_SMI_Mixto_MEDIA!E4</f>
        <v>108</v>
      </c>
      <c r="J18" s="12">
        <f>CB_SMI_Mixto_MEDIA!F4</f>
        <v>109</v>
      </c>
      <c r="K18" s="12">
        <f>CB_SMI_Mixto_MEDIA!G4</f>
        <v>110</v>
      </c>
      <c r="L18" s="12">
        <f>CB_SMI_Mixto_MEDIA!H4</f>
        <v>111</v>
      </c>
      <c r="M18" s="12">
        <f>CB_SMI_Mixto_MEDIA!I4</f>
        <v>113</v>
      </c>
      <c r="N18" s="12">
        <f>CB_SMI_Mixto_MEDIA!J4</f>
        <v>114</v>
      </c>
      <c r="O18" s="12">
        <f>CB_SMI_Mixto_MEDIA!K4</f>
        <v>115</v>
      </c>
      <c r="P18" s="12">
        <f>CB_SMI_Mixto_MEDIA!L4</f>
        <v>118</v>
      </c>
      <c r="Q18" s="12">
        <f>CB_SMI_Mixto_MEDIA!M4</f>
        <v>118</v>
      </c>
      <c r="R18" s="12">
        <f>CB_SMI_Mixto_MEDIA!N4</f>
        <v>120</v>
      </c>
      <c r="S18" s="12">
        <f>CB_SMI_Mixto_MEDIA!O4</f>
        <v>121</v>
      </c>
      <c r="T18" s="12">
        <f>CB_SMI_Mixto_MEDIA!P4</f>
        <v>122</v>
      </c>
      <c r="U18" s="12">
        <f>CB_SMI_Mixto_MEDIA!Q4</f>
        <v>124</v>
      </c>
    </row>
    <row r="19" spans="2:21" x14ac:dyDescent="0.3">
      <c r="B19" s="66"/>
      <c r="C19" s="46" t="s">
        <v>117</v>
      </c>
      <c r="D19" s="47"/>
      <c r="E19" s="47"/>
      <c r="F19" s="13">
        <f>CB_SMI_Mixto_MEDIA!B5</f>
        <v>46540</v>
      </c>
      <c r="G19" s="13">
        <f>CB_SMI_Mixto_MEDIA!C5</f>
        <v>232</v>
      </c>
      <c r="H19" s="13">
        <f>CB_SMI_Mixto_MEDIA!D5</f>
        <v>232</v>
      </c>
      <c r="I19" s="13">
        <f>CB_SMI_Mixto_MEDIA!E5</f>
        <v>235</v>
      </c>
      <c r="J19" s="13">
        <f>CB_SMI_Mixto_MEDIA!F5</f>
        <v>235</v>
      </c>
      <c r="K19" s="13">
        <f>CB_SMI_Mixto_MEDIA!G5</f>
        <v>237</v>
      </c>
      <c r="L19" s="13">
        <f>CB_SMI_Mixto_MEDIA!H5</f>
        <v>237</v>
      </c>
      <c r="M19" s="13">
        <f>CB_SMI_Mixto_MEDIA!I5</f>
        <v>237</v>
      </c>
      <c r="N19" s="13">
        <f>CB_SMI_Mixto_MEDIA!J5</f>
        <v>239</v>
      </c>
      <c r="O19" s="13">
        <f>CB_SMI_Mixto_MEDIA!K5</f>
        <v>239</v>
      </c>
      <c r="P19" s="13">
        <f>CB_SMI_Mixto_MEDIA!L5</f>
        <v>239</v>
      </c>
      <c r="Q19" s="13">
        <f>CB_SMI_Mixto_MEDIA!M5</f>
        <v>241</v>
      </c>
      <c r="R19" s="13">
        <f>CB_SMI_Mixto_MEDIA!N5</f>
        <v>241</v>
      </c>
      <c r="S19" s="13">
        <f>CB_SMI_Mixto_MEDIA!O5</f>
        <v>244</v>
      </c>
      <c r="T19" s="13">
        <f>CB_SMI_Mixto_MEDIA!P5</f>
        <v>247</v>
      </c>
      <c r="U19" s="13">
        <f>CB_SMI_Mixto_MEDIA!Q5</f>
        <v>250</v>
      </c>
    </row>
    <row r="20" spans="2:21" x14ac:dyDescent="0.3">
      <c r="B20" s="1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x14ac:dyDescent="0.3">
      <c r="B21" s="75" t="s">
        <v>105</v>
      </c>
      <c r="C21" s="50" t="s">
        <v>125</v>
      </c>
      <c r="D21" s="51"/>
      <c r="E21" s="51"/>
      <c r="F21" s="9">
        <v>0</v>
      </c>
      <c r="G21" s="11">
        <f>IF(G$12&lt;=$J$6,$J7,G17)</f>
        <v>257281.7</v>
      </c>
      <c r="H21" s="11">
        <f t="shared" ref="H21:U23" si="1">IF(H$12&lt;=$J$6,$J7,H17)</f>
        <v>257281.7</v>
      </c>
      <c r="I21" s="11">
        <f t="shared" si="1"/>
        <v>257281.7</v>
      </c>
      <c r="J21" s="11">
        <f t="shared" si="1"/>
        <v>257281.7</v>
      </c>
      <c r="K21" s="11">
        <f t="shared" si="1"/>
        <v>257281.7</v>
      </c>
      <c r="L21" s="11">
        <f t="shared" si="1"/>
        <v>257281.7</v>
      </c>
      <c r="M21" s="11">
        <f t="shared" si="1"/>
        <v>257281.7</v>
      </c>
      <c r="N21" s="11">
        <f t="shared" si="1"/>
        <v>257281.7</v>
      </c>
      <c r="O21" s="11">
        <f t="shared" si="1"/>
        <v>257281.7</v>
      </c>
      <c r="P21" s="11">
        <f t="shared" si="1"/>
        <v>257281.7</v>
      </c>
      <c r="Q21" s="11">
        <f t="shared" si="1"/>
        <v>46528</v>
      </c>
      <c r="R21" s="11">
        <f t="shared" si="1"/>
        <v>47366</v>
      </c>
      <c r="S21" s="11">
        <f t="shared" si="1"/>
        <v>48223</v>
      </c>
      <c r="T21" s="11">
        <f t="shared" si="1"/>
        <v>49098</v>
      </c>
      <c r="U21" s="11">
        <f t="shared" si="1"/>
        <v>49984</v>
      </c>
    </row>
    <row r="22" spans="2:21" x14ac:dyDescent="0.3">
      <c r="B22" s="76"/>
      <c r="C22" s="50" t="s">
        <v>126</v>
      </c>
      <c r="D22" s="51"/>
      <c r="E22" s="51"/>
      <c r="F22" s="9">
        <v>0</v>
      </c>
      <c r="G22" s="11">
        <f>IF(G$12&lt;=$J$6,$J8,G18)</f>
        <v>1184.0999999999999</v>
      </c>
      <c r="H22" s="11">
        <f t="shared" si="1"/>
        <v>1184.0999999999999</v>
      </c>
      <c r="I22" s="11">
        <f t="shared" si="1"/>
        <v>1184.0999999999999</v>
      </c>
      <c r="J22" s="11">
        <f t="shared" si="1"/>
        <v>1184.0999999999999</v>
      </c>
      <c r="K22" s="11">
        <f t="shared" si="1"/>
        <v>1184.0999999999999</v>
      </c>
      <c r="L22" s="11">
        <f t="shared" si="1"/>
        <v>1184.0999999999999</v>
      </c>
      <c r="M22" s="11">
        <f t="shared" si="1"/>
        <v>1184.0999999999999</v>
      </c>
      <c r="N22" s="11">
        <f>IF(N$12&lt;=$J$6,$J8,N18)</f>
        <v>1184.0999999999999</v>
      </c>
      <c r="O22" s="11">
        <f t="shared" si="1"/>
        <v>1184.0999999999999</v>
      </c>
      <c r="P22" s="11">
        <f t="shared" si="1"/>
        <v>1184.0999999999999</v>
      </c>
      <c r="Q22" s="11">
        <f t="shared" si="1"/>
        <v>118</v>
      </c>
      <c r="R22" s="11">
        <f t="shared" si="1"/>
        <v>120</v>
      </c>
      <c r="S22" s="11">
        <f t="shared" si="1"/>
        <v>121</v>
      </c>
      <c r="T22" s="11">
        <f t="shared" si="1"/>
        <v>122</v>
      </c>
      <c r="U22" s="11">
        <f t="shared" si="1"/>
        <v>124</v>
      </c>
    </row>
    <row r="23" spans="2:21" x14ac:dyDescent="0.3">
      <c r="B23" s="76"/>
      <c r="C23" s="50" t="s">
        <v>127</v>
      </c>
      <c r="D23" s="51"/>
      <c r="E23" s="51"/>
      <c r="F23" s="9">
        <v>0</v>
      </c>
      <c r="G23" s="11">
        <f>IF(G$12&lt;=$J$6,$J9,G19)</f>
        <v>4890.2</v>
      </c>
      <c r="H23" s="11">
        <f t="shared" si="1"/>
        <v>4890.2</v>
      </c>
      <c r="I23" s="11">
        <f t="shared" si="1"/>
        <v>4890.2</v>
      </c>
      <c r="J23" s="11">
        <f t="shared" si="1"/>
        <v>4890.2</v>
      </c>
      <c r="K23" s="11">
        <f t="shared" si="1"/>
        <v>4890.2</v>
      </c>
      <c r="L23" s="11">
        <f t="shared" si="1"/>
        <v>4890.2</v>
      </c>
      <c r="M23" s="11">
        <f t="shared" si="1"/>
        <v>4890.2</v>
      </c>
      <c r="N23" s="11">
        <f t="shared" si="1"/>
        <v>4890.2</v>
      </c>
      <c r="O23" s="11">
        <f t="shared" si="1"/>
        <v>4890.2</v>
      </c>
      <c r="P23" s="11">
        <f t="shared" si="1"/>
        <v>4890.2</v>
      </c>
      <c r="Q23" s="11">
        <f t="shared" si="1"/>
        <v>241</v>
      </c>
      <c r="R23" s="11">
        <f t="shared" si="1"/>
        <v>241</v>
      </c>
      <c r="S23" s="11">
        <f t="shared" si="1"/>
        <v>244</v>
      </c>
      <c r="T23" s="11">
        <f t="shared" si="1"/>
        <v>247</v>
      </c>
      <c r="U23" s="11">
        <f t="shared" si="1"/>
        <v>250</v>
      </c>
    </row>
    <row r="24" spans="2:21" x14ac:dyDescent="0.3">
      <c r="B24" s="76"/>
      <c r="C24" s="69" t="s">
        <v>114</v>
      </c>
      <c r="D24" s="49"/>
      <c r="E24" s="49"/>
      <c r="F24" s="4">
        <f>SUM(F17:F19)</f>
        <v>2207972</v>
      </c>
      <c r="G24" s="7">
        <f>SUM(F24,G17:G19)-SUM(G21:G23)</f>
        <v>1983842</v>
      </c>
      <c r="H24" s="7">
        <f t="shared" ref="H24:U24" si="2">SUM(G24,H17:H19)-SUM(H21:H23)</f>
        <v>1760420</v>
      </c>
      <c r="I24" s="7">
        <f t="shared" si="2"/>
        <v>1537712</v>
      </c>
      <c r="J24" s="7">
        <f t="shared" si="2"/>
        <v>1315738</v>
      </c>
      <c r="K24" s="7">
        <f t="shared" si="2"/>
        <v>1094505</v>
      </c>
      <c r="L24" s="7">
        <f t="shared" si="2"/>
        <v>874031</v>
      </c>
      <c r="M24" s="7">
        <f t="shared" si="2"/>
        <v>654331</v>
      </c>
      <c r="N24" s="7">
        <f t="shared" si="2"/>
        <v>435417</v>
      </c>
      <c r="O24" s="7">
        <f t="shared" si="2"/>
        <v>217298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1" x14ac:dyDescent="0.3">
      <c r="B25" s="77"/>
      <c r="C25" s="48" t="s">
        <v>108</v>
      </c>
      <c r="D25" s="48"/>
      <c r="E25" s="48"/>
      <c r="F25" s="17">
        <v>0</v>
      </c>
      <c r="G25" s="17">
        <f>IF(G$12&lt;=$J$6,SUM($F$21:G23)/SUM($F$17:G19),1)</f>
        <v>0.1171930555295973</v>
      </c>
      <c r="H25" s="17">
        <f>IF(H$12&lt;=$J$6,SUM($F$21:H23)/SUM($F$17:H19),1)</f>
        <v>0.23029366035716348</v>
      </c>
      <c r="I25" s="17">
        <f>IF(I$12&lt;=$J$6,SUM($F$21:I23)/SUM($F$17:I19),1)</f>
        <v>0.33940836333330465</v>
      </c>
      <c r="J25" s="17">
        <f>IF(J$12&lt;=$J$6,SUM($F$21:J23)/SUM($F$17:J19),1)</f>
        <v>0.44463991909375544</v>
      </c>
      <c r="K25" s="17">
        <f>IF(K$12&lt;=$J$6,SUM($F$21:K23)/SUM($F$17:K19),1)</f>
        <v>0.54609056996580674</v>
      </c>
      <c r="L25" s="17">
        <f>IF(L$12&lt;=$J$6,SUM($F$21:L23)/SUM($F$17:L19),1)</f>
        <v>0.64385838453536381</v>
      </c>
      <c r="M25" s="17">
        <f>IF(M$12&lt;=$J$6,SUM($F$21:M23)/SUM($F$17:M19),1)</f>
        <v>0.73803948478334946</v>
      </c>
      <c r="N25" s="17">
        <f>IF(N$12&lt;=$J$6,SUM($F$21:N23)/SUM($F$17:N19),1)</f>
        <v>0.82872871238836254</v>
      </c>
      <c r="O25" s="17">
        <f>IF(O$12&lt;=$J$6,SUM($F$21:O23)/SUM($F$17:O19),1)</f>
        <v>0.91602016153031085</v>
      </c>
      <c r="P25" s="17">
        <f>IF(P$12&lt;=$J$6,SUM($F$21:P23)/SUM($F$17:P19),1)</f>
        <v>1.0000000000000011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1" ht="28.2" customHeight="1" x14ac:dyDescent="0.3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2:21" x14ac:dyDescent="0.3">
      <c r="B27" s="55" t="s">
        <v>124</v>
      </c>
      <c r="C27" s="56"/>
      <c r="D27" s="57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1" x14ac:dyDescent="0.3">
      <c r="B28" s="58"/>
      <c r="C28" s="59"/>
      <c r="D28" s="60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</row>
    <row r="29" spans="2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3">
      <c r="B30" s="61" t="s">
        <v>118</v>
      </c>
      <c r="C30" s="52" t="s">
        <v>57</v>
      </c>
      <c r="D30" s="53"/>
      <c r="E30" s="53"/>
      <c r="F30" s="8">
        <v>0</v>
      </c>
      <c r="G30" s="8">
        <f>((-CB_SMI_Mixto_MEDIA!C7)*G21)/1000000</f>
        <v>-35.700408692000003</v>
      </c>
      <c r="H30" s="8">
        <f>((-CB_SMI_Mixto_MEDIA!D7)*H21)/1000000</f>
        <v>-35.700408692000003</v>
      </c>
      <c r="I30" s="8">
        <f>((-CB_SMI_Mixto_MEDIA!E7)*I21)/1000000</f>
        <v>-35.700408692000003</v>
      </c>
      <c r="J30" s="8">
        <f>((-CB_SMI_Mixto_MEDIA!F7)*J21)/1000000</f>
        <v>-35.700408692000003</v>
      </c>
      <c r="K30" s="8">
        <f>((-CB_SMI_Mixto_MEDIA!G7)*K21)/1000000</f>
        <v>-35.700408692000003</v>
      </c>
      <c r="L30" s="8">
        <f>((-CB_SMI_Mixto_MEDIA!H7)*L21)/1000000</f>
        <v>-35.700408692000003</v>
      </c>
      <c r="M30" s="8">
        <f>((-CB_SMI_Mixto_MEDIA!I7)*M21)/1000000</f>
        <v>-35.700408692000003</v>
      </c>
      <c r="N30" s="8">
        <f>((-CB_SMI_Mixto_MEDIA!J7)*N21)/1000000</f>
        <v>-35.700408692000003</v>
      </c>
      <c r="O30" s="8">
        <f>((-CB_SMI_Mixto_MEDIA!K7)*O21)/1000000</f>
        <v>-35.700408692000003</v>
      </c>
      <c r="P30" s="8">
        <f>((-CB_SMI_Mixto_MEDIA!L7)*P21)/1000000</f>
        <v>-35.700408692000003</v>
      </c>
      <c r="Q30" s="8">
        <f>((-CB_SMI_Mixto_MEDIA!M7)*Q21)/1000000</f>
        <v>-6.4562252799999991</v>
      </c>
      <c r="R30" s="8">
        <f>((-CB_SMI_Mixto_MEDIA!N7)*R21)/1000000</f>
        <v>-6.5725061599999997</v>
      </c>
      <c r="S30" s="8">
        <f>((-CB_SMI_Mixto_MEDIA!O7)*S21)/1000000</f>
        <v>-6.6914234799999992</v>
      </c>
      <c r="T30" s="8">
        <f>((-CB_SMI_Mixto_MEDIA!P7)*T21)/1000000</f>
        <v>-6.8128384799999999</v>
      </c>
      <c r="U30" s="8">
        <f>((-CB_SMI_Mixto_MEDIA!Q7)*U21)/1000000</f>
        <v>-6.9357798399999995</v>
      </c>
    </row>
    <row r="31" spans="2:21" x14ac:dyDescent="0.3">
      <c r="B31" s="62"/>
      <c r="C31" s="52" t="s">
        <v>58</v>
      </c>
      <c r="D31" s="53"/>
      <c r="E31" s="53"/>
      <c r="F31" s="8">
        <v>0</v>
      </c>
      <c r="G31" s="8">
        <f>((-CB_SMI_Mixto_MEDIA!C8)*G22)/1000000</f>
        <v>-0.35800868800000002</v>
      </c>
      <c r="H31" s="8">
        <f>((-CB_SMI_Mixto_MEDIA!D8)*H22)/1000000</f>
        <v>-0.35800868800000002</v>
      </c>
      <c r="I31" s="8">
        <f>((-CB_SMI_Mixto_MEDIA!E8)*I22)/1000000</f>
        <v>-0.35800868800000002</v>
      </c>
      <c r="J31" s="8">
        <f>((-CB_SMI_Mixto_MEDIA!F8)*J22)/1000000</f>
        <v>-0.35800868800000002</v>
      </c>
      <c r="K31" s="8">
        <f>((-CB_SMI_Mixto_MEDIA!G8)*K22)/1000000</f>
        <v>-0.35800868800000002</v>
      </c>
      <c r="L31" s="8">
        <f>((-CB_SMI_Mixto_MEDIA!H8)*L22)/1000000</f>
        <v>-0.35800868800000002</v>
      </c>
      <c r="M31" s="8">
        <f>((-CB_SMI_Mixto_MEDIA!I8)*M22)/1000000</f>
        <v>-0.35800868800000002</v>
      </c>
      <c r="N31" s="8">
        <f>((-CB_SMI_Mixto_MEDIA!J8)*N22)/1000000</f>
        <v>-0.35800868800000002</v>
      </c>
      <c r="O31" s="8">
        <f>((-CB_SMI_Mixto_MEDIA!K8)*O22)/1000000</f>
        <v>-0.35800868800000002</v>
      </c>
      <c r="P31" s="8">
        <f>((-CB_SMI_Mixto_MEDIA!L8)*P22)/1000000</f>
        <v>-0.35800868800000002</v>
      </c>
      <c r="Q31" s="8">
        <f>((-CB_SMI_Mixto_MEDIA!M8)*Q22)/1000000</f>
        <v>-3.5676906666666668E-2</v>
      </c>
      <c r="R31" s="8">
        <f>((-CB_SMI_Mixto_MEDIA!N8)*R22)/1000000</f>
        <v>-3.6281600000000004E-2</v>
      </c>
      <c r="S31" s="8">
        <f>((-CB_SMI_Mixto_MEDIA!O8)*S22)/1000000</f>
        <v>-3.6583946666666672E-2</v>
      </c>
      <c r="T31" s="8">
        <f>((-CB_SMI_Mixto_MEDIA!P8)*T22)/1000000</f>
        <v>-3.6886293333333334E-2</v>
      </c>
      <c r="U31" s="8">
        <f>((-CB_SMI_Mixto_MEDIA!Q8)*U22)/1000000</f>
        <v>-3.749098666666667E-2</v>
      </c>
    </row>
    <row r="32" spans="2:21" x14ac:dyDescent="0.3">
      <c r="B32" s="62"/>
      <c r="C32" s="52" t="s">
        <v>59</v>
      </c>
      <c r="D32" s="53"/>
      <c r="E32" s="53"/>
      <c r="F32" s="8">
        <v>0</v>
      </c>
      <c r="G32" s="8">
        <f>((-CB_SMI_Mixto_MEDIA!C9)*G23)/1000000</f>
        <v>-3.5091683984000004</v>
      </c>
      <c r="H32" s="8">
        <f>((-CB_SMI_Mixto_MEDIA!D9)*H23)/1000000</f>
        <v>-3.5091683984000004</v>
      </c>
      <c r="I32" s="8">
        <f>((-CB_SMI_Mixto_MEDIA!E9)*I23)/1000000</f>
        <v>-3.5091683983999999</v>
      </c>
      <c r="J32" s="8">
        <f>((-CB_SMI_Mixto_MEDIA!F9)*J23)/1000000</f>
        <v>-3.5091683983999999</v>
      </c>
      <c r="K32" s="8">
        <f>((-CB_SMI_Mixto_MEDIA!G9)*K23)/1000000</f>
        <v>-3.5091683983999999</v>
      </c>
      <c r="L32" s="8">
        <f>((-CB_SMI_Mixto_MEDIA!H9)*L23)/1000000</f>
        <v>-3.5091683983999999</v>
      </c>
      <c r="M32" s="8">
        <f>((-CB_SMI_Mixto_MEDIA!I9)*M23)/1000000</f>
        <v>-3.5091683983999999</v>
      </c>
      <c r="N32" s="8">
        <f>((-CB_SMI_Mixto_MEDIA!J9)*N23)/1000000</f>
        <v>-3.5091683984000004</v>
      </c>
      <c r="O32" s="8">
        <f>((-CB_SMI_Mixto_MEDIA!K9)*O23)/1000000</f>
        <v>-3.5091683984000004</v>
      </c>
      <c r="P32" s="8">
        <f>((-CB_SMI_Mixto_MEDIA!L9)*P23)/1000000</f>
        <v>-3.5091683984000004</v>
      </c>
      <c r="Q32" s="8">
        <f>((-CB_SMI_Mixto_MEDIA!M9)*Q23)/1000000</f>
        <v>-0.17293967200000002</v>
      </c>
      <c r="R32" s="8">
        <f>((-CB_SMI_Mixto_MEDIA!N9)*R23)/1000000</f>
        <v>-0.17293967200000002</v>
      </c>
      <c r="S32" s="8">
        <f>((-CB_SMI_Mixto_MEDIA!O9)*S23)/1000000</f>
        <v>-0.17509244800000004</v>
      </c>
      <c r="T32" s="8">
        <f>((-CB_SMI_Mixto_MEDIA!P9)*T23)/1000000</f>
        <v>-0.17724522399999998</v>
      </c>
      <c r="U32" s="8">
        <f>((-CB_SMI_Mixto_MEDIA!Q9)*U23)/1000000</f>
        <v>-0.179398</v>
      </c>
    </row>
    <row r="33" spans="2:22" x14ac:dyDescent="0.3">
      <c r="B33" s="62"/>
      <c r="C33" s="52" t="s">
        <v>60</v>
      </c>
      <c r="D33" s="53"/>
      <c r="E33" s="53"/>
      <c r="F33" s="8">
        <f>((-CB_SMI_Mixto_MEDIA!B10)*CB_SMI_Mixto_MEDIA!B6)/1000000</f>
        <v>-24.005943893333335</v>
      </c>
      <c r="G33" s="8">
        <f>((-CB_SMI_Mixto_MEDIA!C10)*CB_SMI_Mixto_MEDIA!C6)/1000000</f>
        <v>0</v>
      </c>
      <c r="H33" s="8">
        <f>((-CB_SMI_Mixto_MEDIA!D10)*CB_SMI_Mixto_MEDIA!D6)/1000000</f>
        <v>0</v>
      </c>
      <c r="I33" s="8">
        <f>((-CB_SMI_Mixto_MEDIA!E10)*CB_SMI_Mixto_MEDIA!E6)/1000000</f>
        <v>0</v>
      </c>
      <c r="J33" s="8">
        <f>((-CB_SMI_Mixto_MEDIA!F10)*CB_SMI_Mixto_MEDIA!F6)/1000000</f>
        <v>0</v>
      </c>
      <c r="K33" s="8">
        <f>((-CB_SMI_Mixto_MEDIA!G10)*CB_SMI_Mixto_MEDIA!G6)/1000000</f>
        <v>0</v>
      </c>
      <c r="L33" s="8">
        <f>((-CB_SMI_Mixto_MEDIA!H10)*CB_SMI_Mixto_MEDIA!H6)/1000000</f>
        <v>0</v>
      </c>
      <c r="M33" s="8">
        <f>((-CB_SMI_Mixto_MEDIA!I10)*CB_SMI_Mixto_MEDIA!I6)/1000000</f>
        <v>0</v>
      </c>
      <c r="N33" s="8">
        <f>((-CB_SMI_Mixto_MEDIA!J10)*CB_SMI_Mixto_MEDIA!J6)/1000000</f>
        <v>0</v>
      </c>
      <c r="O33" s="8">
        <f>((-CB_SMI_Mixto_MEDIA!K10)*CB_SMI_Mixto_MEDIA!K6)/1000000</f>
        <v>0</v>
      </c>
      <c r="P33" s="8">
        <f>((-CB_SMI_Mixto_MEDIA!L10)*CB_SMI_Mixto_MEDIA!L6)/1000000</f>
        <v>0</v>
      </c>
      <c r="Q33" s="8">
        <f>((-CB_SMI_Mixto_MEDIA!M10)*CB_SMI_Mixto_MEDIA!M6)/1000000</f>
        <v>0</v>
      </c>
      <c r="R33" s="8">
        <f>((-CB_SMI_Mixto_MEDIA!N10)*CB_SMI_Mixto_MEDIA!N6)/1000000</f>
        <v>0</v>
      </c>
      <c r="S33" s="8">
        <f>((-CB_SMI_Mixto_MEDIA!O10)*CB_SMI_Mixto_MEDIA!O6)/1000000</f>
        <v>0</v>
      </c>
      <c r="T33" s="8">
        <f>((-CB_SMI_Mixto_MEDIA!P10)*CB_SMI_Mixto_MEDIA!P6)/1000000</f>
        <v>0</v>
      </c>
      <c r="U33" s="8">
        <f>((-CB_SMI_Mixto_MEDIA!Q10)*CB_SMI_Mixto_MEDIA!Q6)/1000000</f>
        <v>0</v>
      </c>
    </row>
    <row r="34" spans="2:22" x14ac:dyDescent="0.3">
      <c r="B34" s="62"/>
      <c r="C34" s="52" t="s">
        <v>145</v>
      </c>
      <c r="D34" s="53"/>
      <c r="E34" s="53"/>
      <c r="F34" s="8">
        <f>(-CB_SMI_Mixto_MEDIA!B11)/1000000</f>
        <v>-40.518494171999997</v>
      </c>
      <c r="G34" s="8">
        <f>(-CB_SMI_Mixto_MEDIA!C11)/1000000</f>
        <v>-0.71983632600000014</v>
      </c>
      <c r="H34" s="8">
        <f>(-CB_SMI_Mixto_MEDIA!D11)/1000000</f>
        <v>-0.73282883399999987</v>
      </c>
      <c r="I34" s="8">
        <f>(-CB_SMI_Mixto_MEDIA!E11)/1000000</f>
        <v>-0.745931448</v>
      </c>
      <c r="J34" s="8">
        <f>(-CB_SMI_Mixto_MEDIA!F11)/1000000</f>
        <v>-0.75940108199999989</v>
      </c>
      <c r="K34" s="8">
        <f>(-CB_SMI_Mixto_MEDIA!G11)/1000000</f>
        <v>-0.77299917299999998</v>
      </c>
      <c r="L34" s="8">
        <f>(-CB_SMI_Mixto_MEDIA!H11)/1000000</f>
        <v>-0.7869275819999999</v>
      </c>
      <c r="M34" s="8">
        <f>(-CB_SMI_Mixto_MEDIA!I11)/1000000</f>
        <v>-0.80113125599999979</v>
      </c>
      <c r="N34" s="8">
        <f>(-CB_SMI_Mixto_MEDIA!J11)/1000000</f>
        <v>-0.81555514200000001</v>
      </c>
      <c r="O34" s="8">
        <f>(-CB_SMI_Mixto_MEDIA!K11)/1000000</f>
        <v>-0.83014418699999992</v>
      </c>
      <c r="P34" s="8">
        <f>(-CB_SMI_Mixto_MEDIA!L11)/1000000</f>
        <v>-0.84521035799999999</v>
      </c>
      <c r="Q34" s="8">
        <f>(-CB_SMI_Mixto_MEDIA!M11)/1000000</f>
        <v>-0.86042333700000007</v>
      </c>
      <c r="R34" s="8">
        <f>(-CB_SMI_Mixto_MEDIA!N11)/1000000</f>
        <v>-0.87583817699999988</v>
      </c>
      <c r="S34" s="8">
        <f>(-CB_SMI_Mixto_MEDIA!O11)/1000000</f>
        <v>-0.89163838799999995</v>
      </c>
      <c r="T34" s="8">
        <f>(-CB_SMI_Mixto_MEDIA!P11)/1000000</f>
        <v>-0.90776891699999995</v>
      </c>
      <c r="U34" s="8">
        <f>(-CB_SMI_Mixto_MEDIA!Q11)/1000000</f>
        <v>-0.92411965800000007</v>
      </c>
    </row>
    <row r="35" spans="2:22" x14ac:dyDescent="0.3">
      <c r="B35" s="62"/>
      <c r="C35" s="52" t="s">
        <v>143</v>
      </c>
      <c r="D35" s="53"/>
      <c r="E35" s="53"/>
      <c r="F35" s="8">
        <f>(-CB_SMI_Mixto_MEDIA!B12)/1000000</f>
        <v>-3.044677178947369</v>
      </c>
      <c r="G35" s="8">
        <f>(-CB_SMI_Mixto_MEDIA!C12)/1000000</f>
        <v>-5.4090589473684218E-2</v>
      </c>
      <c r="H35" s="8">
        <f>(-CB_SMI_Mixto_MEDIA!D12)/1000000</f>
        <v>-5.5066884210526315E-2</v>
      </c>
      <c r="I35" s="8">
        <f>(-CB_SMI_Mixto_MEDIA!E12)/1000000</f>
        <v>-5.6051452631578964E-2</v>
      </c>
      <c r="J35" s="8">
        <f>(-CB_SMI_Mixto_MEDIA!F12)/1000000</f>
        <v>-5.7063600000000013E-2</v>
      </c>
      <c r="K35" s="8">
        <f>(-CB_SMI_Mixto_MEDIA!G12)/1000000</f>
        <v>-5.8085400000000009E-2</v>
      </c>
      <c r="L35" s="8">
        <f>(-CB_SMI_Mixto_MEDIA!H12)/1000000</f>
        <v>-5.913202105263158E-2</v>
      </c>
      <c r="M35" s="8">
        <f>(-CB_SMI_Mixto_MEDIA!I12)/1000000</f>
        <v>-6.0199326315789482E-2</v>
      </c>
      <c r="N35" s="8">
        <f>(-CB_SMI_Mixto_MEDIA!J12)/1000000</f>
        <v>-6.1283178947368434E-2</v>
      </c>
      <c r="O35" s="8">
        <f>(-CB_SMI_Mixto_MEDIA!K12)/1000000</f>
        <v>-6.237944210526316E-2</v>
      </c>
      <c r="P35" s="8">
        <f>(-CB_SMI_Mixto_MEDIA!L12)/1000000</f>
        <v>-6.3511557894736836E-2</v>
      </c>
      <c r="Q35" s="8">
        <f>(-CB_SMI_Mixto_MEDIA!M12)/1000000</f>
        <v>-6.4654705263157905E-2</v>
      </c>
      <c r="R35" s="8">
        <f>(-CB_SMI_Mixto_MEDIA!N12)/1000000</f>
        <v>-6.5813021052631579E-2</v>
      </c>
      <c r="S35" s="8">
        <f>(-CB_SMI_Mixto_MEDIA!O12)/1000000</f>
        <v>-6.7000294736842103E-2</v>
      </c>
      <c r="T35" s="8">
        <f>(-CB_SMI_Mixto_MEDIA!P12)/1000000</f>
        <v>-6.8212389473684201E-2</v>
      </c>
      <c r="U35" s="8">
        <f>(-CB_SMI_Mixto_MEDIA!Q12)/1000000</f>
        <v>-6.9441031578947363E-2</v>
      </c>
    </row>
    <row r="36" spans="2:22" x14ac:dyDescent="0.3">
      <c r="B36" s="63"/>
      <c r="C36" s="74" t="s">
        <v>123</v>
      </c>
      <c r="D36" s="74"/>
      <c r="E36" s="74"/>
      <c r="F36" s="15">
        <f>SUM(F30:F35)</f>
        <v>-67.569115244280695</v>
      </c>
      <c r="G36" s="15">
        <f t="shared" ref="G36:U36" si="3">SUM(G30:G35)</f>
        <v>-40.341512693873682</v>
      </c>
      <c r="H36" s="15">
        <f t="shared" si="3"/>
        <v>-40.35548149661053</v>
      </c>
      <c r="I36" s="15">
        <f t="shared" si="3"/>
        <v>-40.36956867903158</v>
      </c>
      <c r="J36" s="15">
        <f t="shared" si="3"/>
        <v>-40.384050460399997</v>
      </c>
      <c r="K36" s="15">
        <f t="shared" si="3"/>
        <v>-40.398670351400007</v>
      </c>
      <c r="L36" s="15">
        <f t="shared" si="3"/>
        <v>-40.413645381452632</v>
      </c>
      <c r="M36" s="15">
        <f t="shared" si="3"/>
        <v>-40.428916360715789</v>
      </c>
      <c r="N36" s="15">
        <f t="shared" si="3"/>
        <v>-40.444424099347373</v>
      </c>
      <c r="O36" s="15">
        <f t="shared" si="3"/>
        <v>-40.460109407505264</v>
      </c>
      <c r="P36" s="15">
        <f t="shared" si="3"/>
        <v>-40.476307694294739</v>
      </c>
      <c r="Q36" s="15">
        <f t="shared" si="3"/>
        <v>-7.5899199009298242</v>
      </c>
      <c r="R36" s="15">
        <f t="shared" si="3"/>
        <v>-7.7233786300526308</v>
      </c>
      <c r="S36" s="15">
        <f t="shared" si="3"/>
        <v>-7.8617385574035081</v>
      </c>
      <c r="T36" s="15">
        <f t="shared" si="3"/>
        <v>-8.0029513038070181</v>
      </c>
      <c r="U36" s="15">
        <f t="shared" si="3"/>
        <v>-8.1462295162456133</v>
      </c>
    </row>
    <row r="37" spans="2:22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2:22" x14ac:dyDescent="0.3">
      <c r="B38" s="61" t="s">
        <v>119</v>
      </c>
      <c r="C38" s="52" t="s">
        <v>100</v>
      </c>
      <c r="D38" s="53"/>
      <c r="E38" s="53"/>
      <c r="F38" s="8">
        <v>0</v>
      </c>
      <c r="G38" s="8">
        <f>(-CB_SMI_Mixto_MEDIA!C13/1000000)*G$25</f>
        <v>0</v>
      </c>
      <c r="H38" s="8">
        <f>(-CB_SMI_Mixto_MEDIA!D13/1000000)*H$25</f>
        <v>0</v>
      </c>
      <c r="I38" s="8">
        <f>(-CB_SMI_Mixto_MEDIA!E13/1000000)*I$25</f>
        <v>0</v>
      </c>
      <c r="J38" s="8">
        <f>(-CB_SMI_Mixto_MEDIA!F13/1000000)*J$25</f>
        <v>0</v>
      </c>
      <c r="K38" s="8">
        <f>(-CB_SMI_Mixto_MEDIA!G13/1000000)*K$25</f>
        <v>0</v>
      </c>
      <c r="L38" s="8">
        <f>(-CB_SMI_Mixto_MEDIA!H13/1000000)*L$25</f>
        <v>0</v>
      </c>
      <c r="M38" s="8">
        <f>(-CB_SMI_Mixto_MEDIA!I13/1000000)*M$25</f>
        <v>0</v>
      </c>
      <c r="N38" s="8">
        <f>(-CB_SMI_Mixto_MEDIA!J13/1000000)*N$25</f>
        <v>0</v>
      </c>
      <c r="O38" s="8">
        <f>(-CB_SMI_Mixto_MEDIA!K13/1000000)*O$25</f>
        <v>0</v>
      </c>
      <c r="P38" s="8">
        <f>(-CB_SMI_Mixto_MEDIA!L13/1000000)*P$25</f>
        <v>0</v>
      </c>
      <c r="Q38" s="8">
        <f>(-CB_SMI_Mixto_MEDIA!M13/1000000)*Q$25</f>
        <v>0</v>
      </c>
      <c r="R38" s="8">
        <f>(-CB_SMI_Mixto_MEDIA!N13/1000000)*R$25</f>
        <v>0</v>
      </c>
      <c r="S38" s="8">
        <f>(-CB_SMI_Mixto_MEDIA!O13/1000000)*S$25</f>
        <v>0</v>
      </c>
      <c r="T38" s="8">
        <f>(-CB_SMI_Mixto_MEDIA!P13/1000000)*T$25</f>
        <v>0</v>
      </c>
      <c r="U38" s="8">
        <f>(-CB_SMI_Mixto_MEDIA!Q13/1000000)*U$25</f>
        <v>0</v>
      </c>
    </row>
    <row r="39" spans="2:22" x14ac:dyDescent="0.3">
      <c r="B39" s="62"/>
      <c r="C39" s="52" t="s">
        <v>101</v>
      </c>
      <c r="D39" s="53"/>
      <c r="E39" s="53"/>
      <c r="F39" s="8">
        <v>0</v>
      </c>
      <c r="G39" s="8">
        <f>(-CB_SMI_Mixto_MEDIA!C14/1000000)*G$25</f>
        <v>-5.7512816451570477E-2</v>
      </c>
      <c r="H39" s="8">
        <f>(-CB_SMI_Mixto_MEDIA!D14/1000000)*H$25</f>
        <v>-0.1130172513911189</v>
      </c>
      <c r="I39" s="8">
        <f>(-CB_SMI_Mixto_MEDIA!E14/1000000)*I$25</f>
        <v>-0.16656559396206203</v>
      </c>
      <c r="J39" s="8">
        <f>(-CB_SMI_Mixto_MEDIA!F14/1000000)*J$25</f>
        <v>-0.21820827128636411</v>
      </c>
      <c r="K39" s="8">
        <f>(-CB_SMI_Mixto_MEDIA!G14/1000000)*K$25</f>
        <v>-0.2679954590692023</v>
      </c>
      <c r="L39" s="8">
        <f>(-CB_SMI_Mixto_MEDIA!H14/1000000)*L$25</f>
        <v>-0.3159752847406137</v>
      </c>
      <c r="M39" s="8">
        <f>(-CB_SMI_Mixto_MEDIA!I14/1000000)*M$25</f>
        <v>-0.36219492042885104</v>
      </c>
      <c r="N39" s="8">
        <f>(-CB_SMI_Mixto_MEDIA!J14/1000000)*N$25</f>
        <v>-0.40670090995025709</v>
      </c>
      <c r="O39" s="8">
        <f>(-CB_SMI_Mixto_MEDIA!K14/1000000)*O$25</f>
        <v>-0.44953943028412252</v>
      </c>
      <c r="P39" s="8">
        <f>(-CB_SMI_Mixto_MEDIA!L14/1000000)*P$25</f>
        <v>-0.49075276851234229</v>
      </c>
      <c r="Q39" s="8">
        <f>(-CB_SMI_Mixto_MEDIA!M14/1000000)*Q$25</f>
        <v>-0.49075276851234173</v>
      </c>
      <c r="R39" s="8">
        <f>(-CB_SMI_Mixto_MEDIA!N14/1000000)*R$25</f>
        <v>-0.49075276851234173</v>
      </c>
      <c r="S39" s="8">
        <f>(-CB_SMI_Mixto_MEDIA!O14/1000000)*S$25</f>
        <v>-0.49075276851234173</v>
      </c>
      <c r="T39" s="8">
        <f>(-CB_SMI_Mixto_MEDIA!P14/1000000)*T$25</f>
        <v>-0.4914098065376919</v>
      </c>
      <c r="U39" s="8">
        <f>(-CB_SMI_Mixto_MEDIA!Q14/1000000)*U$25</f>
        <v>-0.4914098065376919</v>
      </c>
    </row>
    <row r="40" spans="2:22" x14ac:dyDescent="0.3">
      <c r="B40" s="62"/>
      <c r="C40" s="52" t="s">
        <v>146</v>
      </c>
      <c r="D40" s="53"/>
      <c r="E40" s="53"/>
      <c r="F40" s="8">
        <v>0</v>
      </c>
      <c r="G40" s="8">
        <f>(-CB_SMI_Mixto_MEDIA!C15/1000000)*G$25</f>
        <v>-2.1029828685790526</v>
      </c>
      <c r="H40" s="8">
        <f>(-CB_SMI_Mixto_MEDIA!D15/1000000)*H$25</f>
        <v>-4.2059657371581078</v>
      </c>
      <c r="I40" s="8">
        <f>(-CB_SMI_Mixto_MEDIA!E15/1000000)*I$25</f>
        <v>-6.3089486057371573</v>
      </c>
      <c r="J40" s="8">
        <f>(-CB_SMI_Mixto_MEDIA!F15/1000000)*J$25</f>
        <v>-8.4119314743162086</v>
      </c>
      <c r="K40" s="8">
        <f>(-CB_SMI_Mixto_MEDIA!G15/1000000)*K$25</f>
        <v>-10.514914342895269</v>
      </c>
      <c r="L40" s="8">
        <f>(-CB_SMI_Mixto_MEDIA!H15/1000000)*L$25</f>
        <v>-12.61789721147432</v>
      </c>
      <c r="M40" s="8">
        <f>(-CB_SMI_Mixto_MEDIA!I15/1000000)*M$25</f>
        <v>-14.720880080053375</v>
      </c>
      <c r="N40" s="8">
        <f>(-CB_SMI_Mixto_MEDIA!J15/1000000)*N$25</f>
        <v>-16.823862948632428</v>
      </c>
      <c r="O40" s="8">
        <f>(-CB_SMI_Mixto_MEDIA!K15/1000000)*O$25</f>
        <v>-18.926845817211493</v>
      </c>
      <c r="P40" s="8">
        <f>(-CB_SMI_Mixto_MEDIA!L15/1000000)*P$25</f>
        <v>-21.029828685790555</v>
      </c>
      <c r="Q40" s="8">
        <f>(-CB_SMI_Mixto_MEDIA!M15/1000000)*Q$25</f>
        <v>-21.404236551034028</v>
      </c>
      <c r="R40" s="8">
        <f>(-CB_SMI_Mixto_MEDIA!N15/1000000)*R$25</f>
        <v>-21.785352088058708</v>
      </c>
      <c r="S40" s="8">
        <f>(-CB_SMI_Mixto_MEDIA!O15/1000000)*S$25</f>
        <v>-22.173342988659108</v>
      </c>
      <c r="T40" s="8">
        <f>(-CB_SMI_Mixto_MEDIA!P15/1000000)*T$25</f>
        <v>-22.568352988659111</v>
      </c>
      <c r="U40" s="8">
        <f>(-CB_SMI_Mixto_MEDIA!Q15/1000000)*U$25</f>
        <v>-22.970477911941302</v>
      </c>
    </row>
    <row r="41" spans="2:22" x14ac:dyDescent="0.3">
      <c r="B41" s="62"/>
      <c r="C41" s="52" t="s">
        <v>144</v>
      </c>
      <c r="D41" s="53"/>
      <c r="E41" s="53"/>
      <c r="F41" s="8">
        <v>0</v>
      </c>
      <c r="G41" s="8">
        <f>(-CB_SMI_Mixto_MEDIA!C16/1000000)*G$25</f>
        <v>-0.29847244347368423</v>
      </c>
      <c r="H41" s="8">
        <f>(-CB_SMI_Mixto_MEDIA!D16/1000000)*H$25</f>
        <v>-0.59694488694736847</v>
      </c>
      <c r="I41" s="8">
        <f>(-CB_SMI_Mixto_MEDIA!E16/1000000)*I$25</f>
        <v>-0.8954173304210522</v>
      </c>
      <c r="J41" s="8">
        <f>(-CB_SMI_Mixto_MEDIA!F16/1000000)*J$25</f>
        <v>-1.1938897738947363</v>
      </c>
      <c r="K41" s="8">
        <f>(-CB_SMI_Mixto_MEDIA!G16/1000000)*K$25</f>
        <v>-1.4923622173684217</v>
      </c>
      <c r="L41" s="8">
        <f>(-CB_SMI_Mixto_MEDIA!H16/1000000)*L$25</f>
        <v>-1.7908346608421053</v>
      </c>
      <c r="M41" s="8">
        <f>(-CB_SMI_Mixto_MEDIA!I16/1000000)*M$25</f>
        <v>-2.08930710431579</v>
      </c>
      <c r="N41" s="8">
        <f>(-CB_SMI_Mixto_MEDIA!J16/1000000)*N$25</f>
        <v>-2.3877795477894743</v>
      </c>
      <c r="O41" s="8">
        <f>(-CB_SMI_Mixto_MEDIA!K16/1000000)*O$25</f>
        <v>-2.6862519912631608</v>
      </c>
      <c r="P41" s="8">
        <f>(-CB_SMI_Mixto_MEDIA!L16/1000000)*P$25</f>
        <v>-2.9847244347368438</v>
      </c>
      <c r="Q41" s="8">
        <f>(-CB_SMI_Mixto_MEDIA!M16/1000000)*Q$25</f>
        <v>-3.0378634460263161</v>
      </c>
      <c r="R41" s="8">
        <f>(-CB_SMI_Mixto_MEDIA!N16/1000000)*R$25</f>
        <v>-3.091954464684211</v>
      </c>
      <c r="S41" s="8">
        <f>(-CB_SMI_Mixto_MEDIA!O16/1000000)*S$25</f>
        <v>-3.1470212908947368</v>
      </c>
      <c r="T41" s="8">
        <f>(-CB_SMI_Mixto_MEDIA!P16/1000000)*T$25</f>
        <v>-3.203084324815789</v>
      </c>
      <c r="U41" s="8">
        <f>(-CB_SMI_Mixto_MEDIA!Q16/1000000)*U$25</f>
        <v>-3.2601571665526312</v>
      </c>
    </row>
    <row r="42" spans="2:22" x14ac:dyDescent="0.3">
      <c r="B42" s="62"/>
      <c r="C42" s="52" t="s">
        <v>61</v>
      </c>
      <c r="D42" s="53"/>
      <c r="E42" s="53"/>
      <c r="F42" s="8">
        <v>0</v>
      </c>
      <c r="G42" s="8">
        <f>(-CB_SMI_Mixto_MEDIA!C17/1000000)*G$25</f>
        <v>-0.32708815200000002</v>
      </c>
      <c r="H42" s="8">
        <f>(-CB_SMI_Mixto_MEDIA!D17/1000000)*H$25</f>
        <v>-0.65417630400000026</v>
      </c>
      <c r="I42" s="8">
        <f>(-CB_SMI_Mixto_MEDIA!E17/1000000)*I$25</f>
        <v>-0.98126445599999979</v>
      </c>
      <c r="J42" s="8">
        <f>(-CB_SMI_Mixto_MEDIA!F17/1000000)*J$25</f>
        <v>-1.3083526079999996</v>
      </c>
      <c r="K42" s="8">
        <f>(-CB_SMI_Mixto_MEDIA!G17/1000000)*K$25</f>
        <v>-1.6354407600000009</v>
      </c>
      <c r="L42" s="8">
        <f>(-CB_SMI_Mixto_MEDIA!H17/1000000)*L$25</f>
        <v>-1.9625289120000002</v>
      </c>
      <c r="M42" s="8">
        <f>(-CB_SMI_Mixto_MEDIA!I17/1000000)*M$25</f>
        <v>-2.2896170640000006</v>
      </c>
      <c r="N42" s="8">
        <f>(-CB_SMI_Mixto_MEDIA!J17/1000000)*N$25</f>
        <v>-2.6167052160000006</v>
      </c>
      <c r="O42" s="8">
        <f>(-CB_SMI_Mixto_MEDIA!K17/1000000)*O$25</f>
        <v>-2.9437933680000041</v>
      </c>
      <c r="P42" s="8">
        <f>(-CB_SMI_Mixto_MEDIA!L17/1000000)*P$25</f>
        <v>-3.2708815200000037</v>
      </c>
      <c r="Q42" s="8">
        <f>(-CB_SMI_Mixto_MEDIA!M17/1000000)*Q$25</f>
        <v>-3.3291151740000009</v>
      </c>
      <c r="R42" s="8">
        <f>(-CB_SMI_Mixto_MEDIA!N17/1000000)*R$25</f>
        <v>-3.3883921080000001</v>
      </c>
      <c r="S42" s="8">
        <f>(-CB_SMI_Mixto_MEDIA!O17/1000000)*S$25</f>
        <v>-3.4487384040000002</v>
      </c>
      <c r="T42" s="8">
        <f>(-CB_SMI_Mixto_MEDIA!P17/1000000)*T$25</f>
        <v>-3.5101764180000008</v>
      </c>
      <c r="U42" s="8">
        <f>(-CB_SMI_Mixto_MEDIA!Q17/1000000)*U$25</f>
        <v>-3.5727210540000001</v>
      </c>
    </row>
    <row r="43" spans="2:22" x14ac:dyDescent="0.3">
      <c r="B43" s="63"/>
      <c r="C43" s="74" t="s">
        <v>131</v>
      </c>
      <c r="D43" s="74"/>
      <c r="E43" s="74"/>
      <c r="F43" s="15">
        <f>SUM(F38:F42)</f>
        <v>0</v>
      </c>
      <c r="G43" s="15">
        <f>SUM(G38:G42)</f>
        <v>-2.7860562805043072</v>
      </c>
      <c r="H43" s="15">
        <f t="shared" ref="H43:T43" si="4">SUM(H38:H42)</f>
        <v>-5.5701041794965951</v>
      </c>
      <c r="I43" s="15">
        <f t="shared" si="4"/>
        <v>-8.3521959861202717</v>
      </c>
      <c r="J43" s="15">
        <f t="shared" si="4"/>
        <v>-11.132382127497308</v>
      </c>
      <c r="K43" s="15">
        <f t="shared" si="4"/>
        <v>-13.910712779332895</v>
      </c>
      <c r="L43" s="15">
        <f t="shared" si="4"/>
        <v>-16.68723606905704</v>
      </c>
      <c r="M43" s="15">
        <f t="shared" si="4"/>
        <v>-19.461999168798016</v>
      </c>
      <c r="N43" s="15">
        <f t="shared" si="4"/>
        <v>-22.235048622372158</v>
      </c>
      <c r="O43" s="15">
        <f t="shared" si="4"/>
        <v>-25.00643060675878</v>
      </c>
      <c r="P43" s="15">
        <f t="shared" si="4"/>
        <v>-27.776187409039746</v>
      </c>
      <c r="Q43" s="15">
        <f t="shared" si="4"/>
        <v>-28.261967939572685</v>
      </c>
      <c r="R43" s="15">
        <f t="shared" si="4"/>
        <v>-28.756451429255261</v>
      </c>
      <c r="S43" s="15">
        <f t="shared" si="4"/>
        <v>-29.259855452066187</v>
      </c>
      <c r="T43" s="15">
        <f t="shared" si="4"/>
        <v>-29.773023538012595</v>
      </c>
      <c r="U43" s="15">
        <f>SUM(U38:U42)</f>
        <v>-30.294765939031624</v>
      </c>
    </row>
    <row r="44" spans="2:22" x14ac:dyDescent="0.3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2:22" x14ac:dyDescent="0.3">
      <c r="B45" s="78" t="s">
        <v>155</v>
      </c>
      <c r="C45" s="74"/>
      <c r="D45" s="74"/>
      <c r="E45" s="74"/>
      <c r="F45" s="15">
        <f>F36+F43</f>
        <v>-67.569115244280695</v>
      </c>
      <c r="G45" s="15">
        <f t="shared" ref="G45:U45" si="5">G36+G43</f>
        <v>-43.127568974377986</v>
      </c>
      <c r="H45" s="15">
        <f t="shared" si="5"/>
        <v>-45.925585676107126</v>
      </c>
      <c r="I45" s="15">
        <f t="shared" si="5"/>
        <v>-48.721764665151852</v>
      </c>
      <c r="J45" s="15">
        <f t="shared" si="5"/>
        <v>-51.516432587897306</v>
      </c>
      <c r="K45" s="15">
        <f t="shared" si="5"/>
        <v>-54.309383130732904</v>
      </c>
      <c r="L45" s="15">
        <f t="shared" si="5"/>
        <v>-57.100881450509675</v>
      </c>
      <c r="M45" s="15">
        <f t="shared" si="5"/>
        <v>-59.890915529513805</v>
      </c>
      <c r="N45" s="15">
        <f t="shared" si="5"/>
        <v>-62.679472721719534</v>
      </c>
      <c r="O45" s="15">
        <f t="shared" si="5"/>
        <v>-65.466540014264041</v>
      </c>
      <c r="P45" s="15">
        <f t="shared" si="5"/>
        <v>-68.252495103334482</v>
      </c>
      <c r="Q45" s="15">
        <f t="shared" si="5"/>
        <v>-35.851887840502506</v>
      </c>
      <c r="R45" s="15">
        <f t="shared" si="5"/>
        <v>-36.479830059307893</v>
      </c>
      <c r="S45" s="15">
        <f t="shared" si="5"/>
        <v>-37.121594009469696</v>
      </c>
      <c r="T45" s="15">
        <f t="shared" si="5"/>
        <v>-37.775974841819611</v>
      </c>
      <c r="U45" s="15">
        <f t="shared" si="5"/>
        <v>-38.440995455277239</v>
      </c>
    </row>
    <row r="46" spans="2:22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2" x14ac:dyDescent="0.3">
      <c r="B47" s="79" t="s">
        <v>120</v>
      </c>
      <c r="C47" s="52" t="s">
        <v>112</v>
      </c>
      <c r="D47" s="53"/>
      <c r="E47" s="53"/>
      <c r="F47" s="8">
        <v>0</v>
      </c>
      <c r="G47" s="8">
        <f>(CB_SMI_Mixto_MEDIA!C18/1000000)*G$25</f>
        <v>0.74249443022315997</v>
      </c>
      <c r="H47" s="8">
        <f>(CB_SMI_Mixto_MEDIA!D18/1000000)*H$25</f>
        <v>1.4854103910194327</v>
      </c>
      <c r="I47" s="8">
        <f>(CB_SMI_Mixto_MEDIA!E18/1000000)*I$25</f>
        <v>2.2287459957766207</v>
      </c>
      <c r="J47" s="8">
        <f>(CB_SMI_Mixto_MEDIA!F18/1000000)*J$25</f>
        <v>2.9724955752632298</v>
      </c>
      <c r="K47" s="8">
        <f>(CB_SMI_Mixto_MEDIA!G18/1000000)*K$25</f>
        <v>3.7166395923514686</v>
      </c>
      <c r="L47" s="8">
        <f>(CB_SMI_Mixto_MEDIA!H18/1000000)*L$25</f>
        <v>4.4611719788768358</v>
      </c>
      <c r="M47" s="8">
        <f>(CB_SMI_Mixto_MEDIA!I18/1000000)*M$25</f>
        <v>5.2061325946816384</v>
      </c>
      <c r="N47" s="8">
        <f>(CB_SMI_Mixto_MEDIA!J18/1000000)*N$25</f>
        <v>5.951430503047626</v>
      </c>
      <c r="O47" s="8">
        <f>(CB_SMI_Mixto_MEDIA!K18/1000000)*O$25</f>
        <v>6.6971375971511513</v>
      </c>
      <c r="P47" s="8">
        <f>(CB_SMI_Mixto_MEDIA!L18/1000000)*P$25</f>
        <v>7.4431612920000081</v>
      </c>
      <c r="Q47" s="8">
        <f>(CB_SMI_Mixto_MEDIA!M18/1000000)*Q$25</f>
        <v>7.5776381478000001</v>
      </c>
      <c r="R47" s="8">
        <f>(CB_SMI_Mixto_MEDIA!N18/1000000)*R$25</f>
        <v>7.7145058872000005</v>
      </c>
      <c r="S47" s="8">
        <f>(CB_SMI_Mixto_MEDIA!O18/1000000)*S$25</f>
        <v>7.8538520592000003</v>
      </c>
      <c r="T47" s="8">
        <f>(CB_SMI_Mixto_MEDIA!P18/1000000)*T$25</f>
        <v>7.9957180505999998</v>
      </c>
      <c r="U47" s="8">
        <f>(CB_SMI_Mixto_MEDIA!Q18/1000000)*U$25</f>
        <v>8.1401500236000004</v>
      </c>
      <c r="V47" s="30">
        <f>U47/$U$56</f>
        <v>0.10599490604357641</v>
      </c>
    </row>
    <row r="48" spans="2:22" x14ac:dyDescent="0.3">
      <c r="B48" s="80"/>
      <c r="C48" s="52" t="s">
        <v>62</v>
      </c>
      <c r="D48" s="53"/>
      <c r="E48" s="53"/>
      <c r="F48" s="8">
        <v>0</v>
      </c>
      <c r="G48" s="8">
        <f>(CB_SMI_Mixto_MEDIA!C19/1000000)*G$25</f>
        <v>9.4580379220738045E-2</v>
      </c>
      <c r="H48" s="8">
        <f>(CB_SMI_Mixto_MEDIA!D19/1000000)*H$25</f>
        <v>0.1892143649422513</v>
      </c>
      <c r="I48" s="8">
        <f>(CB_SMI_Mixto_MEDIA!E19/1000000)*I$25</f>
        <v>0.28390173967701993</v>
      </c>
      <c r="J48" s="8">
        <f>(CB_SMI_Mixto_MEDIA!F19/1000000)*J$25</f>
        <v>0.37864178379707447</v>
      </c>
      <c r="K48" s="8">
        <f>(CB_SMI_Mixto_MEDIA!G19/1000000)*K$25</f>
        <v>0.47343205754457024</v>
      </c>
      <c r="L48" s="8">
        <f>(CB_SMI_Mixto_MEDIA!H19/1000000)*L$25</f>
        <v>0.56827192768234647</v>
      </c>
      <c r="M48" s="8">
        <f>(CB_SMI_Mixto_MEDIA!I19/1000000)*M$25</f>
        <v>0.6631659792228356</v>
      </c>
      <c r="N48" s="8">
        <f>(CB_SMI_Mixto_MEDIA!J19/1000000)*N$25</f>
        <v>0.75810304138699847</v>
      </c>
      <c r="O48" s="8">
        <f>(CB_SMI_Mixto_MEDIA!K19/1000000)*O$25</f>
        <v>0.85309188930714086</v>
      </c>
      <c r="P48" s="8">
        <f>(CB_SMI_Mixto_MEDIA!L19/1000000)*P$25</f>
        <v>0.94812165635400114</v>
      </c>
      <c r="Q48" s="8">
        <f>(CB_SMI_Mixto_MEDIA!M19/1000000)*Q$25</f>
        <v>0.9652511174220002</v>
      </c>
      <c r="R48" s="8">
        <f>(CB_SMI_Mixto_MEDIA!N19/1000000)*R$25</f>
        <v>0.9826853993100001</v>
      </c>
      <c r="S48" s="8">
        <f>(CB_SMI_Mixto_MEDIA!O19/1000000)*S$25</f>
        <v>1.0010971077120001</v>
      </c>
      <c r="T48" s="8">
        <f>(CB_SMI_Mixto_MEDIA!P19/1000000)*T$25</f>
        <v>1.01985407748</v>
      </c>
      <c r="U48" s="8">
        <f>(CB_SMI_Mixto_MEDIA!Q19/1000000)*U$25</f>
        <v>1.0389620982509999</v>
      </c>
      <c r="V48" s="30">
        <f t="shared" ref="V48:V55" si="6">U48/$U$56</f>
        <v>1.3528582356305127E-2</v>
      </c>
    </row>
    <row r="49" spans="2:24" x14ac:dyDescent="0.3">
      <c r="B49" s="80"/>
      <c r="C49" s="52" t="s">
        <v>95</v>
      </c>
      <c r="D49" s="53"/>
      <c r="E49" s="53"/>
      <c r="F49" s="8">
        <v>0</v>
      </c>
      <c r="G49" s="8">
        <f>(CB_SMI_Mixto_MEDIA!C20/1000000)*G$25</f>
        <v>3.9282686399603755</v>
      </c>
      <c r="H49" s="8">
        <f>(CB_SMI_Mixto_MEDIA!D20/1000000)*H$25</f>
        <v>7.9524844859005608</v>
      </c>
      <c r="I49" s="8">
        <f>(CB_SMI_Mixto_MEDIA!E20/1000000)*I$25</f>
        <v>12.074382593698093</v>
      </c>
      <c r="J49" s="8">
        <f>(CB_SMI_Mixto_MEDIA!F20/1000000)*J$25</f>
        <v>16.295676307847863</v>
      </c>
      <c r="K49" s="8">
        <f>(CB_SMI_Mixto_MEDIA!G20/1000000)*K$25</f>
        <v>20.61817215947806</v>
      </c>
      <c r="L49" s="8">
        <f>(CB_SMI_Mixto_MEDIA!H20/1000000)*L$25</f>
        <v>25.043636162209911</v>
      </c>
      <c r="M49" s="8">
        <f>(CB_SMI_Mixto_MEDIA!I20/1000000)*M$25</f>
        <v>29.573870894566326</v>
      </c>
      <c r="N49" s="8">
        <f>(CB_SMI_Mixto_MEDIA!J20/1000000)*N$25</f>
        <v>34.210743041476384</v>
      </c>
      <c r="O49" s="8">
        <f>(CB_SMI_Mixto_MEDIA!K20/1000000)*O$25</f>
        <v>38.956210085885324</v>
      </c>
      <c r="P49" s="8">
        <f>(CB_SMI_Mixto_MEDIA!L20/1000000)*P$25</f>
        <v>43.812013442404059</v>
      </c>
      <c r="Q49" s="8">
        <f>(CB_SMI_Mixto_MEDIA!M20/1000000)*Q$25</f>
        <v>45.13513624836461</v>
      </c>
      <c r="R49" s="8">
        <f>(CB_SMI_Mixto_MEDIA!N20/1000000)*R$25</f>
        <v>46.498217363065223</v>
      </c>
      <c r="S49" s="8">
        <f>(CB_SMI_Mixto_MEDIA!O20/1000000)*S$25</f>
        <v>47.902463527429788</v>
      </c>
      <c r="T49" s="8">
        <f>(CB_SMI_Mixto_MEDIA!P20/1000000)*T$25</f>
        <v>49.349117925958168</v>
      </c>
      <c r="U49" s="8">
        <f>(CB_SMI_Mixto_MEDIA!Q20/1000000)*U$25</f>
        <v>50.839461287322095</v>
      </c>
      <c r="V49" s="30">
        <f t="shared" si="6"/>
        <v>0.66199319506799081</v>
      </c>
    </row>
    <row r="50" spans="2:24" x14ac:dyDescent="0.3">
      <c r="B50" s="80"/>
      <c r="C50" s="52" t="s">
        <v>96</v>
      </c>
      <c r="D50" s="53"/>
      <c r="E50" s="53"/>
      <c r="F50" s="8">
        <v>0</v>
      </c>
      <c r="G50" s="8">
        <f>(CB_SMI_Mixto_MEDIA!C21/1000000)*G$25</f>
        <v>8.5067977833798977E-2</v>
      </c>
      <c r="H50" s="8">
        <f>(CB_SMI_Mixto_MEDIA!D21/1000000)*H$25</f>
        <v>0.16716533164868264</v>
      </c>
      <c r="I50" s="8">
        <f>(CB_SMI_Mixto_MEDIA!E21/1000000)*I$25</f>
        <v>0.2463694030176701</v>
      </c>
      <c r="J50" s="8">
        <f>(CB_SMI_Mixto_MEDIA!F21/1000000)*J$25</f>
        <v>0.32275477937288777</v>
      </c>
      <c r="K50" s="8">
        <f>(CB_SMI_Mixto_MEDIA!G21/1000000)*K$25</f>
        <v>0.39639567627252159</v>
      </c>
      <c r="L50" s="8">
        <f>(CB_SMI_Mixto_MEDIA!H21/1000000)*L$25</f>
        <v>0.46736327964353874</v>
      </c>
      <c r="M50" s="8">
        <f>(CB_SMI_Mixto_MEDIA!I21/1000000)*M$25</f>
        <v>0.53572736241323027</v>
      </c>
      <c r="N50" s="8">
        <f>(CB_SMI_Mixto_MEDIA!J21/1000000)*N$25</f>
        <v>0.60155676816431791</v>
      </c>
      <c r="O50" s="8">
        <f>(CB_SMI_Mixto_MEDIA!K21/1000000)*O$25</f>
        <v>0.66491979788592181</v>
      </c>
      <c r="P50" s="8">
        <f>(CB_SMI_Mixto_MEDIA!L21/1000000)*P$25</f>
        <v>0.72587899896777597</v>
      </c>
      <c r="Q50" s="8">
        <f>(CB_SMI_Mixto_MEDIA!M21/1000000)*Q$25</f>
        <v>0.72587899896777519</v>
      </c>
      <c r="R50" s="8">
        <f>(CB_SMI_Mixto_MEDIA!N21/1000000)*R$25</f>
        <v>0.72587899896777519</v>
      </c>
      <c r="S50" s="8">
        <f>(CB_SMI_Mixto_MEDIA!O21/1000000)*S$25</f>
        <v>0.72587899896777519</v>
      </c>
      <c r="T50" s="8">
        <f>(CB_SMI_Mixto_MEDIA!P21/1000000)*T$25</f>
        <v>0.72587899896777519</v>
      </c>
      <c r="U50" s="8">
        <f>(CB_SMI_Mixto_MEDIA!Q21/1000000)*U$25</f>
        <v>0.72587899896777519</v>
      </c>
      <c r="V50" s="30">
        <f t="shared" si="6"/>
        <v>9.4518499132732157E-3</v>
      </c>
      <c r="W50" s="31">
        <f>1700*0.4</f>
        <v>680</v>
      </c>
      <c r="X50" s="31">
        <f>1700*0.23</f>
        <v>391</v>
      </c>
    </row>
    <row r="51" spans="2:24" x14ac:dyDescent="0.3">
      <c r="B51" s="80"/>
      <c r="C51" s="52" t="s">
        <v>140</v>
      </c>
      <c r="D51" s="53"/>
      <c r="E51" s="53"/>
      <c r="F51" s="8">
        <v>0</v>
      </c>
      <c r="G51" s="8">
        <f>(CB_SMI_Mixto_MEDIA!C22/1000000)*G$25</f>
        <v>0</v>
      </c>
      <c r="H51" s="8">
        <f>(CB_SMI_Mixto_MEDIA!D22/1000000)*H$25</f>
        <v>0</v>
      </c>
      <c r="I51" s="8">
        <f>(CB_SMI_Mixto_MEDIA!E22/1000000)*I$25</f>
        <v>0</v>
      </c>
      <c r="J51" s="8">
        <f>(CB_SMI_Mixto_MEDIA!F22/1000000)*J$25</f>
        <v>0</v>
      </c>
      <c r="K51" s="8">
        <f>(CB_SMI_Mixto_MEDIA!G22/1000000)*K$25</f>
        <v>0</v>
      </c>
      <c r="L51" s="8">
        <f>(CB_SMI_Mixto_MEDIA!H22/1000000)*L$25</f>
        <v>0</v>
      </c>
      <c r="M51" s="8">
        <f>(CB_SMI_Mixto_MEDIA!I22/1000000)*M$25</f>
        <v>0</v>
      </c>
      <c r="N51" s="8">
        <f>(CB_SMI_Mixto_MEDIA!J22/1000000)*N$25</f>
        <v>0</v>
      </c>
      <c r="O51" s="8">
        <f>(CB_SMI_Mixto_MEDIA!K22/1000000)*O$25</f>
        <v>0</v>
      </c>
      <c r="P51" s="8">
        <f>(CB_SMI_Mixto_MEDIA!L22/1000000)*P$25</f>
        <v>0</v>
      </c>
      <c r="Q51" s="8">
        <f>(CB_SMI_Mixto_MEDIA!M22/1000000)*Q$25</f>
        <v>0</v>
      </c>
      <c r="R51" s="8">
        <f>(CB_SMI_Mixto_MEDIA!N22/1000000)*R$25</f>
        <v>0</v>
      </c>
      <c r="S51" s="8">
        <f>(CB_SMI_Mixto_MEDIA!O22/1000000)*S$25</f>
        <v>0</v>
      </c>
      <c r="T51" s="8">
        <f>(CB_SMI_Mixto_MEDIA!P22/1000000)*T$25</f>
        <v>0</v>
      </c>
      <c r="U51" s="8">
        <f>(CB_SMI_Mixto_MEDIA!Q22/1000000)*U$25</f>
        <v>0</v>
      </c>
      <c r="V51" s="30">
        <f t="shared" si="6"/>
        <v>0</v>
      </c>
      <c r="W51" s="32">
        <f>+W50*0.06</f>
        <v>40.799999999999997</v>
      </c>
      <c r="X51" s="32">
        <f>+X50*0.06</f>
        <v>23.46</v>
      </c>
    </row>
    <row r="52" spans="2:24" x14ac:dyDescent="0.3">
      <c r="B52" s="80"/>
      <c r="C52" s="52" t="s">
        <v>98</v>
      </c>
      <c r="D52" s="53"/>
      <c r="E52" s="53"/>
      <c r="F52" s="8">
        <v>0</v>
      </c>
      <c r="G52" s="8">
        <f>(CB_SMI_Mixto_MEDIA!C23/1000000)*G$25</f>
        <v>0</v>
      </c>
      <c r="H52" s="8">
        <f>(CB_SMI_Mixto_MEDIA!D23/1000000)*H$25</f>
        <v>0</v>
      </c>
      <c r="I52" s="8">
        <f>(CB_SMI_Mixto_MEDIA!E23/1000000)*I$25</f>
        <v>0</v>
      </c>
      <c r="J52" s="8">
        <f>(CB_SMI_Mixto_MEDIA!F23/1000000)*J$25</f>
        <v>0</v>
      </c>
      <c r="K52" s="8">
        <f>(CB_SMI_Mixto_MEDIA!G23/1000000)*K$25</f>
        <v>0</v>
      </c>
      <c r="L52" s="8">
        <f>(CB_SMI_Mixto_MEDIA!H23/1000000)*L$25</f>
        <v>0</v>
      </c>
      <c r="M52" s="8">
        <f>(CB_SMI_Mixto_MEDIA!I23/1000000)*M$25</f>
        <v>0</v>
      </c>
      <c r="N52" s="8">
        <f>(CB_SMI_Mixto_MEDIA!J23/1000000)*N$25</f>
        <v>0</v>
      </c>
      <c r="O52" s="8">
        <f>(CB_SMI_Mixto_MEDIA!K23/1000000)*O$25</f>
        <v>0</v>
      </c>
      <c r="P52" s="8">
        <f>(CB_SMI_Mixto_MEDIA!L23/1000000)*P$25</f>
        <v>0</v>
      </c>
      <c r="Q52" s="8">
        <f>(CB_SMI_Mixto_MEDIA!M23/1000000)*Q$25</f>
        <v>0</v>
      </c>
      <c r="R52" s="8">
        <f>(CB_SMI_Mixto_MEDIA!N23/1000000)*R$25</f>
        <v>0</v>
      </c>
      <c r="S52" s="8">
        <f>(CB_SMI_Mixto_MEDIA!O23/1000000)*S$25</f>
        <v>0</v>
      </c>
      <c r="T52" s="8">
        <f>(CB_SMI_Mixto_MEDIA!P23/1000000)*T$25</f>
        <v>0</v>
      </c>
      <c r="U52" s="8">
        <f>(CB_SMI_Mixto_MEDIA!Q23/1000000)*U$25</f>
        <v>0</v>
      </c>
      <c r="V52" s="30">
        <f t="shared" si="6"/>
        <v>0</v>
      </c>
      <c r="W52" s="32">
        <f>+W51/7</f>
        <v>5.8285714285714283</v>
      </c>
      <c r="X52" s="32">
        <f>+X51/7</f>
        <v>3.3514285714285714</v>
      </c>
    </row>
    <row r="53" spans="2:24" x14ac:dyDescent="0.3">
      <c r="B53" s="80"/>
      <c r="C53" s="52" t="s">
        <v>63</v>
      </c>
      <c r="D53" s="53"/>
      <c r="E53" s="53"/>
      <c r="F53" s="8">
        <v>0</v>
      </c>
      <c r="G53" s="8">
        <f>(CB_SMI_Mixto_MEDIA!C24/1000000)*G$25</f>
        <v>0.69287387673904999</v>
      </c>
      <c r="H53" s="8">
        <f>(CB_SMI_Mixto_MEDIA!D24/1000000)*H$25</f>
        <v>1.4646616801898247</v>
      </c>
      <c r="I53" s="8">
        <f>(CB_SMI_Mixto_MEDIA!E24/1000000)*I$25</f>
        <v>2.3036344307477212</v>
      </c>
      <c r="J53" s="8">
        <f>(CB_SMI_Mixto_MEDIA!F24/1000000)*J$25</f>
        <v>3.1997541950151001</v>
      </c>
      <c r="K53" s="8">
        <f>(CB_SMI_Mixto_MEDIA!G24/1000000)*K$25</f>
        <v>4.1436088672648843</v>
      </c>
      <c r="L53" s="8">
        <f>(CB_SMI_Mixto_MEDIA!H24/1000000)*L$25</f>
        <v>5.1218640233019865</v>
      </c>
      <c r="M53" s="8">
        <f>(CB_SMI_Mixto_MEDIA!I24/1000000)*M$25</f>
        <v>6.1320179794244458</v>
      </c>
      <c r="N53" s="8">
        <f>(CB_SMI_Mixto_MEDIA!J24/1000000)*N$25</f>
        <v>7.1649299440582226</v>
      </c>
      <c r="O53" s="8">
        <f>(CB_SMI_Mixto_MEDIA!K24/1000000)*O$25</f>
        <v>8.209395985348257</v>
      </c>
      <c r="P53" s="8">
        <f>(CB_SMI_Mixto_MEDIA!L24/1000000)*P$25</f>
        <v>9.2658240785858528</v>
      </c>
      <c r="Q53" s="8">
        <f>(CB_SMI_Mixto_MEDIA!M24/1000000)*Q$25</f>
        <v>9.5509296849869756</v>
      </c>
      <c r="R53" s="8">
        <f>(CB_SMI_Mixto_MEDIA!N24/1000000)*R$25</f>
        <v>9.8274057281233933</v>
      </c>
      <c r="S53" s="8">
        <f>(CB_SMI_Mixto_MEDIA!O24/1000000)*S$25</f>
        <v>10.081070363511429</v>
      </c>
      <c r="T53" s="8">
        <f>(CB_SMI_Mixto_MEDIA!P24/1000000)*T$25</f>
        <v>10.321312911054781</v>
      </c>
      <c r="U53" s="8">
        <f>(CB_SMI_Mixto_MEDIA!Q24/1000000)*U$25</f>
        <v>10.55028644555084</v>
      </c>
      <c r="V53" s="30">
        <f t="shared" si="6"/>
        <v>0.13737788828054284</v>
      </c>
      <c r="W53" s="32">
        <f>+W52/12</f>
        <v>0.48571428571428571</v>
      </c>
      <c r="X53" s="32">
        <f>+X52/12</f>
        <v>0.2792857142857143</v>
      </c>
    </row>
    <row r="54" spans="2:24" x14ac:dyDescent="0.3">
      <c r="B54" s="80"/>
      <c r="C54" s="52" t="s">
        <v>99</v>
      </c>
      <c r="D54" s="53"/>
      <c r="E54" s="53"/>
      <c r="F54" s="8">
        <v>0</v>
      </c>
      <c r="G54" s="8">
        <f>(CB_SMI_Mixto_MEDIA!C25/1000000)*G$25</f>
        <v>0.32089247255747794</v>
      </c>
      <c r="H54" s="8">
        <f>(CB_SMI_Mixto_MEDIA!D25/1000000)*H$25</f>
        <v>0.64196682134256922</v>
      </c>
      <c r="I54" s="8">
        <f>(CB_SMI_Mixto_MEDIA!E25/1000000)*I$25</f>
        <v>0.96322230846324419</v>
      </c>
      <c r="J54" s="8">
        <f>(CB_SMI_Mixto_MEDIA!F25/1000000)*J$25</f>
        <v>1.2846564923644961</v>
      </c>
      <c r="K54" s="8">
        <f>(CB_SMI_Mixto_MEDIA!G25/1000000)*K$25</f>
        <v>1.606261095431732</v>
      </c>
      <c r="L54" s="8">
        <f>(CB_SMI_Mixto_MEDIA!H25/1000000)*L$25</f>
        <v>1.9280339692168291</v>
      </c>
      <c r="M54" s="8">
        <f>(CB_SMI_Mixto_MEDIA!I25/1000000)*M$25</f>
        <v>2.2499906697578185</v>
      </c>
      <c r="N54" s="8">
        <f>(CB_SMI_Mixto_MEDIA!J25/1000000)*N$25</f>
        <v>2.572093296816448</v>
      </c>
      <c r="O54" s="8">
        <f>(CB_SMI_Mixto_MEDIA!K25/1000000)*O$25</f>
        <v>2.8943716226766312</v>
      </c>
      <c r="P54" s="8">
        <f>(CB_SMI_Mixto_MEDIA!L25/1000000)*P$25</f>
        <v>3.2167887790200034</v>
      </c>
      <c r="Q54" s="8">
        <f>(CB_SMI_Mixto_MEDIA!M25/1000000)*Q$25</f>
        <v>3.2749056438600004</v>
      </c>
      <c r="R54" s="8">
        <f>(CB_SMI_Mixto_MEDIA!N25/1000000)*R$25</f>
        <v>3.3340567053000001</v>
      </c>
      <c r="S54" s="8">
        <f>(CB_SMI_Mixto_MEDIA!O25/1000000)*S$25</f>
        <v>3.3942780979200009</v>
      </c>
      <c r="T54" s="8">
        <f>(CB_SMI_Mixto_MEDIA!P25/1000000)*T$25</f>
        <v>3.4555897580400003</v>
      </c>
      <c r="U54" s="8">
        <f>(CB_SMI_Mixto_MEDIA!Q25/1000000)*U$25</f>
        <v>3.5180091299399998</v>
      </c>
      <c r="V54" s="30">
        <f t="shared" si="6"/>
        <v>4.5808866680263259E-2</v>
      </c>
    </row>
    <row r="55" spans="2:24" x14ac:dyDescent="0.3">
      <c r="B55" s="80"/>
      <c r="C55" s="52" t="s">
        <v>97</v>
      </c>
      <c r="D55" s="53"/>
      <c r="E55" s="53"/>
      <c r="F55" s="8">
        <v>0</v>
      </c>
      <c r="G55" s="8">
        <f>(CB_SMI_Mixto_MEDIA!C26/1000000)*G$25</f>
        <v>0.22298593705865219</v>
      </c>
      <c r="H55" s="8">
        <f>(CB_SMI_Mixto_MEDIA!D26/1000000)*H$25</f>
        <v>0.43851654000176965</v>
      </c>
      <c r="I55" s="8">
        <f>(CB_SMI_Mixto_MEDIA!E26/1000000)*I$25</f>
        <v>0.65341136934358113</v>
      </c>
      <c r="J55" s="8">
        <f>(CB_SMI_Mixto_MEDIA!F26/1000000)*J$25</f>
        <v>0.85800523233355286</v>
      </c>
      <c r="K55" s="8">
        <f>(CB_SMI_Mixto_MEDIA!G26/1000000)*K$25</f>
        <v>1.055375614755599</v>
      </c>
      <c r="L55" s="8">
        <f>(CB_SMI_Mixto_MEDIA!H26/1000000)*L$25</f>
        <v>1.2456841426148781</v>
      </c>
      <c r="M55" s="8">
        <f>(CB_SMI_Mixto_MEDIA!I26/1000000)*M$25</f>
        <v>1.4294218822851517</v>
      </c>
      <c r="N55" s="8">
        <f>(CB_SMI_Mixto_MEDIA!J26/1000000)*N$25</f>
        <v>1.6183338779499503</v>
      </c>
      <c r="O55" s="8">
        <f>(CB_SMI_Mixto_MEDIA!K26/1000000)*O$25</f>
        <v>1.7925852336863586</v>
      </c>
      <c r="P55" s="8">
        <f>(CB_SMI_Mixto_MEDIA!L26/1000000)*P$25</f>
        <v>1.9602035822727302</v>
      </c>
      <c r="Q55" s="8">
        <f>(CB_SMI_Mixto_MEDIA!M26/1000000)*Q$25</f>
        <v>1.963487371363636</v>
      </c>
      <c r="R55" s="8">
        <f>(CB_SMI_Mixto_MEDIA!N26/1000000)*R$25</f>
        <v>1.967381258181818</v>
      </c>
      <c r="S55" s="8">
        <f>(CB_SMI_Mixto_MEDIA!O26/1000000)*S$25</f>
        <v>1.973174022272727</v>
      </c>
      <c r="T55" s="8">
        <f>(CB_SMI_Mixto_MEDIA!P26/1000000)*T$25</f>
        <v>1.9789838440909091</v>
      </c>
      <c r="U55" s="8">
        <f>(CB_SMI_Mixto_MEDIA!Q26/1000000)*U$25</f>
        <v>1.9848107618181821</v>
      </c>
      <c r="V55" s="30">
        <f t="shared" si="6"/>
        <v>2.5844711658048355E-2</v>
      </c>
    </row>
    <row r="56" spans="2:24" x14ac:dyDescent="0.3">
      <c r="B56" s="81"/>
      <c r="C56" s="82" t="s">
        <v>132</v>
      </c>
      <c r="D56" s="82"/>
      <c r="E56" s="82"/>
      <c r="F56" s="14">
        <f t="shared" ref="F56:T56" si="7">SUM(F47:F55)</f>
        <v>0</v>
      </c>
      <c r="G56" s="14">
        <f t="shared" si="7"/>
        <v>6.0871637135932533</v>
      </c>
      <c r="H56" s="14">
        <f t="shared" si="7"/>
        <v>12.33941961504509</v>
      </c>
      <c r="I56" s="14">
        <f t="shared" si="7"/>
        <v>18.753667840723949</v>
      </c>
      <c r="J56" s="14">
        <f t="shared" si="7"/>
        <v>25.311984365994203</v>
      </c>
      <c r="K56" s="14">
        <f t="shared" si="7"/>
        <v>32.009885063098835</v>
      </c>
      <c r="L56" s="14">
        <f t="shared" si="7"/>
        <v>38.836025483546322</v>
      </c>
      <c r="M56" s="14">
        <f t="shared" si="7"/>
        <v>45.790327362351455</v>
      </c>
      <c r="N56" s="14">
        <f t="shared" si="7"/>
        <v>52.877190472899947</v>
      </c>
      <c r="O56" s="14">
        <f t="shared" si="7"/>
        <v>60.067712211940787</v>
      </c>
      <c r="P56" s="14">
        <f t="shared" si="7"/>
        <v>67.371991829604426</v>
      </c>
      <c r="Q56" s="14">
        <f t="shared" si="7"/>
        <v>69.193227212764995</v>
      </c>
      <c r="R56" s="14">
        <f t="shared" si="7"/>
        <v>71.050131340148198</v>
      </c>
      <c r="S56" s="14">
        <f t="shared" si="7"/>
        <v>72.931814177013706</v>
      </c>
      <c r="T56" s="14">
        <f t="shared" si="7"/>
        <v>74.846455566191636</v>
      </c>
      <c r="U56" s="14">
        <f>SUM(U47:U55)</f>
        <v>76.797558745449891</v>
      </c>
    </row>
    <row r="58" spans="2:24" x14ac:dyDescent="0.3">
      <c r="B58" s="42" t="s">
        <v>64</v>
      </c>
      <c r="C58" s="43"/>
      <c r="D58" s="43"/>
      <c r="E58" s="43"/>
      <c r="F58" s="33">
        <f>F45+F56</f>
        <v>-67.569115244280695</v>
      </c>
      <c r="G58" s="33">
        <f>G45+G56</f>
        <v>-37.040405260784731</v>
      </c>
      <c r="H58" s="33">
        <f t="shared" ref="H58:U58" si="8">H45+H56</f>
        <v>-33.586166061062038</v>
      </c>
      <c r="I58" s="33">
        <f t="shared" si="8"/>
        <v>-29.968096824427903</v>
      </c>
      <c r="J58" s="33">
        <f t="shared" si="8"/>
        <v>-26.204448221903103</v>
      </c>
      <c r="K58" s="33">
        <f t="shared" si="8"/>
        <v>-22.299498067634069</v>
      </c>
      <c r="L58" s="33">
        <f t="shared" si="8"/>
        <v>-18.264855966963353</v>
      </c>
      <c r="M58" s="33">
        <f t="shared" si="8"/>
        <v>-14.10058816716235</v>
      </c>
      <c r="N58" s="33">
        <f t="shared" si="8"/>
        <v>-9.8022822488195871</v>
      </c>
      <c r="O58" s="33">
        <f t="shared" si="8"/>
        <v>-5.3988278023232539</v>
      </c>
      <c r="P58" s="33">
        <f t="shared" si="8"/>
        <v>-0.88050327373005643</v>
      </c>
      <c r="Q58" s="33">
        <f t="shared" si="8"/>
        <v>33.341339372262489</v>
      </c>
      <c r="R58" s="33">
        <f t="shared" si="8"/>
        <v>34.570301280840305</v>
      </c>
      <c r="S58" s="33">
        <f t="shared" si="8"/>
        <v>35.81022016754401</v>
      </c>
      <c r="T58" s="33">
        <f t="shared" si="8"/>
        <v>37.070480724372025</v>
      </c>
      <c r="U58" s="33">
        <f t="shared" si="8"/>
        <v>38.356563290172652</v>
      </c>
    </row>
    <row r="60" spans="2:24" x14ac:dyDescent="0.3">
      <c r="B60" s="42" t="s">
        <v>156</v>
      </c>
      <c r="C60" s="43"/>
      <c r="D60" s="43"/>
      <c r="E60" s="43"/>
      <c r="F60" s="33">
        <v>0</v>
      </c>
      <c r="G60" s="33">
        <f>F61</f>
        <v>-67.569115244280695</v>
      </c>
      <c r="H60" s="33">
        <f t="shared" ref="H60:U60" si="9">G61</f>
        <v>-104.60952050506543</v>
      </c>
      <c r="I60" s="33">
        <f t="shared" si="9"/>
        <v>-138.19568656612748</v>
      </c>
      <c r="J60" s="33">
        <f t="shared" si="9"/>
        <v>-168.16378339055538</v>
      </c>
      <c r="K60" s="33">
        <f t="shared" si="9"/>
        <v>-194.36823161245849</v>
      </c>
      <c r="L60" s="33">
        <f>K61</f>
        <v>-216.66772968009255</v>
      </c>
      <c r="M60" s="33">
        <f t="shared" si="9"/>
        <v>-234.9325856470559</v>
      </c>
      <c r="N60" s="33">
        <f t="shared" si="9"/>
        <v>-249.03317381421826</v>
      </c>
      <c r="O60" s="33">
        <f t="shared" si="9"/>
        <v>-258.83545606303784</v>
      </c>
      <c r="P60" s="33">
        <f t="shared" si="9"/>
        <v>-264.23428386536108</v>
      </c>
      <c r="Q60" s="33">
        <f t="shared" si="9"/>
        <v>-265.11478713909116</v>
      </c>
      <c r="R60" s="33">
        <f t="shared" si="9"/>
        <v>-231.77344776682867</v>
      </c>
      <c r="S60" s="33">
        <f t="shared" si="9"/>
        <v>-197.20314648598836</v>
      </c>
      <c r="T60" s="33">
        <f t="shared" si="9"/>
        <v>-161.39292631844435</v>
      </c>
      <c r="U60" s="33">
        <f t="shared" si="9"/>
        <v>-124.32244559407232</v>
      </c>
    </row>
    <row r="61" spans="2:24" x14ac:dyDescent="0.3">
      <c r="B61" s="42" t="s">
        <v>109</v>
      </c>
      <c r="C61" s="43"/>
      <c r="D61" s="43"/>
      <c r="E61" s="43"/>
      <c r="F61" s="33">
        <f>F58+F60</f>
        <v>-67.569115244280695</v>
      </c>
      <c r="G61" s="33">
        <f>G58+G60</f>
        <v>-104.60952050506543</v>
      </c>
      <c r="H61" s="33">
        <f t="shared" ref="H61:U61" si="10">H58+H60</f>
        <v>-138.19568656612748</v>
      </c>
      <c r="I61" s="33">
        <f t="shared" si="10"/>
        <v>-168.16378339055538</v>
      </c>
      <c r="J61" s="33">
        <f t="shared" si="10"/>
        <v>-194.36823161245849</v>
      </c>
      <c r="K61" s="33">
        <f t="shared" si="10"/>
        <v>-216.66772968009255</v>
      </c>
      <c r="L61" s="33">
        <f t="shared" si="10"/>
        <v>-234.9325856470559</v>
      </c>
      <c r="M61" s="33">
        <f t="shared" si="10"/>
        <v>-249.03317381421826</v>
      </c>
      <c r="N61" s="33">
        <f t="shared" si="10"/>
        <v>-258.83545606303784</v>
      </c>
      <c r="O61" s="33">
        <f t="shared" si="10"/>
        <v>-264.23428386536108</v>
      </c>
      <c r="P61" s="33">
        <f t="shared" si="10"/>
        <v>-265.11478713909116</v>
      </c>
      <c r="Q61" s="33">
        <f t="shared" si="10"/>
        <v>-231.77344776682867</v>
      </c>
      <c r="R61" s="33">
        <f t="shared" si="10"/>
        <v>-197.20314648598836</v>
      </c>
      <c r="S61" s="33">
        <f t="shared" si="10"/>
        <v>-161.39292631844435</v>
      </c>
      <c r="T61" s="33">
        <f t="shared" si="10"/>
        <v>-124.32244559407232</v>
      </c>
      <c r="U61" s="33">
        <f t="shared" si="10"/>
        <v>-85.965882303899662</v>
      </c>
    </row>
    <row r="62" spans="2:24" x14ac:dyDescent="0.3"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2:24" x14ac:dyDescent="0.3">
      <c r="B63" s="89" t="s">
        <v>157</v>
      </c>
      <c r="C63" s="90"/>
      <c r="D63" s="90"/>
      <c r="E63" s="90"/>
      <c r="F63" s="35">
        <f>F58/(1+0.06)^F27</f>
        <v>-67.569115244280695</v>
      </c>
      <c r="G63" s="35">
        <f>G58/(1+0.06)^G27</f>
        <v>-34.943778547910121</v>
      </c>
      <c r="H63" s="35">
        <f t="shared" ref="H63:T63" si="11">H58/(1+0.06)^H27</f>
        <v>-29.891568228072298</v>
      </c>
      <c r="I63" s="35">
        <f t="shared" si="11"/>
        <v>-25.16179196956875</v>
      </c>
      <c r="J63" s="35">
        <f t="shared" si="11"/>
        <v>-20.756377385218258</v>
      </c>
      <c r="K63" s="35">
        <f t="shared" si="11"/>
        <v>-16.663482181850402</v>
      </c>
      <c r="L63" s="35">
        <f t="shared" si="11"/>
        <v>-12.876002733523331</v>
      </c>
      <c r="M63" s="35">
        <f>M58/(1+0.06)^M27</f>
        <v>-9.3776964668302583</v>
      </c>
      <c r="N63" s="35">
        <f t="shared" si="11"/>
        <v>-6.1500731502937889</v>
      </c>
      <c r="O63" s="35">
        <f t="shared" si="11"/>
        <v>-3.1955578810583156</v>
      </c>
      <c r="P63" s="35">
        <f t="shared" si="11"/>
        <v>-0.49166842910752584</v>
      </c>
      <c r="Q63" s="35">
        <f t="shared" si="11"/>
        <v>17.563801661156365</v>
      </c>
      <c r="R63" s="35">
        <f t="shared" si="11"/>
        <v>17.180380626204371</v>
      </c>
      <c r="S63" s="35">
        <f t="shared" si="11"/>
        <v>16.789228609638315</v>
      </c>
      <c r="T63" s="35">
        <f t="shared" si="11"/>
        <v>16.396309374407821</v>
      </c>
      <c r="U63" s="35">
        <f>U58/(1+0.06)^U27</f>
        <v>16.004853710880489</v>
      </c>
    </row>
    <row r="64" spans="2:24" x14ac:dyDescent="0.3">
      <c r="B64" s="89" t="s">
        <v>158</v>
      </c>
      <c r="C64" s="90"/>
      <c r="D64" s="90"/>
      <c r="E64" s="90"/>
      <c r="F64" s="35">
        <f>F63</f>
        <v>-67.569115244280695</v>
      </c>
      <c r="G64" s="35">
        <f>F64+G63</f>
        <v>-102.51289379219082</v>
      </c>
      <c r="H64" s="35">
        <f t="shared" ref="H64:U64" si="12">G64+H63</f>
        <v>-132.40446202026311</v>
      </c>
      <c r="I64" s="35">
        <f t="shared" si="12"/>
        <v>-157.56625398983186</v>
      </c>
      <c r="J64" s="35">
        <f t="shared" si="12"/>
        <v>-178.32263137505012</v>
      </c>
      <c r="K64" s="35">
        <f t="shared" si="12"/>
        <v>-194.98611355690053</v>
      </c>
      <c r="L64" s="35">
        <f t="shared" si="12"/>
        <v>-207.86211629042387</v>
      </c>
      <c r="M64" s="35">
        <f t="shared" si="12"/>
        <v>-217.23981275725413</v>
      </c>
      <c r="N64" s="35">
        <f t="shared" si="12"/>
        <v>-223.38988590754792</v>
      </c>
      <c r="O64" s="35">
        <f t="shared" si="12"/>
        <v>-226.58544378860623</v>
      </c>
      <c r="P64" s="35">
        <f t="shared" si="12"/>
        <v>-227.07711221771376</v>
      </c>
      <c r="Q64" s="35">
        <f t="shared" si="12"/>
        <v>-209.5133105565574</v>
      </c>
      <c r="R64" s="35">
        <f t="shared" si="12"/>
        <v>-192.33292993035303</v>
      </c>
      <c r="S64" s="35">
        <f t="shared" si="12"/>
        <v>-175.54370132071472</v>
      </c>
      <c r="T64" s="35">
        <f t="shared" si="12"/>
        <v>-159.1473919463069</v>
      </c>
      <c r="U64" s="35">
        <f t="shared" si="12"/>
        <v>-143.1425382354264</v>
      </c>
    </row>
    <row r="67" spans="2:20" x14ac:dyDescent="0.3">
      <c r="B67" s="91" t="s">
        <v>159</v>
      </c>
      <c r="C67" s="91"/>
      <c r="D67" s="36">
        <f>J4</f>
        <v>0.06</v>
      </c>
      <c r="H67" s="85" t="s">
        <v>160</v>
      </c>
      <c r="I67" s="85"/>
      <c r="J67" s="85" t="s">
        <v>161</v>
      </c>
      <c r="K67" s="85"/>
      <c r="L67" s="85" t="s">
        <v>162</v>
      </c>
      <c r="M67" s="85"/>
    </row>
    <row r="68" spans="2:20" x14ac:dyDescent="0.3">
      <c r="B68" s="47"/>
      <c r="C68" s="47"/>
      <c r="F68" s="86" t="s">
        <v>163</v>
      </c>
      <c r="G68" s="86"/>
      <c r="H68" s="87">
        <f>NPV(D67,G45:U45)+F45</f>
        <v>-554.86598910599469</v>
      </c>
      <c r="I68" s="87"/>
      <c r="J68" s="87">
        <f>H68*1000000/$D$74</f>
        <v>-257.05662963508354</v>
      </c>
      <c r="K68" s="87"/>
      <c r="L68" s="88">
        <f>J68*$S$4</f>
        <v>-246609.84820671374</v>
      </c>
      <c r="M68" s="88"/>
      <c r="S68" s="6"/>
      <c r="T68" s="6"/>
    </row>
    <row r="69" spans="2:20" x14ac:dyDescent="0.3">
      <c r="B69" s="70" t="s">
        <v>110</v>
      </c>
      <c r="C69" s="70"/>
      <c r="D69" s="38">
        <f>NPV(D67,G58:U58)+F58</f>
        <v>-143.1425382354264</v>
      </c>
      <c r="F69" s="95" t="s">
        <v>164</v>
      </c>
      <c r="G69" s="95"/>
      <c r="H69" s="96">
        <f>PMT(D67,15,-H68)</f>
        <v>-57.130535863151643</v>
      </c>
      <c r="I69" s="96"/>
      <c r="J69" s="96">
        <f>H69*1000000/$D$74</f>
        <v>-26.467261080265345</v>
      </c>
      <c r="K69" s="96"/>
      <c r="L69" s="97">
        <f t="shared" ref="L69" si="13">J69*$S$4</f>
        <v>-25391.631589963363</v>
      </c>
      <c r="M69" s="97"/>
    </row>
    <row r="70" spans="2:20" x14ac:dyDescent="0.3">
      <c r="B70" s="70" t="s">
        <v>111</v>
      </c>
      <c r="C70" s="70"/>
      <c r="D70" s="39">
        <f>IRR(F58:U58)</f>
        <v>-3.7951003482533219E-2</v>
      </c>
      <c r="F70" s="92" t="s">
        <v>165</v>
      </c>
      <c r="G70" s="92"/>
      <c r="H70" s="93">
        <f>H69/12</f>
        <v>-4.7608779885959702</v>
      </c>
      <c r="I70" s="93"/>
      <c r="J70" s="93">
        <f t="shared" ref="J70" si="14">J69/12</f>
        <v>-2.2056050900221122</v>
      </c>
      <c r="K70" s="93"/>
      <c r="L70" s="94">
        <f>L69/12</f>
        <v>-2115.9692991636134</v>
      </c>
      <c r="M70" s="94"/>
    </row>
    <row r="71" spans="2:20" x14ac:dyDescent="0.3">
      <c r="B71" s="70" t="s">
        <v>166</v>
      </c>
      <c r="C71" s="70"/>
      <c r="D71" s="40">
        <f>NPV(D67,G56:U56)/-(F36+NPV(D67,G36:U36)+NPV(D67,G43:U43))</f>
        <v>0.74202322534481002</v>
      </c>
      <c r="F71" s="100"/>
      <c r="G71" s="100"/>
      <c r="L71" s="41"/>
      <c r="M71" s="41"/>
    </row>
    <row r="72" spans="2:20" x14ac:dyDescent="0.3">
      <c r="B72" s="47"/>
      <c r="C72" s="47"/>
      <c r="F72" s="101" t="s">
        <v>167</v>
      </c>
      <c r="G72" s="101"/>
      <c r="H72" s="87">
        <f>NPV(D67,G56:U56)+F56</f>
        <v>411.7234508705684</v>
      </c>
      <c r="I72" s="87"/>
      <c r="J72" s="87">
        <f>H72*1000000/$D$74</f>
        <v>190.74198941809095</v>
      </c>
      <c r="K72" s="87"/>
      <c r="L72" s="88">
        <f>J72*$S$4</f>
        <v>182990.23496813973</v>
      </c>
      <c r="M72" s="88"/>
    </row>
    <row r="73" spans="2:20" x14ac:dyDescent="0.3">
      <c r="B73" s="70" t="s">
        <v>168</v>
      </c>
      <c r="C73" s="70"/>
      <c r="D73" s="4">
        <v>2527114</v>
      </c>
      <c r="F73" s="99" t="s">
        <v>169</v>
      </c>
      <c r="G73" s="99"/>
      <c r="H73" s="96">
        <f>PMT(D67,15,-H72)</f>
        <v>42.392184486853118</v>
      </c>
      <c r="I73" s="96"/>
      <c r="J73" s="96">
        <f>H73*1000000/$D$74</f>
        <v>19.63932243282165</v>
      </c>
      <c r="K73" s="96"/>
      <c r="L73" s="97">
        <f>J73*$S$4</f>
        <v>18841.180369151778</v>
      </c>
      <c r="M73" s="97"/>
    </row>
    <row r="74" spans="2:20" x14ac:dyDescent="0.3">
      <c r="B74" s="70" t="s">
        <v>170</v>
      </c>
      <c r="C74" s="70"/>
      <c r="D74" s="4">
        <v>2158536</v>
      </c>
      <c r="F74" s="103" t="s">
        <v>171</v>
      </c>
      <c r="G74" s="103"/>
      <c r="H74" s="104">
        <f>H73/12</f>
        <v>3.532682040571093</v>
      </c>
      <c r="I74" s="104"/>
      <c r="J74" s="104">
        <f t="shared" ref="J74" si="15">J73/12</f>
        <v>1.6366102027351375</v>
      </c>
      <c r="K74" s="104"/>
      <c r="L74" s="98">
        <f>L73/12</f>
        <v>1570.0983640959814</v>
      </c>
      <c r="M74" s="98"/>
    </row>
    <row r="75" spans="2:20" x14ac:dyDescent="0.3">
      <c r="B75" s="70" t="s">
        <v>172</v>
      </c>
      <c r="C75" s="70"/>
      <c r="D75" s="4">
        <v>1173397</v>
      </c>
      <c r="F75" s="100"/>
      <c r="G75" s="100"/>
      <c r="L75" s="41"/>
      <c r="M75" s="41"/>
    </row>
    <row r="76" spans="2:20" x14ac:dyDescent="0.3">
      <c r="B76" s="70" t="s">
        <v>173</v>
      </c>
      <c r="C76" s="70"/>
      <c r="D76" s="4">
        <v>1288141</v>
      </c>
      <c r="F76" s="102" t="s">
        <v>174</v>
      </c>
      <c r="G76" s="102"/>
      <c r="H76" s="87">
        <f>H72+H68</f>
        <v>-143.14253823542629</v>
      </c>
      <c r="I76" s="87"/>
      <c r="J76" s="87">
        <f>J68+J72</f>
        <v>-66.314640216992586</v>
      </c>
      <c r="K76" s="87"/>
      <c r="L76" s="88">
        <f>J76*$S$4</f>
        <v>-63619.613238574006</v>
      </c>
      <c r="M76" s="88"/>
    </row>
    <row r="77" spans="2:20" x14ac:dyDescent="0.3">
      <c r="B77" s="70" t="s">
        <v>175</v>
      </c>
      <c r="C77" s="70"/>
      <c r="D77" s="4">
        <v>593823</v>
      </c>
      <c r="F77" s="108" t="s">
        <v>176</v>
      </c>
      <c r="G77" s="108"/>
      <c r="H77" s="96">
        <f>PMT(D67,15,-H76)</f>
        <v>-14.738351376298519</v>
      </c>
      <c r="I77" s="96"/>
      <c r="J77" s="96">
        <f>J69+J73</f>
        <v>-6.8279386474436947</v>
      </c>
      <c r="K77" s="96"/>
      <c r="L77" s="97">
        <f>J77*$S$4</f>
        <v>-6550.451220811583</v>
      </c>
      <c r="M77" s="97"/>
    </row>
    <row r="78" spans="2:20" x14ac:dyDescent="0.3">
      <c r="B78" s="47"/>
      <c r="C78" s="47"/>
      <c r="D78" s="37"/>
      <c r="F78" s="105" t="s">
        <v>177</v>
      </c>
      <c r="G78" s="105"/>
      <c r="H78" s="106">
        <f>H77/12</f>
        <v>-1.2281959480248765</v>
      </c>
      <c r="I78" s="106"/>
      <c r="J78" s="106">
        <f t="shared" ref="J78" si="16">J77/12</f>
        <v>-0.56899488728697456</v>
      </c>
      <c r="K78" s="106"/>
      <c r="L78" s="107">
        <f t="shared" ref="L78" si="17">L77/12</f>
        <v>-545.87093506763188</v>
      </c>
      <c r="M78" s="107"/>
    </row>
    <row r="79" spans="2:20" x14ac:dyDescent="0.3">
      <c r="B79" s="83" t="s">
        <v>178</v>
      </c>
      <c r="C79" s="83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31" priority="9" operator="lessThan">
      <formula>0</formula>
    </cfRule>
  </conditionalFormatting>
  <conditionalFormatting sqref="F38:U43">
    <cfRule type="cellIs" dxfId="30" priority="7" operator="lessThan">
      <formula>0</formula>
    </cfRule>
  </conditionalFormatting>
  <conditionalFormatting sqref="F45:U45">
    <cfRule type="cellIs" dxfId="29" priority="5" operator="lessThan">
      <formula>0</formula>
    </cfRule>
  </conditionalFormatting>
  <conditionalFormatting sqref="F47:U56">
    <cfRule type="cellIs" dxfId="28" priority="8" operator="lessThan">
      <formula>0</formula>
    </cfRule>
  </conditionalFormatting>
  <conditionalFormatting sqref="F58:U61">
    <cfRule type="cellIs" dxfId="27" priority="3" operator="lessThan">
      <formula>0</formula>
    </cfRule>
  </conditionalFormatting>
  <conditionalFormatting sqref="F63:U64">
    <cfRule type="cellIs" dxfId="26" priority="2" operator="lessThan">
      <formula>0</formula>
    </cfRule>
  </conditionalFormatting>
  <conditionalFormatting sqref="H68:M69 H70 J70 H72:M73 H74 J74 H76:M78">
    <cfRule type="cellIs" dxfId="25" priority="4" operator="lessThan">
      <formula>0</formula>
    </cfRule>
  </conditionalFormatting>
  <conditionalFormatting sqref="L70 L74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4548-B4B8-4555-9131-B4756C0CCEB7}">
  <sheetPr>
    <tabColor theme="9" tint="-0.499984740745262"/>
  </sheetPr>
  <dimension ref="A1:Q26"/>
  <sheetViews>
    <sheetView zoomScale="80" zoomScaleNormal="80" workbookViewId="0">
      <selection activeCell="E14" sqref="E14"/>
    </sheetView>
  </sheetViews>
  <sheetFormatPr baseColWidth="10" defaultRowHeight="14.4" x14ac:dyDescent="0.3"/>
  <cols>
    <col min="1" max="1" width="47.109375" bestFit="1" customWidth="1"/>
    <col min="2" max="11" width="12.6640625" bestFit="1" customWidth="1"/>
    <col min="12" max="17" width="13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7398893.3837516867</v>
      </c>
      <c r="C2">
        <v>7622339.9639409883</v>
      </c>
      <c r="D2">
        <v>7852534.6308520073</v>
      </c>
      <c r="E2">
        <v>8089681.1767037362</v>
      </c>
      <c r="F2">
        <v>8333989.5482401904</v>
      </c>
      <c r="G2">
        <v>8585676.0325970426</v>
      </c>
      <c r="H2">
        <v>8844963.4487814736</v>
      </c>
      <c r="I2">
        <v>9112081.344934674</v>
      </c>
      <c r="J2">
        <v>9387266.2015517019</v>
      </c>
      <c r="K2">
        <v>9670761.6408385634</v>
      </c>
      <c r="L2">
        <v>9962818.6423918866</v>
      </c>
      <c r="M2">
        <v>10263695.765392121</v>
      </c>
      <c r="N2">
        <v>10573659.377506969</v>
      </c>
      <c r="O2">
        <v>10892983.890707679</v>
      </c>
      <c r="P2">
        <v>11221952.00420705</v>
      </c>
      <c r="Q2">
        <v>11560854.9547341</v>
      </c>
    </row>
    <row r="3" spans="1:17" x14ac:dyDescent="0.3">
      <c r="A3" t="s">
        <v>102</v>
      </c>
      <c r="B3">
        <v>1166125</v>
      </c>
      <c r="C3">
        <v>9774</v>
      </c>
      <c r="D3">
        <v>9854</v>
      </c>
      <c r="E3">
        <v>9935</v>
      </c>
      <c r="F3">
        <v>10023</v>
      </c>
      <c r="G3">
        <v>10106</v>
      </c>
      <c r="H3">
        <v>10186</v>
      </c>
      <c r="I3">
        <v>10276</v>
      </c>
      <c r="J3">
        <v>10361</v>
      </c>
      <c r="K3">
        <v>10448</v>
      </c>
      <c r="L3">
        <v>10530</v>
      </c>
      <c r="M3">
        <v>10622</v>
      </c>
      <c r="N3">
        <v>10713</v>
      </c>
      <c r="O3">
        <v>10802</v>
      </c>
      <c r="P3">
        <v>10897</v>
      </c>
      <c r="Q3">
        <v>10989</v>
      </c>
    </row>
    <row r="4" spans="1:17" x14ac:dyDescent="0.3">
      <c r="A4" t="s">
        <v>103</v>
      </c>
      <c r="B4">
        <v>10391</v>
      </c>
      <c r="C4">
        <v>125</v>
      </c>
      <c r="D4">
        <v>128</v>
      </c>
      <c r="E4">
        <v>128</v>
      </c>
      <c r="F4">
        <v>132</v>
      </c>
      <c r="G4">
        <v>135</v>
      </c>
      <c r="H4">
        <v>137</v>
      </c>
      <c r="I4">
        <v>137</v>
      </c>
      <c r="J4">
        <v>139</v>
      </c>
      <c r="K4">
        <v>139</v>
      </c>
      <c r="L4">
        <v>144</v>
      </c>
      <c r="M4">
        <v>146</v>
      </c>
      <c r="N4">
        <v>148</v>
      </c>
      <c r="O4">
        <v>152</v>
      </c>
      <c r="P4">
        <v>153</v>
      </c>
      <c r="Q4">
        <v>157</v>
      </c>
    </row>
    <row r="5" spans="1:17" x14ac:dyDescent="0.3">
      <c r="A5" t="s">
        <v>104</v>
      </c>
      <c r="B5">
        <v>32983</v>
      </c>
      <c r="C5">
        <v>19</v>
      </c>
      <c r="D5">
        <v>19</v>
      </c>
      <c r="E5">
        <v>19</v>
      </c>
      <c r="F5">
        <v>19</v>
      </c>
      <c r="G5">
        <v>19</v>
      </c>
      <c r="H5">
        <v>19</v>
      </c>
      <c r="I5">
        <v>19</v>
      </c>
      <c r="J5">
        <v>19</v>
      </c>
      <c r="K5">
        <v>19</v>
      </c>
      <c r="L5">
        <v>19</v>
      </c>
      <c r="M5">
        <v>19</v>
      </c>
      <c r="N5">
        <v>19</v>
      </c>
      <c r="O5">
        <v>19</v>
      </c>
      <c r="P5">
        <v>19</v>
      </c>
      <c r="Q5">
        <v>19</v>
      </c>
    </row>
    <row r="6" spans="1:17" x14ac:dyDescent="0.3">
      <c r="A6" t="s">
        <v>133</v>
      </c>
      <c r="B6">
        <v>1199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154.34666666666661</v>
      </c>
      <c r="C7">
        <v>154.34666666666669</v>
      </c>
      <c r="D7">
        <v>154.34666666666669</v>
      </c>
      <c r="E7">
        <v>154.34666666666669</v>
      </c>
      <c r="F7">
        <v>154.34666666666669</v>
      </c>
      <c r="G7">
        <v>154.34666666666661</v>
      </c>
      <c r="H7">
        <v>154.34666666666669</v>
      </c>
      <c r="I7">
        <v>154.34666666666669</v>
      </c>
      <c r="J7">
        <v>154.34666666666669</v>
      </c>
      <c r="K7">
        <v>154.34666666666669</v>
      </c>
      <c r="L7">
        <v>154.34666666666669</v>
      </c>
      <c r="M7">
        <v>154.34666666666669</v>
      </c>
      <c r="N7">
        <v>154.34666666666669</v>
      </c>
      <c r="O7">
        <v>154.34666666666669</v>
      </c>
      <c r="P7">
        <v>154.34666666666661</v>
      </c>
      <c r="Q7">
        <v>154.34666666666669</v>
      </c>
    </row>
    <row r="8" spans="1:17" x14ac:dyDescent="0.3">
      <c r="A8" t="s">
        <v>135</v>
      </c>
      <c r="B8">
        <v>333.52</v>
      </c>
      <c r="C8">
        <v>333.52</v>
      </c>
      <c r="D8">
        <v>333.52</v>
      </c>
      <c r="E8">
        <v>333.52</v>
      </c>
      <c r="F8">
        <v>333.52</v>
      </c>
      <c r="G8">
        <v>333.52</v>
      </c>
      <c r="H8">
        <v>333.52</v>
      </c>
      <c r="I8">
        <v>333.52</v>
      </c>
      <c r="J8">
        <v>333.52</v>
      </c>
      <c r="K8">
        <v>333.52</v>
      </c>
      <c r="L8">
        <v>333.52</v>
      </c>
      <c r="M8">
        <v>333.52</v>
      </c>
      <c r="N8">
        <v>333.51999999999992</v>
      </c>
      <c r="O8">
        <v>333.52</v>
      </c>
      <c r="P8">
        <v>333.52</v>
      </c>
      <c r="Q8">
        <v>333.52</v>
      </c>
    </row>
    <row r="9" spans="1:17" x14ac:dyDescent="0.3">
      <c r="A9" t="s">
        <v>136</v>
      </c>
      <c r="B9">
        <v>779.93200000000002</v>
      </c>
      <c r="C9">
        <v>779.93200000000002</v>
      </c>
      <c r="D9">
        <v>779.93200000000002</v>
      </c>
      <c r="E9">
        <v>779.93200000000002</v>
      </c>
      <c r="F9">
        <v>779.93200000000002</v>
      </c>
      <c r="G9">
        <v>779.93200000000002</v>
      </c>
      <c r="H9">
        <v>779.93200000000002</v>
      </c>
      <c r="I9">
        <v>779.93200000000002</v>
      </c>
      <c r="J9">
        <v>779.93200000000002</v>
      </c>
      <c r="K9">
        <v>779.93200000000002</v>
      </c>
      <c r="L9">
        <v>779.93200000000002</v>
      </c>
      <c r="M9">
        <v>779.93200000000002</v>
      </c>
      <c r="N9">
        <v>779.93200000000002</v>
      </c>
      <c r="O9">
        <v>779.93200000000002</v>
      </c>
      <c r="P9">
        <v>779.93200000000002</v>
      </c>
      <c r="Q9">
        <v>779.93200000000002</v>
      </c>
    </row>
    <row r="10" spans="1:17" x14ac:dyDescent="0.3">
      <c r="A10" t="s">
        <v>137</v>
      </c>
      <c r="B10">
        <v>853.52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22195516.149</v>
      </c>
      <c r="C11">
        <v>182005.21799999999</v>
      </c>
      <c r="D11">
        <v>183528.351</v>
      </c>
      <c r="E11">
        <v>185014.78200000001</v>
      </c>
      <c r="F11">
        <v>186703.07399999999</v>
      </c>
      <c r="G11">
        <v>188281.26</v>
      </c>
      <c r="H11">
        <v>189786.04199999999</v>
      </c>
      <c r="I11">
        <v>191437.63200000001</v>
      </c>
      <c r="J11">
        <v>193034.16899999999</v>
      </c>
      <c r="K11">
        <v>194630.70600000001</v>
      </c>
      <c r="L11">
        <v>196227.24299999999</v>
      </c>
      <c r="M11">
        <v>197952.23699999999</v>
      </c>
      <c r="N11">
        <v>199658.88</v>
      </c>
      <c r="O11">
        <v>201365.52299999999</v>
      </c>
      <c r="P11">
        <v>203127.21900000001</v>
      </c>
      <c r="Q11">
        <v>204888.91500000001</v>
      </c>
    </row>
    <row r="12" spans="1:17" x14ac:dyDescent="0.3">
      <c r="A12" t="s">
        <v>141</v>
      </c>
      <c r="B12">
        <v>1667835.463157895</v>
      </c>
      <c r="C12">
        <v>13676.4</v>
      </c>
      <c r="D12">
        <v>13790.85263157895</v>
      </c>
      <c r="E12">
        <v>13902.54736842105</v>
      </c>
      <c r="F12">
        <v>14029.410526315791</v>
      </c>
      <c r="G12">
        <v>14148</v>
      </c>
      <c r="H12">
        <v>14261.073684210531</v>
      </c>
      <c r="I12">
        <v>14385.17894736842</v>
      </c>
      <c r="J12">
        <v>14505.14736842105</v>
      </c>
      <c r="K12">
        <v>14625.11578947369</v>
      </c>
      <c r="L12">
        <v>14745.08421052632</v>
      </c>
      <c r="M12">
        <v>14874.705263157901</v>
      </c>
      <c r="N12">
        <v>15002.947368421061</v>
      </c>
      <c r="O12">
        <v>15131.18947368421</v>
      </c>
      <c r="P12">
        <v>15263.568421052631</v>
      </c>
      <c r="Q12">
        <v>15395.947368421061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47032.154769846573</v>
      </c>
      <c r="C14">
        <v>47032.154769846573</v>
      </c>
      <c r="D14">
        <v>47032.154769846573</v>
      </c>
      <c r="E14">
        <v>47032.154769846573</v>
      </c>
      <c r="F14">
        <v>47032.154769846573</v>
      </c>
      <c r="G14">
        <v>47032.154769846573</v>
      </c>
      <c r="H14">
        <v>47032.154769846573</v>
      </c>
      <c r="I14">
        <v>47032.154769846573</v>
      </c>
      <c r="J14">
        <v>47032.154769846573</v>
      </c>
      <c r="K14">
        <v>47032.154769846573</v>
      </c>
      <c r="L14">
        <v>47032.154769846573</v>
      </c>
      <c r="M14">
        <v>47032.154769846573</v>
      </c>
      <c r="N14">
        <v>47032.154769846573</v>
      </c>
      <c r="O14">
        <v>47032.154769846573</v>
      </c>
      <c r="P14">
        <v>47032.154769846573</v>
      </c>
      <c r="Q14">
        <v>47032.154769846573</v>
      </c>
    </row>
    <row r="15" spans="1:17" x14ac:dyDescent="0.3">
      <c r="A15" t="s">
        <v>85</v>
      </c>
      <c r="B15">
        <v>9658240.8472314887</v>
      </c>
      <c r="C15">
        <v>9737439.2861907929</v>
      </c>
      <c r="D15">
        <v>9817300.5070046708</v>
      </c>
      <c r="E15">
        <v>9897808.5390260182</v>
      </c>
      <c r="F15">
        <v>9979051.2208138779</v>
      </c>
      <c r="G15">
        <v>10060980.640426951</v>
      </c>
      <c r="H15">
        <v>10143564.85657105</v>
      </c>
      <c r="I15">
        <v>10226867.75183456</v>
      </c>
      <c r="J15">
        <v>10310865.370246829</v>
      </c>
      <c r="K15">
        <v>10395557.711807869</v>
      </c>
      <c r="L15">
        <v>10480944.77651768</v>
      </c>
      <c r="M15">
        <v>10567082.461641099</v>
      </c>
      <c r="N15">
        <v>10653962.78185457</v>
      </c>
      <c r="O15">
        <v>10741585.737158099</v>
      </c>
      <c r="P15">
        <v>10829975.283522351</v>
      </c>
      <c r="Q15">
        <v>10919131.4209473</v>
      </c>
    </row>
    <row r="16" spans="1:17" x14ac:dyDescent="0.3">
      <c r="A16" t="s">
        <v>142</v>
      </c>
      <c r="B16">
        <v>1370776.142973684</v>
      </c>
      <c r="C16">
        <v>1382016.629973684</v>
      </c>
      <c r="D16">
        <v>1393351.1843684211</v>
      </c>
      <c r="E16">
        <v>1404777.539473684</v>
      </c>
      <c r="F16">
        <v>1416308.1620526309</v>
      </c>
      <c r="G16">
        <v>1427936.252052631</v>
      </c>
      <c r="H16">
        <v>1439657.276105263</v>
      </c>
      <c r="I16">
        <v>1451480.3009473691</v>
      </c>
      <c r="J16">
        <v>1463401.9265526319</v>
      </c>
      <c r="K16">
        <v>1475422.1529210531</v>
      </c>
      <c r="L16">
        <v>1487540.9800526311</v>
      </c>
      <c r="M16">
        <v>1499766.3413421051</v>
      </c>
      <c r="N16">
        <v>1512097.1034473679</v>
      </c>
      <c r="O16">
        <v>1524533.266368421</v>
      </c>
      <c r="P16">
        <v>1537078.2301315791</v>
      </c>
      <c r="Q16">
        <v>1549731.9947368421</v>
      </c>
    </row>
    <row r="17" spans="1:17" x14ac:dyDescent="0.3">
      <c r="A17" t="s">
        <v>86</v>
      </c>
      <c r="B17">
        <v>1502197.7579999999</v>
      </c>
      <c r="C17">
        <v>1514515.9140000001</v>
      </c>
      <c r="D17">
        <v>1526937.156</v>
      </c>
      <c r="E17">
        <v>1539459</v>
      </c>
      <c r="F17">
        <v>1552095.108</v>
      </c>
      <c r="G17">
        <v>1564838.0279999999</v>
      </c>
      <c r="H17">
        <v>1577682.7919999999</v>
      </c>
      <c r="I17">
        <v>1590639.3359999999</v>
      </c>
      <c r="J17">
        <v>1603703.9339999999</v>
      </c>
      <c r="K17">
        <v>1616876.5859999999</v>
      </c>
      <c r="L17">
        <v>1630157.2919999999</v>
      </c>
      <c r="M17">
        <v>1643554.746</v>
      </c>
      <c r="N17">
        <v>1657067.706</v>
      </c>
      <c r="O17">
        <v>1670696.172</v>
      </c>
      <c r="P17">
        <v>1684443.87</v>
      </c>
      <c r="Q17">
        <v>1698310.8</v>
      </c>
    </row>
    <row r="18" spans="1:17" x14ac:dyDescent="0.3">
      <c r="A18" t="s">
        <v>87</v>
      </c>
      <c r="B18">
        <v>4996764.7625999991</v>
      </c>
      <c r="C18">
        <v>5038913.9232000001</v>
      </c>
      <c r="D18">
        <v>5081430.0941999992</v>
      </c>
      <c r="E18">
        <v>5124300.8766000001</v>
      </c>
      <c r="F18">
        <v>5167541.1491999999</v>
      </c>
      <c r="G18">
        <v>5211138.5130000003</v>
      </c>
      <c r="H18">
        <v>5255097.9276000001</v>
      </c>
      <c r="I18">
        <v>5299446.6708000004</v>
      </c>
      <c r="J18">
        <v>5344172.3436000012</v>
      </c>
      <c r="K18">
        <v>5389252.6278000008</v>
      </c>
      <c r="L18">
        <v>5434732.1597999996</v>
      </c>
      <c r="M18">
        <v>5480591.1012000004</v>
      </c>
      <c r="N18">
        <v>5526826.9721999988</v>
      </c>
      <c r="O18">
        <v>5573491.8486000001</v>
      </c>
      <c r="P18">
        <v>5620521.2555999998</v>
      </c>
      <c r="Q18">
        <v>5667939.9912</v>
      </c>
    </row>
    <row r="19" spans="1:17" x14ac:dyDescent="0.3">
      <c r="A19" t="s">
        <v>88</v>
      </c>
      <c r="B19">
        <v>430934.74183800007</v>
      </c>
      <c r="C19">
        <v>434569.82193000009</v>
      </c>
      <c r="D19">
        <v>438235.75135799998</v>
      </c>
      <c r="E19">
        <v>441933.26462999999</v>
      </c>
      <c r="F19">
        <v>445662.36174600001</v>
      </c>
      <c r="G19">
        <v>449421.94094399997</v>
      </c>
      <c r="H19">
        <v>453213.47123999998</v>
      </c>
      <c r="I19">
        <v>457037.68714200013</v>
      </c>
      <c r="J19">
        <v>460894.58865000011</v>
      </c>
      <c r="K19">
        <v>464781.97223999997</v>
      </c>
      <c r="L19">
        <v>468704.24495999998</v>
      </c>
      <c r="M19">
        <v>472658.83603200008</v>
      </c>
      <c r="N19">
        <v>476646.47996400011</v>
      </c>
      <c r="O19">
        <v>480988.52603100007</v>
      </c>
      <c r="P19">
        <v>485367.52283999999</v>
      </c>
      <c r="Q19">
        <v>489785.74098300003</v>
      </c>
    </row>
    <row r="20" spans="1:17" x14ac:dyDescent="0.3">
      <c r="A20" t="s">
        <v>89</v>
      </c>
      <c r="B20">
        <v>21727014.71223798</v>
      </c>
      <c r="C20">
        <v>22383170.556547571</v>
      </c>
      <c r="D20">
        <v>23059142.307355311</v>
      </c>
      <c r="E20">
        <v>23755528.40503744</v>
      </c>
      <c r="F20">
        <v>24472945.362869568</v>
      </c>
      <c r="G20">
        <v>25212028.312828239</v>
      </c>
      <c r="H20">
        <v>25973431.56787565</v>
      </c>
      <c r="I20">
        <v>26757829.201225489</v>
      </c>
      <c r="J20">
        <v>27565915.643102501</v>
      </c>
      <c r="K20">
        <v>28398406.295524191</v>
      </c>
      <c r="L20">
        <v>29256038.165649019</v>
      </c>
      <c r="M20">
        <v>30139570.518251631</v>
      </c>
      <c r="N20">
        <v>31049785.547902819</v>
      </c>
      <c r="O20">
        <v>31987489.071449488</v>
      </c>
      <c r="P20">
        <v>32953511.24140726</v>
      </c>
      <c r="Q20">
        <v>33948707.280897766</v>
      </c>
    </row>
    <row r="21" spans="1:17" x14ac:dyDescent="0.3">
      <c r="A21" t="s">
        <v>90</v>
      </c>
      <c r="B21">
        <v>756029.52716798778</v>
      </c>
      <c r="C21">
        <v>756029.52716798778</v>
      </c>
      <c r="D21">
        <v>756029.52716798778</v>
      </c>
      <c r="E21">
        <v>756029.52716798778</v>
      </c>
      <c r="F21">
        <v>756029.52716798778</v>
      </c>
      <c r="G21">
        <v>756029.52716798778</v>
      </c>
      <c r="H21">
        <v>756029.52716798778</v>
      </c>
      <c r="I21">
        <v>756029.52716798778</v>
      </c>
      <c r="J21">
        <v>756029.52716798778</v>
      </c>
      <c r="K21">
        <v>756029.52716798778</v>
      </c>
      <c r="L21">
        <v>756029.52716798778</v>
      </c>
      <c r="M21">
        <v>756029.52716798778</v>
      </c>
      <c r="N21">
        <v>756029.52716798778</v>
      </c>
      <c r="O21">
        <v>756029.52716798778</v>
      </c>
      <c r="P21">
        <v>756029.52716798778</v>
      </c>
      <c r="Q21">
        <v>756029.52716798778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3632775.988243571</v>
      </c>
      <c r="C24">
        <v>3947976.9788307832</v>
      </c>
      <c r="D24">
        <v>4246954.7945056632</v>
      </c>
      <c r="E24">
        <v>4532244.4215915035</v>
      </c>
      <c r="F24">
        <v>4805410.2272211341</v>
      </c>
      <c r="G24">
        <v>5066830.52555387</v>
      </c>
      <c r="H24">
        <v>5312023.5355415437</v>
      </c>
      <c r="I24">
        <v>5548123.5560012497</v>
      </c>
      <c r="J24">
        <v>5773269.9400066733</v>
      </c>
      <c r="K24">
        <v>5984508.3009559587</v>
      </c>
      <c r="L24">
        <v>6187373.7721655956</v>
      </c>
      <c r="M24">
        <v>6377756.7253041761</v>
      </c>
      <c r="N24">
        <v>6562377.1760515505</v>
      </c>
      <c r="O24">
        <v>6731765.0144795617</v>
      </c>
      <c r="P24">
        <v>6892190.0802935492</v>
      </c>
      <c r="Q24">
        <v>7045090.1170139993</v>
      </c>
    </row>
    <row r="25" spans="1:17" x14ac:dyDescent="0.3">
      <c r="A25" t="s">
        <v>93</v>
      </c>
      <c r="B25">
        <v>1462076.1299399999</v>
      </c>
      <c r="C25">
        <v>1474409.2359</v>
      </c>
      <c r="D25">
        <v>1486847.0075399999</v>
      </c>
      <c r="E25">
        <v>1499391.9369000001</v>
      </c>
      <c r="F25">
        <v>1512044.0239800001</v>
      </c>
      <c r="G25">
        <v>1524799.5307199999</v>
      </c>
      <c r="H25">
        <v>1537663.4412</v>
      </c>
      <c r="I25">
        <v>1550638.24746</v>
      </c>
      <c r="J25">
        <v>1563723.9495000001</v>
      </c>
      <c r="K25">
        <v>1576913.0711999999</v>
      </c>
      <c r="L25">
        <v>1590220.5648000001</v>
      </c>
      <c r="M25">
        <v>1603637.7081599999</v>
      </c>
      <c r="N25">
        <v>1617166.9933199999</v>
      </c>
      <c r="O25">
        <v>1630819.6344600001</v>
      </c>
      <c r="P25">
        <v>1644579.4333200001</v>
      </c>
      <c r="Q25">
        <v>1658453.8660200001</v>
      </c>
    </row>
    <row r="26" spans="1:17" x14ac:dyDescent="0.3">
      <c r="A26" t="s">
        <v>94</v>
      </c>
      <c r="B26">
        <v>2218209.898863636</v>
      </c>
      <c r="C26">
        <v>2219843.647954545</v>
      </c>
      <c r="D26">
        <v>2221522.855681818</v>
      </c>
      <c r="E26">
        <v>2246006.1288636359</v>
      </c>
      <c r="F26">
        <v>2251273.584318182</v>
      </c>
      <c r="G26">
        <v>2254702.0920454538</v>
      </c>
      <c r="H26">
        <v>2257170.5227272729</v>
      </c>
      <c r="I26">
        <v>2259579.4629545459</v>
      </c>
      <c r="J26">
        <v>2278256.0356818191</v>
      </c>
      <c r="K26">
        <v>2283082.3240909092</v>
      </c>
      <c r="L26">
        <v>2286904.1793181822</v>
      </c>
      <c r="M26">
        <v>2290735.2665909091</v>
      </c>
      <c r="N26">
        <v>2295278.1345454552</v>
      </c>
      <c r="O26">
        <v>2302036.3593181819</v>
      </c>
      <c r="P26">
        <v>2308814.4847727269</v>
      </c>
      <c r="Q26">
        <v>2315612.5554545461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FC0B-61B7-4FDA-BCA5-07F9080E5DD0}">
  <sheetPr>
    <tabColor theme="9" tint="-0.499984740745262"/>
  </sheetPr>
  <dimension ref="B2:X79"/>
  <sheetViews>
    <sheetView topLeftCell="A41" zoomScale="80" zoomScaleNormal="80" workbookViewId="0">
      <selection activeCell="H84" sqref="H84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71" t="s">
        <v>50</v>
      </c>
      <c r="C2" s="71"/>
      <c r="D2" s="71"/>
      <c r="E2" s="71"/>
      <c r="G2" s="71" t="s">
        <v>41</v>
      </c>
      <c r="H2" s="71"/>
      <c r="I2" s="71"/>
      <c r="J2" s="71"/>
      <c r="K2" s="7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70" t="s">
        <v>51</v>
      </c>
      <c r="C4" s="70"/>
      <c r="D4" s="70" t="s">
        <v>40</v>
      </c>
      <c r="E4" s="70"/>
      <c r="G4" s="70" t="s">
        <v>17</v>
      </c>
      <c r="H4" s="70"/>
      <c r="I4" s="70"/>
      <c r="J4" s="18">
        <v>0.06</v>
      </c>
      <c r="K4" s="16" t="s">
        <v>29</v>
      </c>
      <c r="L4" s="72"/>
      <c r="M4" s="72"/>
      <c r="N4" s="72"/>
      <c r="O4" s="72"/>
      <c r="P4" s="72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72" t="s">
        <v>52</v>
      </c>
      <c r="C5" s="72"/>
      <c r="D5" s="72" t="s">
        <v>150</v>
      </c>
      <c r="E5" s="72"/>
      <c r="G5" s="70" t="s">
        <v>46</v>
      </c>
      <c r="H5" s="70"/>
      <c r="I5" s="70"/>
      <c r="J5" s="19">
        <v>15</v>
      </c>
      <c r="K5" s="20" t="s">
        <v>47</v>
      </c>
      <c r="L5" s="84"/>
      <c r="M5" s="84"/>
      <c r="N5" s="84"/>
      <c r="O5" s="84"/>
      <c r="P5" s="84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72" t="s">
        <v>53</v>
      </c>
      <c r="C6" s="72"/>
      <c r="D6" s="72" t="s">
        <v>150</v>
      </c>
      <c r="E6" s="72"/>
      <c r="G6" s="83" t="s">
        <v>106</v>
      </c>
      <c r="H6" s="83"/>
      <c r="I6" s="83"/>
      <c r="J6" s="20">
        <v>10</v>
      </c>
      <c r="K6" s="20" t="s">
        <v>47</v>
      </c>
      <c r="L6" s="84"/>
      <c r="M6" s="84"/>
      <c r="N6" s="84"/>
      <c r="O6" s="84"/>
      <c r="P6" s="84"/>
    </row>
    <row r="7" spans="2:21" x14ac:dyDescent="0.3">
      <c r="B7" s="72" t="s">
        <v>54</v>
      </c>
      <c r="C7" s="72"/>
      <c r="D7" s="72" t="s">
        <v>150</v>
      </c>
      <c r="E7" s="72"/>
      <c r="G7" s="83" t="s">
        <v>128</v>
      </c>
      <c r="H7" s="83"/>
      <c r="I7" s="83"/>
      <c r="J7" s="21">
        <f>(SUMIF($F$12:$U$12,"&lt;="&amp;$J$6,$F$17:$U$17)) / ($J$6)</f>
        <v>126761.8</v>
      </c>
      <c r="K7" s="20" t="s">
        <v>107</v>
      </c>
      <c r="L7" s="84" t="str">
        <f>"Razonable para chile en torno a 1M y 1,5M por año."</f>
        <v>Razonable para chile en torno a 1M y 1,5M por año.</v>
      </c>
      <c r="M7" s="84"/>
      <c r="N7" s="84"/>
      <c r="O7" s="84"/>
      <c r="P7" s="84"/>
    </row>
    <row r="8" spans="2:21" x14ac:dyDescent="0.3">
      <c r="B8" s="72" t="s">
        <v>55</v>
      </c>
      <c r="C8" s="72"/>
      <c r="D8" s="72" t="s">
        <v>150</v>
      </c>
      <c r="E8" s="72"/>
      <c r="G8" s="83" t="s">
        <v>129</v>
      </c>
      <c r="H8" s="83"/>
      <c r="I8" s="83"/>
      <c r="J8" s="21">
        <f>(SUMIF($F$12:$U$12,"&lt;="&amp;$J$6,$F$18:$U$18)) / ($J$6)</f>
        <v>1173.5</v>
      </c>
      <c r="K8" s="20" t="s">
        <v>107</v>
      </c>
      <c r="L8" s="84" t="str">
        <f t="shared" ref="L8:L9" si="0">"Razonable para chile en torno a 1M y 1,5M por año."</f>
        <v>Razonable para chile en torno a 1M y 1,5M por año.</v>
      </c>
      <c r="M8" s="84"/>
      <c r="N8" s="84"/>
      <c r="O8" s="84"/>
      <c r="P8" s="84"/>
    </row>
    <row r="9" spans="2:21" x14ac:dyDescent="0.3">
      <c r="B9" s="72" t="s">
        <v>56</v>
      </c>
      <c r="C9" s="72"/>
      <c r="D9" s="72" t="s">
        <v>150</v>
      </c>
      <c r="E9" s="72"/>
      <c r="G9" s="83" t="s">
        <v>130</v>
      </c>
      <c r="H9" s="83"/>
      <c r="I9" s="83"/>
      <c r="J9" s="21">
        <f>(SUMIF($F$12:$U$12,"&lt;="&amp;$J$6,$F$19:$U$19)) / ($J$6)</f>
        <v>3317.3</v>
      </c>
      <c r="K9" s="20" t="s">
        <v>107</v>
      </c>
      <c r="L9" s="84" t="str">
        <f t="shared" si="0"/>
        <v>Razonable para chile en torno a 1M y 1,5M por año.</v>
      </c>
      <c r="M9" s="84"/>
      <c r="N9" s="84"/>
      <c r="O9" s="84"/>
      <c r="P9" s="84"/>
    </row>
    <row r="12" spans="2:21" x14ac:dyDescent="0.3">
      <c r="B12" s="44" t="s">
        <v>121</v>
      </c>
      <c r="C12" s="44"/>
      <c r="D12" s="44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45"/>
      <c r="C13" s="45"/>
      <c r="D13" s="45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2:21" x14ac:dyDescent="0.3">
      <c r="B15" s="64" t="s">
        <v>122</v>
      </c>
      <c r="C15" s="67" t="s">
        <v>138</v>
      </c>
      <c r="D15" s="68"/>
      <c r="E15" s="68"/>
      <c r="F15" s="4">
        <f>CB_SMI_Mixto_BAJA!B2/1000</f>
        <v>7398.893383751687</v>
      </c>
      <c r="G15" s="4">
        <f>CB_SMI_Mixto_BAJA!C2/1000</f>
        <v>7622.3399639409881</v>
      </c>
      <c r="H15" s="4">
        <f>CB_SMI_Mixto_BAJA!D2/1000</f>
        <v>7852.5346308520075</v>
      </c>
      <c r="I15" s="4">
        <f>CB_SMI_Mixto_BAJA!E2/1000</f>
        <v>8089.6811767037361</v>
      </c>
      <c r="J15" s="4">
        <f>CB_SMI_Mixto_BAJA!F2/1000</f>
        <v>8333.9895482401898</v>
      </c>
      <c r="K15" s="4">
        <f>CB_SMI_Mixto_BAJA!G2/1000</f>
        <v>8585.6760325970426</v>
      </c>
      <c r="L15" s="4">
        <f>CB_SMI_Mixto_BAJA!H2/1000</f>
        <v>8844.9634487814728</v>
      </c>
      <c r="M15" s="4">
        <f>CB_SMI_Mixto_BAJA!I2/1000</f>
        <v>9112.0813449346733</v>
      </c>
      <c r="N15" s="4">
        <f>CB_SMI_Mixto_BAJA!J2/1000</f>
        <v>9387.2662015517017</v>
      </c>
      <c r="O15" s="4">
        <f>CB_SMI_Mixto_BAJA!K2/1000</f>
        <v>9670.7616408385638</v>
      </c>
      <c r="P15" s="4">
        <f>CB_SMI_Mixto_BAJA!L2/1000</f>
        <v>9962.8186423918869</v>
      </c>
      <c r="Q15" s="4">
        <f>CB_SMI_Mixto_BAJA!M2/1000</f>
        <v>10263.695765392122</v>
      </c>
      <c r="R15" s="4">
        <f>CB_SMI_Mixto_BAJA!N2/1000</f>
        <v>10573.659377506969</v>
      </c>
      <c r="S15" s="4">
        <f>CB_SMI_Mixto_BAJA!O2/1000</f>
        <v>10892.983890707679</v>
      </c>
      <c r="T15" s="4">
        <f>CB_SMI_Mixto_BAJA!P2/1000</f>
        <v>11221.952004207051</v>
      </c>
      <c r="U15" s="4">
        <f>CB_SMI_Mixto_BAJA!Q2/1000</f>
        <v>11560.854954734101</v>
      </c>
    </row>
    <row r="16" spans="2:21" x14ac:dyDescent="0.3">
      <c r="B16" s="65"/>
      <c r="C16" s="6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2:21" x14ac:dyDescent="0.3">
      <c r="B17" s="65"/>
      <c r="C17" s="46" t="s">
        <v>115</v>
      </c>
      <c r="D17" s="47"/>
      <c r="E17" s="47"/>
      <c r="F17" s="12">
        <f>CB_SMI_Mixto_BAJA!B3</f>
        <v>1166125</v>
      </c>
      <c r="G17" s="12">
        <f>CB_SMI_Mixto_BAJA!C3</f>
        <v>9774</v>
      </c>
      <c r="H17" s="12">
        <f>CB_SMI_Mixto_BAJA!D3</f>
        <v>9854</v>
      </c>
      <c r="I17" s="12">
        <f>CB_SMI_Mixto_BAJA!E3</f>
        <v>9935</v>
      </c>
      <c r="J17" s="12">
        <f>CB_SMI_Mixto_BAJA!F3</f>
        <v>10023</v>
      </c>
      <c r="K17" s="12">
        <f>CB_SMI_Mixto_BAJA!G3</f>
        <v>10106</v>
      </c>
      <c r="L17" s="12">
        <f>CB_SMI_Mixto_BAJA!H3</f>
        <v>10186</v>
      </c>
      <c r="M17" s="12">
        <f>CB_SMI_Mixto_BAJA!I3</f>
        <v>10276</v>
      </c>
      <c r="N17" s="12">
        <f>CB_SMI_Mixto_BAJA!J3</f>
        <v>10361</v>
      </c>
      <c r="O17" s="12">
        <f>CB_SMI_Mixto_BAJA!K3</f>
        <v>10448</v>
      </c>
      <c r="P17" s="12">
        <f>CB_SMI_Mixto_BAJA!L3</f>
        <v>10530</v>
      </c>
      <c r="Q17" s="12">
        <f>CB_SMI_Mixto_BAJA!M3</f>
        <v>10622</v>
      </c>
      <c r="R17" s="12">
        <f>CB_SMI_Mixto_BAJA!N3</f>
        <v>10713</v>
      </c>
      <c r="S17" s="12">
        <f>CB_SMI_Mixto_BAJA!O3</f>
        <v>10802</v>
      </c>
      <c r="T17" s="12">
        <f>CB_SMI_Mixto_BAJA!P3</f>
        <v>10897</v>
      </c>
      <c r="U17" s="12">
        <f>CB_SMI_Mixto_BAJA!Q3</f>
        <v>10989</v>
      </c>
    </row>
    <row r="18" spans="2:21" x14ac:dyDescent="0.3">
      <c r="B18" s="65"/>
      <c r="C18" s="46" t="s">
        <v>116</v>
      </c>
      <c r="D18" s="47"/>
      <c r="E18" s="47"/>
      <c r="F18" s="12">
        <f>CB_SMI_Mixto_BAJA!B4</f>
        <v>10391</v>
      </c>
      <c r="G18" s="12">
        <f>CB_SMI_Mixto_BAJA!C4</f>
        <v>125</v>
      </c>
      <c r="H18" s="12">
        <f>CB_SMI_Mixto_BAJA!D4</f>
        <v>128</v>
      </c>
      <c r="I18" s="12">
        <f>CB_SMI_Mixto_BAJA!E4</f>
        <v>128</v>
      </c>
      <c r="J18" s="12">
        <f>CB_SMI_Mixto_BAJA!F4</f>
        <v>132</v>
      </c>
      <c r="K18" s="12">
        <f>CB_SMI_Mixto_BAJA!G4</f>
        <v>135</v>
      </c>
      <c r="L18" s="12">
        <f>CB_SMI_Mixto_BAJA!H4</f>
        <v>137</v>
      </c>
      <c r="M18" s="12">
        <f>CB_SMI_Mixto_BAJA!I4</f>
        <v>137</v>
      </c>
      <c r="N18" s="12">
        <f>CB_SMI_Mixto_BAJA!J4</f>
        <v>139</v>
      </c>
      <c r="O18" s="12">
        <f>CB_SMI_Mixto_BAJA!K4</f>
        <v>139</v>
      </c>
      <c r="P18" s="12">
        <f>CB_SMI_Mixto_BAJA!L4</f>
        <v>144</v>
      </c>
      <c r="Q18" s="12">
        <f>CB_SMI_Mixto_BAJA!M4</f>
        <v>146</v>
      </c>
      <c r="R18" s="12">
        <f>CB_SMI_Mixto_BAJA!N4</f>
        <v>148</v>
      </c>
      <c r="S18" s="12">
        <f>CB_SMI_Mixto_BAJA!O4</f>
        <v>152</v>
      </c>
      <c r="T18" s="12">
        <f>CB_SMI_Mixto_BAJA!P4</f>
        <v>153</v>
      </c>
      <c r="U18" s="12">
        <f>CB_SMI_Mixto_BAJA!Q4</f>
        <v>157</v>
      </c>
    </row>
    <row r="19" spans="2:21" x14ac:dyDescent="0.3">
      <c r="B19" s="66"/>
      <c r="C19" s="46" t="s">
        <v>117</v>
      </c>
      <c r="D19" s="47"/>
      <c r="E19" s="47"/>
      <c r="F19" s="13">
        <f>CB_SMI_Mixto_BAJA!B5</f>
        <v>32983</v>
      </c>
      <c r="G19" s="13">
        <f>CB_SMI_Mixto_BAJA!C5</f>
        <v>19</v>
      </c>
      <c r="H19" s="13">
        <f>CB_SMI_Mixto_BAJA!D5</f>
        <v>19</v>
      </c>
      <c r="I19" s="13">
        <f>CB_SMI_Mixto_BAJA!E5</f>
        <v>19</v>
      </c>
      <c r="J19" s="13">
        <f>CB_SMI_Mixto_BAJA!F5</f>
        <v>19</v>
      </c>
      <c r="K19" s="13">
        <f>CB_SMI_Mixto_BAJA!G5</f>
        <v>19</v>
      </c>
      <c r="L19" s="13">
        <f>CB_SMI_Mixto_BAJA!H5</f>
        <v>19</v>
      </c>
      <c r="M19" s="13">
        <f>CB_SMI_Mixto_BAJA!I5</f>
        <v>19</v>
      </c>
      <c r="N19" s="13">
        <f>CB_SMI_Mixto_BAJA!J5</f>
        <v>19</v>
      </c>
      <c r="O19" s="13">
        <f>CB_SMI_Mixto_BAJA!K5</f>
        <v>19</v>
      </c>
      <c r="P19" s="13">
        <f>CB_SMI_Mixto_BAJA!L5</f>
        <v>19</v>
      </c>
      <c r="Q19" s="13">
        <f>CB_SMI_Mixto_BAJA!M5</f>
        <v>19</v>
      </c>
      <c r="R19" s="13">
        <f>CB_SMI_Mixto_BAJA!N5</f>
        <v>19</v>
      </c>
      <c r="S19" s="13">
        <f>CB_SMI_Mixto_BAJA!O5</f>
        <v>19</v>
      </c>
      <c r="T19" s="13">
        <f>CB_SMI_Mixto_BAJA!P5</f>
        <v>19</v>
      </c>
      <c r="U19" s="13">
        <f>CB_SMI_Mixto_BAJA!Q5</f>
        <v>19</v>
      </c>
    </row>
    <row r="20" spans="2:21" x14ac:dyDescent="0.3">
      <c r="B20" s="1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x14ac:dyDescent="0.3">
      <c r="B21" s="75" t="s">
        <v>105</v>
      </c>
      <c r="C21" s="50" t="s">
        <v>125</v>
      </c>
      <c r="D21" s="51"/>
      <c r="E21" s="51"/>
      <c r="F21" s="9">
        <v>0</v>
      </c>
      <c r="G21" s="11">
        <f>IF(G$12&lt;=$J$6,$J7,G17)</f>
        <v>126761.8</v>
      </c>
      <c r="H21" s="11">
        <f t="shared" ref="H21:U23" si="1">IF(H$12&lt;=$J$6,$J7,H17)</f>
        <v>126761.8</v>
      </c>
      <c r="I21" s="11">
        <f t="shared" si="1"/>
        <v>126761.8</v>
      </c>
      <c r="J21" s="11">
        <f t="shared" si="1"/>
        <v>126761.8</v>
      </c>
      <c r="K21" s="11">
        <f t="shared" si="1"/>
        <v>126761.8</v>
      </c>
      <c r="L21" s="11">
        <f t="shared" si="1"/>
        <v>126761.8</v>
      </c>
      <c r="M21" s="11">
        <f t="shared" si="1"/>
        <v>126761.8</v>
      </c>
      <c r="N21" s="11">
        <f t="shared" si="1"/>
        <v>126761.8</v>
      </c>
      <c r="O21" s="11">
        <f t="shared" si="1"/>
        <v>126761.8</v>
      </c>
      <c r="P21" s="11">
        <f t="shared" si="1"/>
        <v>126761.8</v>
      </c>
      <c r="Q21" s="11">
        <f t="shared" si="1"/>
        <v>10622</v>
      </c>
      <c r="R21" s="11">
        <f t="shared" si="1"/>
        <v>10713</v>
      </c>
      <c r="S21" s="11">
        <f t="shared" si="1"/>
        <v>10802</v>
      </c>
      <c r="T21" s="11">
        <f t="shared" si="1"/>
        <v>10897</v>
      </c>
      <c r="U21" s="11">
        <f t="shared" si="1"/>
        <v>10989</v>
      </c>
    </row>
    <row r="22" spans="2:21" x14ac:dyDescent="0.3">
      <c r="B22" s="76"/>
      <c r="C22" s="50" t="s">
        <v>126</v>
      </c>
      <c r="D22" s="51"/>
      <c r="E22" s="51"/>
      <c r="F22" s="9">
        <v>0</v>
      </c>
      <c r="G22" s="11">
        <f>IF(G$12&lt;=$J$6,$J8,G18)</f>
        <v>1173.5</v>
      </c>
      <c r="H22" s="11">
        <f t="shared" si="1"/>
        <v>1173.5</v>
      </c>
      <c r="I22" s="11">
        <f t="shared" si="1"/>
        <v>1173.5</v>
      </c>
      <c r="J22" s="11">
        <f t="shared" si="1"/>
        <v>1173.5</v>
      </c>
      <c r="K22" s="11">
        <f t="shared" si="1"/>
        <v>1173.5</v>
      </c>
      <c r="L22" s="11">
        <f t="shared" si="1"/>
        <v>1173.5</v>
      </c>
      <c r="M22" s="11">
        <f t="shared" si="1"/>
        <v>1173.5</v>
      </c>
      <c r="N22" s="11">
        <f>IF(N$12&lt;=$J$6,$J8,N18)</f>
        <v>1173.5</v>
      </c>
      <c r="O22" s="11">
        <f t="shared" si="1"/>
        <v>1173.5</v>
      </c>
      <c r="P22" s="11">
        <f t="shared" si="1"/>
        <v>1173.5</v>
      </c>
      <c r="Q22" s="11">
        <f t="shared" si="1"/>
        <v>146</v>
      </c>
      <c r="R22" s="11">
        <f t="shared" si="1"/>
        <v>148</v>
      </c>
      <c r="S22" s="11">
        <f t="shared" si="1"/>
        <v>152</v>
      </c>
      <c r="T22" s="11">
        <f t="shared" si="1"/>
        <v>153</v>
      </c>
      <c r="U22" s="11">
        <f t="shared" si="1"/>
        <v>157</v>
      </c>
    </row>
    <row r="23" spans="2:21" x14ac:dyDescent="0.3">
      <c r="B23" s="76"/>
      <c r="C23" s="50" t="s">
        <v>127</v>
      </c>
      <c r="D23" s="51"/>
      <c r="E23" s="51"/>
      <c r="F23" s="9">
        <v>0</v>
      </c>
      <c r="G23" s="11">
        <f>IF(G$12&lt;=$J$6,$J9,G19)</f>
        <v>3317.3</v>
      </c>
      <c r="H23" s="11">
        <f t="shared" si="1"/>
        <v>3317.3</v>
      </c>
      <c r="I23" s="11">
        <f t="shared" si="1"/>
        <v>3317.3</v>
      </c>
      <c r="J23" s="11">
        <f t="shared" si="1"/>
        <v>3317.3</v>
      </c>
      <c r="K23" s="11">
        <f t="shared" si="1"/>
        <v>3317.3</v>
      </c>
      <c r="L23" s="11">
        <f t="shared" si="1"/>
        <v>3317.3</v>
      </c>
      <c r="M23" s="11">
        <f t="shared" si="1"/>
        <v>3317.3</v>
      </c>
      <c r="N23" s="11">
        <f t="shared" si="1"/>
        <v>3317.3</v>
      </c>
      <c r="O23" s="11">
        <f t="shared" si="1"/>
        <v>3317.3</v>
      </c>
      <c r="P23" s="11">
        <f t="shared" si="1"/>
        <v>3317.3</v>
      </c>
      <c r="Q23" s="11">
        <f t="shared" si="1"/>
        <v>19</v>
      </c>
      <c r="R23" s="11">
        <f t="shared" si="1"/>
        <v>19</v>
      </c>
      <c r="S23" s="11">
        <f t="shared" si="1"/>
        <v>19</v>
      </c>
      <c r="T23" s="11">
        <f t="shared" si="1"/>
        <v>19</v>
      </c>
      <c r="U23" s="11">
        <f t="shared" si="1"/>
        <v>19</v>
      </c>
    </row>
    <row r="24" spans="2:21" x14ac:dyDescent="0.3">
      <c r="B24" s="76"/>
      <c r="C24" s="69" t="s">
        <v>114</v>
      </c>
      <c r="D24" s="49"/>
      <c r="E24" s="49"/>
      <c r="F24" s="4">
        <f>SUM(F17:F19)</f>
        <v>1209499</v>
      </c>
      <c r="G24" s="7">
        <f>SUM(F24,G17:G19)-SUM(G21:G23)</f>
        <v>1088164.3999999999</v>
      </c>
      <c r="H24" s="7">
        <f t="shared" ref="H24:U24" si="2">SUM(G24,H17:H19)-SUM(H21:H23)</f>
        <v>966912.79999999993</v>
      </c>
      <c r="I24" s="7">
        <f t="shared" si="2"/>
        <v>845742.2</v>
      </c>
      <c r="J24" s="7">
        <f t="shared" si="2"/>
        <v>724663.6</v>
      </c>
      <c r="K24" s="7">
        <f t="shared" si="2"/>
        <v>603671</v>
      </c>
      <c r="L24" s="7">
        <f t="shared" si="2"/>
        <v>482760.4</v>
      </c>
      <c r="M24" s="7">
        <f t="shared" si="2"/>
        <v>361939.80000000005</v>
      </c>
      <c r="N24" s="7">
        <f t="shared" si="2"/>
        <v>241206.20000000004</v>
      </c>
      <c r="O24" s="7">
        <f t="shared" si="2"/>
        <v>120559.60000000003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1" x14ac:dyDescent="0.3">
      <c r="B25" s="77"/>
      <c r="C25" s="48" t="s">
        <v>108</v>
      </c>
      <c r="D25" s="48"/>
      <c r="E25" s="48"/>
      <c r="F25" s="17">
        <v>0</v>
      </c>
      <c r="G25" s="17">
        <f>IF(G$12&lt;=$J$6,SUM($F$21:G23)/SUM($F$17:G19),1)</f>
        <v>0.10763553402978637</v>
      </c>
      <c r="H25" s="17">
        <f>IF(H$12&lt;=$J$6,SUM($F$21:H23)/SUM($F$17:H19),1)</f>
        <v>0.21351989315269501</v>
      </c>
      <c r="I25" s="17">
        <f>IF(I$12&lt;=$J$6,SUM($F$21:I23)/SUM($F$17:I19),1)</f>
        <v>0.31767470754336424</v>
      </c>
      <c r="J25" s="17">
        <f>IF(J$12&lt;=$J$6,SUM($F$21:J23)/SUM($F$17:J19),1)</f>
        <v>0.42011788674486306</v>
      </c>
      <c r="K25" s="17">
        <f>IF(K$12&lt;=$J$6,SUM($F$21:K23)/SUM($F$17:K19),1)</f>
        <v>0.52087093450926814</v>
      </c>
      <c r="L25" s="17">
        <f>IF(L$12&lt;=$J$6,SUM($F$21:L23)/SUM($F$17:L19),1)</f>
        <v>0.61995629296310428</v>
      </c>
      <c r="M25" s="17">
        <f>IF(M$12&lt;=$J$6,SUM($F$21:M23)/SUM($F$17:M19),1)</f>
        <v>0.71739084943640585</v>
      </c>
      <c r="N25" s="17">
        <f>IF(N$12&lt;=$J$6,SUM($F$21:N23)/SUM($F$17:N19),1)</f>
        <v>0.81319613050222816</v>
      </c>
      <c r="O25" s="17">
        <f>IF(O$12&lt;=$J$6,SUM($F$21:O23)/SUM($F$17:O19),1)</f>
        <v>0.90739242283764554</v>
      </c>
      <c r="P25" s="17">
        <f>IF(P$12&lt;=$J$6,SUM($F$21:P23)/SUM($F$17:P19),1)</f>
        <v>1.0000000000000004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1" ht="28.2" customHeight="1" x14ac:dyDescent="0.3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2:21" x14ac:dyDescent="0.3">
      <c r="B27" s="55" t="s">
        <v>124</v>
      </c>
      <c r="C27" s="56"/>
      <c r="D27" s="57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1" x14ac:dyDescent="0.3">
      <c r="B28" s="58"/>
      <c r="C28" s="59"/>
      <c r="D28" s="60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</row>
    <row r="29" spans="2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3">
      <c r="B30" s="61" t="s">
        <v>118</v>
      </c>
      <c r="C30" s="52" t="s">
        <v>57</v>
      </c>
      <c r="D30" s="53"/>
      <c r="E30" s="53"/>
      <c r="F30" s="8">
        <v>0</v>
      </c>
      <c r="G30" s="8">
        <f>((-CB_SMI_Mixto_BAJA!C7)*G21)/1000000</f>
        <v>-19.565261290666669</v>
      </c>
      <c r="H30" s="8">
        <f>((-CB_SMI_Mixto_BAJA!D7)*H21)/1000000</f>
        <v>-19.565261290666669</v>
      </c>
      <c r="I30" s="8">
        <f>((-CB_SMI_Mixto_BAJA!E7)*I21)/1000000</f>
        <v>-19.565261290666669</v>
      </c>
      <c r="J30" s="8">
        <f>((-CB_SMI_Mixto_BAJA!F7)*J21)/1000000</f>
        <v>-19.565261290666669</v>
      </c>
      <c r="K30" s="8">
        <f>((-CB_SMI_Mixto_BAJA!G7)*K21)/1000000</f>
        <v>-19.565261290666658</v>
      </c>
      <c r="L30" s="8">
        <f>((-CB_SMI_Mixto_BAJA!H7)*L21)/1000000</f>
        <v>-19.565261290666669</v>
      </c>
      <c r="M30" s="8">
        <f>((-CB_SMI_Mixto_BAJA!I7)*M21)/1000000</f>
        <v>-19.565261290666669</v>
      </c>
      <c r="N30" s="8">
        <f>((-CB_SMI_Mixto_BAJA!J7)*N21)/1000000</f>
        <v>-19.565261290666669</v>
      </c>
      <c r="O30" s="8">
        <f>((-CB_SMI_Mixto_BAJA!K7)*O21)/1000000</f>
        <v>-19.565261290666669</v>
      </c>
      <c r="P30" s="8">
        <f>((-CB_SMI_Mixto_BAJA!L7)*P21)/1000000</f>
        <v>-19.565261290666669</v>
      </c>
      <c r="Q30" s="8">
        <f>((-CB_SMI_Mixto_BAJA!M7)*Q21)/1000000</f>
        <v>-1.6394702933333336</v>
      </c>
      <c r="R30" s="8">
        <f>((-CB_SMI_Mixto_BAJA!N7)*R21)/1000000</f>
        <v>-1.6535158400000003</v>
      </c>
      <c r="S30" s="8">
        <f>((-CB_SMI_Mixto_BAJA!O7)*S21)/1000000</f>
        <v>-1.6672526933333336</v>
      </c>
      <c r="T30" s="8">
        <f>((-CB_SMI_Mixto_BAJA!P7)*T21)/1000000</f>
        <v>-1.6819156266666659</v>
      </c>
      <c r="U30" s="8">
        <f>((-CB_SMI_Mixto_BAJA!Q7)*U21)/1000000</f>
        <v>-1.6961155200000002</v>
      </c>
    </row>
    <row r="31" spans="2:21" x14ac:dyDescent="0.3">
      <c r="B31" s="62"/>
      <c r="C31" s="52" t="s">
        <v>58</v>
      </c>
      <c r="D31" s="53"/>
      <c r="E31" s="53"/>
      <c r="F31" s="8">
        <v>0</v>
      </c>
      <c r="G31" s="8">
        <f>((-CB_SMI_Mixto_BAJA!C8)*G22)/1000000</f>
        <v>-0.39138571999999999</v>
      </c>
      <c r="H31" s="8">
        <f>((-CB_SMI_Mixto_BAJA!D8)*H22)/1000000</f>
        <v>-0.39138571999999999</v>
      </c>
      <c r="I31" s="8">
        <f>((-CB_SMI_Mixto_BAJA!E8)*I22)/1000000</f>
        <v>-0.39138571999999999</v>
      </c>
      <c r="J31" s="8">
        <f>((-CB_SMI_Mixto_BAJA!F8)*J22)/1000000</f>
        <v>-0.39138571999999999</v>
      </c>
      <c r="K31" s="8">
        <f>((-CB_SMI_Mixto_BAJA!G8)*K22)/1000000</f>
        <v>-0.39138571999999999</v>
      </c>
      <c r="L31" s="8">
        <f>((-CB_SMI_Mixto_BAJA!H8)*L22)/1000000</f>
        <v>-0.39138571999999999</v>
      </c>
      <c r="M31" s="8">
        <f>((-CB_SMI_Mixto_BAJA!I8)*M22)/1000000</f>
        <v>-0.39138571999999999</v>
      </c>
      <c r="N31" s="8">
        <f>((-CB_SMI_Mixto_BAJA!J8)*N22)/1000000</f>
        <v>-0.39138571999999999</v>
      </c>
      <c r="O31" s="8">
        <f>((-CB_SMI_Mixto_BAJA!K8)*O22)/1000000</f>
        <v>-0.39138571999999999</v>
      </c>
      <c r="P31" s="8">
        <f>((-CB_SMI_Mixto_BAJA!L8)*P22)/1000000</f>
        <v>-0.39138571999999999</v>
      </c>
      <c r="Q31" s="8">
        <f>((-CB_SMI_Mixto_BAJA!M8)*Q22)/1000000</f>
        <v>-4.8693920000000002E-2</v>
      </c>
      <c r="R31" s="8">
        <f>((-CB_SMI_Mixto_BAJA!N8)*R22)/1000000</f>
        <v>-4.9360959999999988E-2</v>
      </c>
      <c r="S31" s="8">
        <f>((-CB_SMI_Mixto_BAJA!O8)*S22)/1000000</f>
        <v>-5.0695039999999997E-2</v>
      </c>
      <c r="T31" s="8">
        <f>((-CB_SMI_Mixto_BAJA!P8)*T22)/1000000</f>
        <v>-5.1028560000000001E-2</v>
      </c>
      <c r="U31" s="8">
        <f>((-CB_SMI_Mixto_BAJA!Q8)*U22)/1000000</f>
        <v>-5.2362640000000002E-2</v>
      </c>
    </row>
    <row r="32" spans="2:21" x14ac:dyDescent="0.3">
      <c r="B32" s="62"/>
      <c r="C32" s="52" t="s">
        <v>59</v>
      </c>
      <c r="D32" s="53"/>
      <c r="E32" s="53"/>
      <c r="F32" s="8">
        <v>0</v>
      </c>
      <c r="G32" s="8">
        <f>((-CB_SMI_Mixto_BAJA!C9)*G23)/1000000</f>
        <v>-2.5872684236000003</v>
      </c>
      <c r="H32" s="8">
        <f>((-CB_SMI_Mixto_BAJA!D9)*H23)/1000000</f>
        <v>-2.5872684236000003</v>
      </c>
      <c r="I32" s="8">
        <f>((-CB_SMI_Mixto_BAJA!E9)*I23)/1000000</f>
        <v>-2.5872684236000003</v>
      </c>
      <c r="J32" s="8">
        <f>((-CB_SMI_Mixto_BAJA!F9)*J23)/1000000</f>
        <v>-2.5872684236000003</v>
      </c>
      <c r="K32" s="8">
        <f>((-CB_SMI_Mixto_BAJA!G9)*K23)/1000000</f>
        <v>-2.5872684236000003</v>
      </c>
      <c r="L32" s="8">
        <f>((-CB_SMI_Mixto_BAJA!H9)*L23)/1000000</f>
        <v>-2.5872684236000003</v>
      </c>
      <c r="M32" s="8">
        <f>((-CB_SMI_Mixto_BAJA!I9)*M23)/1000000</f>
        <v>-2.5872684236000003</v>
      </c>
      <c r="N32" s="8">
        <f>((-CB_SMI_Mixto_BAJA!J9)*N23)/1000000</f>
        <v>-2.5872684236000003</v>
      </c>
      <c r="O32" s="8">
        <f>((-CB_SMI_Mixto_BAJA!K9)*O23)/1000000</f>
        <v>-2.5872684236000003</v>
      </c>
      <c r="P32" s="8">
        <f>((-CB_SMI_Mixto_BAJA!L9)*P23)/1000000</f>
        <v>-2.5872684236000003</v>
      </c>
      <c r="Q32" s="8">
        <f>((-CB_SMI_Mixto_BAJA!M9)*Q23)/1000000</f>
        <v>-1.4818708E-2</v>
      </c>
      <c r="R32" s="8">
        <f>((-CB_SMI_Mixto_BAJA!N9)*R23)/1000000</f>
        <v>-1.4818708E-2</v>
      </c>
      <c r="S32" s="8">
        <f>((-CB_SMI_Mixto_BAJA!O9)*S23)/1000000</f>
        <v>-1.4818708E-2</v>
      </c>
      <c r="T32" s="8">
        <f>((-CB_SMI_Mixto_BAJA!P9)*T23)/1000000</f>
        <v>-1.4818708E-2</v>
      </c>
      <c r="U32" s="8">
        <f>((-CB_SMI_Mixto_BAJA!Q9)*U23)/1000000</f>
        <v>-1.4818708E-2</v>
      </c>
    </row>
    <row r="33" spans="2:22" x14ac:dyDescent="0.3">
      <c r="B33" s="62"/>
      <c r="C33" s="52" t="s">
        <v>60</v>
      </c>
      <c r="D33" s="53"/>
      <c r="E33" s="53"/>
      <c r="F33" s="8">
        <f>((-CB_SMI_Mixto_BAJA!B10)*CB_SMI_Mixto_BAJA!B6)/1000000</f>
        <v>-1.0233704800000001</v>
      </c>
      <c r="G33" s="8">
        <f>((-CB_SMI_Mixto_BAJA!C10)*CB_SMI_Mixto_BAJA!C6)/1000000</f>
        <v>0</v>
      </c>
      <c r="H33" s="8">
        <f>((-CB_SMI_Mixto_BAJA!D10)*CB_SMI_Mixto_BAJA!D6)/1000000</f>
        <v>0</v>
      </c>
      <c r="I33" s="8">
        <f>((-CB_SMI_Mixto_BAJA!E10)*CB_SMI_Mixto_BAJA!E6)/1000000</f>
        <v>0</v>
      </c>
      <c r="J33" s="8">
        <f>((-CB_SMI_Mixto_BAJA!F10)*CB_SMI_Mixto_BAJA!F6)/1000000</f>
        <v>0</v>
      </c>
      <c r="K33" s="8">
        <f>((-CB_SMI_Mixto_BAJA!G10)*CB_SMI_Mixto_BAJA!G6)/1000000</f>
        <v>0</v>
      </c>
      <c r="L33" s="8">
        <f>((-CB_SMI_Mixto_BAJA!H10)*CB_SMI_Mixto_BAJA!H6)/1000000</f>
        <v>0</v>
      </c>
      <c r="M33" s="8">
        <f>((-CB_SMI_Mixto_BAJA!I10)*CB_SMI_Mixto_BAJA!I6)/1000000</f>
        <v>0</v>
      </c>
      <c r="N33" s="8">
        <f>((-CB_SMI_Mixto_BAJA!J10)*CB_SMI_Mixto_BAJA!J6)/1000000</f>
        <v>0</v>
      </c>
      <c r="O33" s="8">
        <f>((-CB_SMI_Mixto_BAJA!K10)*CB_SMI_Mixto_BAJA!K6)/1000000</f>
        <v>0</v>
      </c>
      <c r="P33" s="8">
        <f>((-CB_SMI_Mixto_BAJA!L10)*CB_SMI_Mixto_BAJA!L6)/1000000</f>
        <v>0</v>
      </c>
      <c r="Q33" s="8">
        <f>((-CB_SMI_Mixto_BAJA!M10)*CB_SMI_Mixto_BAJA!M6)/1000000</f>
        <v>0</v>
      </c>
      <c r="R33" s="8">
        <f>((-CB_SMI_Mixto_BAJA!N10)*CB_SMI_Mixto_BAJA!N6)/1000000</f>
        <v>0</v>
      </c>
      <c r="S33" s="8">
        <f>((-CB_SMI_Mixto_BAJA!O10)*CB_SMI_Mixto_BAJA!O6)/1000000</f>
        <v>0</v>
      </c>
      <c r="T33" s="8">
        <f>((-CB_SMI_Mixto_BAJA!P10)*CB_SMI_Mixto_BAJA!P6)/1000000</f>
        <v>0</v>
      </c>
      <c r="U33" s="8">
        <f>((-CB_SMI_Mixto_BAJA!Q10)*CB_SMI_Mixto_BAJA!Q6)/1000000</f>
        <v>0</v>
      </c>
    </row>
    <row r="34" spans="2:22" x14ac:dyDescent="0.3">
      <c r="B34" s="62"/>
      <c r="C34" s="52" t="s">
        <v>145</v>
      </c>
      <c r="D34" s="53"/>
      <c r="E34" s="53"/>
      <c r="F34" s="8">
        <f>(-CB_SMI_Mixto_BAJA!B11)/1000000</f>
        <v>-22.195516148999999</v>
      </c>
      <c r="G34" s="8">
        <f>(-CB_SMI_Mixto_BAJA!C11)/1000000</f>
        <v>-0.182005218</v>
      </c>
      <c r="H34" s="8">
        <f>(-CB_SMI_Mixto_BAJA!D11)/1000000</f>
        <v>-0.18352835100000001</v>
      </c>
      <c r="I34" s="8">
        <f>(-CB_SMI_Mixto_BAJA!E11)/1000000</f>
        <v>-0.18501478200000002</v>
      </c>
      <c r="J34" s="8">
        <f>(-CB_SMI_Mixto_BAJA!F11)/1000000</f>
        <v>-0.186703074</v>
      </c>
      <c r="K34" s="8">
        <f>(-CB_SMI_Mixto_BAJA!G11)/1000000</f>
        <v>-0.18828126000000001</v>
      </c>
      <c r="L34" s="8">
        <f>(-CB_SMI_Mixto_BAJA!H11)/1000000</f>
        <v>-0.18978604199999999</v>
      </c>
      <c r="M34" s="8">
        <f>(-CB_SMI_Mixto_BAJA!I11)/1000000</f>
        <v>-0.19143763200000002</v>
      </c>
      <c r="N34" s="8">
        <f>(-CB_SMI_Mixto_BAJA!J11)/1000000</f>
        <v>-0.19303416900000001</v>
      </c>
      <c r="O34" s="8">
        <f>(-CB_SMI_Mixto_BAJA!K11)/1000000</f>
        <v>-0.19463070600000001</v>
      </c>
      <c r="P34" s="8">
        <f>(-CB_SMI_Mixto_BAJA!L11)/1000000</f>
        <v>-0.196227243</v>
      </c>
      <c r="Q34" s="8">
        <f>(-CB_SMI_Mixto_BAJA!M11)/1000000</f>
        <v>-0.197952237</v>
      </c>
      <c r="R34" s="8">
        <f>(-CB_SMI_Mixto_BAJA!N11)/1000000</f>
        <v>-0.19965888000000001</v>
      </c>
      <c r="S34" s="8">
        <f>(-CB_SMI_Mixto_BAJA!O11)/1000000</f>
        <v>-0.20136552299999999</v>
      </c>
      <c r="T34" s="8">
        <f>(-CB_SMI_Mixto_BAJA!P11)/1000000</f>
        <v>-0.20312721900000003</v>
      </c>
      <c r="U34" s="8">
        <f>(-CB_SMI_Mixto_BAJA!Q11)/1000000</f>
        <v>-0.204888915</v>
      </c>
    </row>
    <row r="35" spans="2:22" x14ac:dyDescent="0.3">
      <c r="B35" s="62"/>
      <c r="C35" s="52" t="s">
        <v>143</v>
      </c>
      <c r="D35" s="53"/>
      <c r="E35" s="53"/>
      <c r="F35" s="8">
        <f>(-CB_SMI_Mixto_BAJA!B12)/1000000</f>
        <v>-1.6678354631578951</v>
      </c>
      <c r="G35" s="8">
        <f>(-CB_SMI_Mixto_BAJA!C12)/1000000</f>
        <v>-1.36764E-2</v>
      </c>
      <c r="H35" s="8">
        <f>(-CB_SMI_Mixto_BAJA!D12)/1000000</f>
        <v>-1.379085263157895E-2</v>
      </c>
      <c r="I35" s="8">
        <f>(-CB_SMI_Mixto_BAJA!E12)/1000000</f>
        <v>-1.390254736842105E-2</v>
      </c>
      <c r="J35" s="8">
        <f>(-CB_SMI_Mixto_BAJA!F12)/1000000</f>
        <v>-1.402941052631579E-2</v>
      </c>
      <c r="K35" s="8">
        <f>(-CB_SMI_Mixto_BAJA!G12)/1000000</f>
        <v>-1.4148000000000001E-2</v>
      </c>
      <c r="L35" s="8">
        <f>(-CB_SMI_Mixto_BAJA!H12)/1000000</f>
        <v>-1.4261073684210531E-2</v>
      </c>
      <c r="M35" s="8">
        <f>(-CB_SMI_Mixto_BAJA!I12)/1000000</f>
        <v>-1.438517894736842E-2</v>
      </c>
      <c r="N35" s="8">
        <f>(-CB_SMI_Mixto_BAJA!J12)/1000000</f>
        <v>-1.450514736842105E-2</v>
      </c>
      <c r="O35" s="8">
        <f>(-CB_SMI_Mixto_BAJA!K12)/1000000</f>
        <v>-1.4625115789473691E-2</v>
      </c>
      <c r="P35" s="8">
        <f>(-CB_SMI_Mixto_BAJA!L12)/1000000</f>
        <v>-1.4745084210526321E-2</v>
      </c>
      <c r="Q35" s="8">
        <f>(-CB_SMI_Mixto_BAJA!M12)/1000000</f>
        <v>-1.48747052631579E-2</v>
      </c>
      <c r="R35" s="8">
        <f>(-CB_SMI_Mixto_BAJA!N12)/1000000</f>
        <v>-1.500294736842106E-2</v>
      </c>
      <c r="S35" s="8">
        <f>(-CB_SMI_Mixto_BAJA!O12)/1000000</f>
        <v>-1.513118947368421E-2</v>
      </c>
      <c r="T35" s="8">
        <f>(-CB_SMI_Mixto_BAJA!P12)/1000000</f>
        <v>-1.526356842105263E-2</v>
      </c>
      <c r="U35" s="8">
        <f>(-CB_SMI_Mixto_BAJA!Q12)/1000000</f>
        <v>-1.5395947368421061E-2</v>
      </c>
    </row>
    <row r="36" spans="2:22" x14ac:dyDescent="0.3">
      <c r="B36" s="63"/>
      <c r="C36" s="74" t="s">
        <v>123</v>
      </c>
      <c r="D36" s="74"/>
      <c r="E36" s="74"/>
      <c r="F36" s="15">
        <f>SUM(F30:F35)</f>
        <v>-24.886722092157896</v>
      </c>
      <c r="G36" s="15">
        <f t="shared" ref="G36:U36" si="3">SUM(G30:G35)</f>
        <v>-22.739597052266671</v>
      </c>
      <c r="H36" s="15">
        <f t="shared" si="3"/>
        <v>-22.741234637898248</v>
      </c>
      <c r="I36" s="15">
        <f t="shared" si="3"/>
        <v>-22.742832763635089</v>
      </c>
      <c r="J36" s="15">
        <f t="shared" si="3"/>
        <v>-22.744647918792985</v>
      </c>
      <c r="K36" s="15">
        <f t="shared" si="3"/>
        <v>-22.746344694266657</v>
      </c>
      <c r="L36" s="15">
        <f t="shared" si="3"/>
        <v>-22.747962549950881</v>
      </c>
      <c r="M36" s="15">
        <f t="shared" si="3"/>
        <v>-22.749738245214036</v>
      </c>
      <c r="N36" s="15">
        <f t="shared" si="3"/>
        <v>-22.751454750635091</v>
      </c>
      <c r="O36" s="15">
        <f t="shared" si="3"/>
        <v>-22.753171256056145</v>
      </c>
      <c r="P36" s="15">
        <f t="shared" si="3"/>
        <v>-22.754887761477196</v>
      </c>
      <c r="Q36" s="15">
        <f t="shared" si="3"/>
        <v>-1.9158098635964915</v>
      </c>
      <c r="R36" s="15">
        <f t="shared" si="3"/>
        <v>-1.9323573353684214</v>
      </c>
      <c r="S36" s="15">
        <f t="shared" si="3"/>
        <v>-1.9492631538070178</v>
      </c>
      <c r="T36" s="15">
        <f t="shared" si="3"/>
        <v>-1.9661536820877186</v>
      </c>
      <c r="U36" s="15">
        <f t="shared" si="3"/>
        <v>-1.9835817303684211</v>
      </c>
    </row>
    <row r="37" spans="2:22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2:22" x14ac:dyDescent="0.3">
      <c r="B38" s="61" t="s">
        <v>119</v>
      </c>
      <c r="C38" s="52" t="s">
        <v>100</v>
      </c>
      <c r="D38" s="53"/>
      <c r="E38" s="53"/>
      <c r="F38" s="8">
        <v>0</v>
      </c>
      <c r="G38" s="8">
        <f>(-CB_SMI_Mixto_BAJA!C13/1000000)*G$25</f>
        <v>0</v>
      </c>
      <c r="H38" s="8">
        <f>(-CB_SMI_Mixto_BAJA!D13/1000000)*H$25</f>
        <v>0</v>
      </c>
      <c r="I38" s="8">
        <f>(-CB_SMI_Mixto_BAJA!E13/1000000)*I$25</f>
        <v>0</v>
      </c>
      <c r="J38" s="8">
        <f>(-CB_SMI_Mixto_BAJA!F13/1000000)*J$25</f>
        <v>0</v>
      </c>
      <c r="K38" s="8">
        <f>(-CB_SMI_Mixto_BAJA!G13/1000000)*K$25</f>
        <v>0</v>
      </c>
      <c r="L38" s="8">
        <f>(-CB_SMI_Mixto_BAJA!H13/1000000)*L$25</f>
        <v>0</v>
      </c>
      <c r="M38" s="8">
        <f>(-CB_SMI_Mixto_BAJA!I13/1000000)*M$25</f>
        <v>0</v>
      </c>
      <c r="N38" s="8">
        <f>(-CB_SMI_Mixto_BAJA!J13/1000000)*N$25</f>
        <v>0</v>
      </c>
      <c r="O38" s="8">
        <f>(-CB_SMI_Mixto_BAJA!K13/1000000)*O$25</f>
        <v>0</v>
      </c>
      <c r="P38" s="8">
        <f>(-CB_SMI_Mixto_BAJA!L13/1000000)*P$25</f>
        <v>0</v>
      </c>
      <c r="Q38" s="8">
        <f>(-CB_SMI_Mixto_BAJA!M13/1000000)*Q$25</f>
        <v>0</v>
      </c>
      <c r="R38" s="8">
        <f>(-CB_SMI_Mixto_BAJA!N13/1000000)*R$25</f>
        <v>0</v>
      </c>
      <c r="S38" s="8">
        <f>(-CB_SMI_Mixto_BAJA!O13/1000000)*S$25</f>
        <v>0</v>
      </c>
      <c r="T38" s="8">
        <f>(-CB_SMI_Mixto_BAJA!P13/1000000)*T$25</f>
        <v>0</v>
      </c>
      <c r="U38" s="8">
        <f>(-CB_SMI_Mixto_BAJA!Q13/1000000)*U$25</f>
        <v>0</v>
      </c>
    </row>
    <row r="39" spans="2:22" x14ac:dyDescent="0.3">
      <c r="B39" s="62"/>
      <c r="C39" s="52" t="s">
        <v>101</v>
      </c>
      <c r="D39" s="53"/>
      <c r="E39" s="53"/>
      <c r="F39" s="8">
        <v>0</v>
      </c>
      <c r="G39" s="8">
        <f>(-CB_SMI_Mixto_BAJA!C14/1000000)*G$25</f>
        <v>-5.0623310952240003E-3</v>
      </c>
      <c r="H39" s="8">
        <f>(-CB_SMI_Mixto_BAJA!D14/1000000)*H$25</f>
        <v>-1.0042300661198655E-2</v>
      </c>
      <c r="I39" s="8">
        <f>(-CB_SMI_Mixto_BAJA!E14/1000000)*I$25</f>
        <v>-1.4940926011645254E-2</v>
      </c>
      <c r="J39" s="8">
        <f>(-CB_SMI_Mixto_BAJA!F14/1000000)*J$25</f>
        <v>-1.9759049470965274E-2</v>
      </c>
      <c r="K39" s="8">
        <f>(-CB_SMI_Mixto_BAJA!G14/1000000)*K$25</f>
        <v>-2.4497682406954518E-2</v>
      </c>
      <c r="L39" s="8">
        <f>(-CB_SMI_Mixto_BAJA!H14/1000000)*L$25</f>
        <v>-2.9157880321181065E-2</v>
      </c>
      <c r="M39" s="8">
        <f>(-CB_SMI_Mixto_BAJA!I14/1000000)*M$25</f>
        <v>-3.3740437461164743E-2</v>
      </c>
      <c r="N39" s="8">
        <f>(-CB_SMI_Mixto_BAJA!J14/1000000)*N$25</f>
        <v>-3.8246366268021151E-2</v>
      </c>
      <c r="O39" s="8">
        <f>(-CB_SMI_Mixto_BAJA!K14/1000000)*O$25</f>
        <v>-4.2676620867886213E-2</v>
      </c>
      <c r="P39" s="8">
        <f>(-CB_SMI_Mixto_BAJA!L14/1000000)*P$25</f>
        <v>-4.7032154769846596E-2</v>
      </c>
      <c r="Q39" s="8">
        <f>(-CB_SMI_Mixto_BAJA!M14/1000000)*Q$25</f>
        <v>-4.7032154769846575E-2</v>
      </c>
      <c r="R39" s="8">
        <f>(-CB_SMI_Mixto_BAJA!N14/1000000)*R$25</f>
        <v>-4.7032154769846575E-2</v>
      </c>
      <c r="S39" s="8">
        <f>(-CB_SMI_Mixto_BAJA!O14/1000000)*S$25</f>
        <v>-4.7032154769846575E-2</v>
      </c>
      <c r="T39" s="8">
        <f>(-CB_SMI_Mixto_BAJA!P14/1000000)*T$25</f>
        <v>-4.7032154769846575E-2</v>
      </c>
      <c r="U39" s="8">
        <f>(-CB_SMI_Mixto_BAJA!Q14/1000000)*U$25</f>
        <v>-4.7032154769846575E-2</v>
      </c>
    </row>
    <row r="40" spans="2:22" x14ac:dyDescent="0.3">
      <c r="B40" s="62"/>
      <c r="C40" s="52" t="s">
        <v>146</v>
      </c>
      <c r="D40" s="53"/>
      <c r="E40" s="53"/>
      <c r="F40" s="8">
        <v>0</v>
      </c>
      <c r="G40" s="8">
        <f>(-CB_SMI_Mixto_BAJA!C15/1000000)*G$25</f>
        <v>-1.0480944776517678</v>
      </c>
      <c r="H40" s="8">
        <f>(-CB_SMI_Mixto_BAJA!D15/1000000)*H$25</f>
        <v>-2.096188955303536</v>
      </c>
      <c r="I40" s="8">
        <f>(-CB_SMI_Mixto_BAJA!E15/1000000)*I$25</f>
        <v>-3.1442834329553038</v>
      </c>
      <c r="J40" s="8">
        <f>(-CB_SMI_Mixto_BAJA!F15/1000000)*J$25</f>
        <v>-4.192377910607072</v>
      </c>
      <c r="K40" s="8">
        <f>(-CB_SMI_Mixto_BAJA!G15/1000000)*K$25</f>
        <v>-5.2404723882588415</v>
      </c>
      <c r="L40" s="8">
        <f>(-CB_SMI_Mixto_BAJA!H15/1000000)*L$25</f>
        <v>-6.2885668659106111</v>
      </c>
      <c r="M40" s="8">
        <f>(-CB_SMI_Mixto_BAJA!I15/1000000)*M$25</f>
        <v>-7.3366613435623806</v>
      </c>
      <c r="N40" s="8">
        <f>(-CB_SMI_Mixto_BAJA!J15/1000000)*N$25</f>
        <v>-8.3847558212141458</v>
      </c>
      <c r="O40" s="8">
        <f>(-CB_SMI_Mixto_BAJA!K15/1000000)*O$25</f>
        <v>-9.4328502988659135</v>
      </c>
      <c r="P40" s="8">
        <f>(-CB_SMI_Mixto_BAJA!L15/1000000)*P$25</f>
        <v>-10.480944776517685</v>
      </c>
      <c r="Q40" s="8">
        <f>(-CB_SMI_Mixto_BAJA!M15/1000000)*Q$25</f>
        <v>-10.5670824616411</v>
      </c>
      <c r="R40" s="8">
        <f>(-CB_SMI_Mixto_BAJA!N15/1000000)*R$25</f>
        <v>-10.65396278185457</v>
      </c>
      <c r="S40" s="8">
        <f>(-CB_SMI_Mixto_BAJA!O15/1000000)*S$25</f>
        <v>-10.741585737158099</v>
      </c>
      <c r="T40" s="8">
        <f>(-CB_SMI_Mixto_BAJA!P15/1000000)*T$25</f>
        <v>-10.829975283522352</v>
      </c>
      <c r="U40" s="8">
        <f>(-CB_SMI_Mixto_BAJA!Q15/1000000)*U$25</f>
        <v>-10.9191314209473</v>
      </c>
    </row>
    <row r="41" spans="2:22" x14ac:dyDescent="0.3">
      <c r="B41" s="62"/>
      <c r="C41" s="52" t="s">
        <v>144</v>
      </c>
      <c r="D41" s="53"/>
      <c r="E41" s="53"/>
      <c r="F41" s="8">
        <v>0</v>
      </c>
      <c r="G41" s="8">
        <f>(-CB_SMI_Mixto_BAJA!C16/1000000)*G$25</f>
        <v>-0.14875409800526315</v>
      </c>
      <c r="H41" s="8">
        <f>(-CB_SMI_Mixto_BAJA!D16/1000000)*H$25</f>
        <v>-0.2975081960105263</v>
      </c>
      <c r="I41" s="8">
        <f>(-CB_SMI_Mixto_BAJA!E16/1000000)*I$25</f>
        <v>-0.44626229401578943</v>
      </c>
      <c r="J41" s="8">
        <f>(-CB_SMI_Mixto_BAJA!F16/1000000)*J$25</f>
        <v>-0.59501639202105239</v>
      </c>
      <c r="K41" s="8">
        <f>(-CB_SMI_Mixto_BAJA!G16/1000000)*K$25</f>
        <v>-0.74377049002631579</v>
      </c>
      <c r="L41" s="8">
        <f>(-CB_SMI_Mixto_BAJA!H16/1000000)*L$25</f>
        <v>-0.89252458803157919</v>
      </c>
      <c r="M41" s="8">
        <f>(-CB_SMI_Mixto_BAJA!I16/1000000)*M$25</f>
        <v>-1.041278686036843</v>
      </c>
      <c r="N41" s="8">
        <f>(-CB_SMI_Mixto_BAJA!J16/1000000)*N$25</f>
        <v>-1.1900327840421061</v>
      </c>
      <c r="O41" s="8">
        <f>(-CB_SMI_Mixto_BAJA!K16/1000000)*O$25</f>
        <v>-1.3387868820473696</v>
      </c>
      <c r="P41" s="8">
        <f>(-CB_SMI_Mixto_BAJA!L16/1000000)*P$25</f>
        <v>-1.4875409800526318</v>
      </c>
      <c r="Q41" s="8">
        <f>(-CB_SMI_Mixto_BAJA!M16/1000000)*Q$25</f>
        <v>-1.499766341342105</v>
      </c>
      <c r="R41" s="8">
        <f>(-CB_SMI_Mixto_BAJA!N16/1000000)*R$25</f>
        <v>-1.5120971034473678</v>
      </c>
      <c r="S41" s="8">
        <f>(-CB_SMI_Mixto_BAJA!O16/1000000)*S$25</f>
        <v>-1.524533266368421</v>
      </c>
      <c r="T41" s="8">
        <f>(-CB_SMI_Mixto_BAJA!P16/1000000)*T$25</f>
        <v>-1.5370782301315791</v>
      </c>
      <c r="U41" s="8">
        <f>(-CB_SMI_Mixto_BAJA!Q16/1000000)*U$25</f>
        <v>-1.5497319947368422</v>
      </c>
    </row>
    <row r="42" spans="2:22" x14ac:dyDescent="0.3">
      <c r="B42" s="62"/>
      <c r="C42" s="52" t="s">
        <v>61</v>
      </c>
      <c r="D42" s="53"/>
      <c r="E42" s="53"/>
      <c r="F42" s="8">
        <v>0</v>
      </c>
      <c r="G42" s="8">
        <f>(-CB_SMI_Mixto_BAJA!C17/1000000)*G$25</f>
        <v>-0.16301572920000004</v>
      </c>
      <c r="H42" s="8">
        <f>(-CB_SMI_Mixto_BAJA!D17/1000000)*H$25</f>
        <v>-0.32603145839999997</v>
      </c>
      <c r="I42" s="8">
        <f>(-CB_SMI_Mixto_BAJA!E17/1000000)*I$25</f>
        <v>-0.48904718759999993</v>
      </c>
      <c r="J42" s="8">
        <f>(-CB_SMI_Mixto_BAJA!F17/1000000)*J$25</f>
        <v>-0.65206291680000006</v>
      </c>
      <c r="K42" s="8">
        <f>(-CB_SMI_Mixto_BAJA!G17/1000000)*K$25</f>
        <v>-0.81507864600000024</v>
      </c>
      <c r="L42" s="8">
        <f>(-CB_SMI_Mixto_BAJA!H17/1000000)*L$25</f>
        <v>-0.9780943752000002</v>
      </c>
      <c r="M42" s="8">
        <f>(-CB_SMI_Mixto_BAJA!I17/1000000)*M$25</f>
        <v>-1.1411101044000005</v>
      </c>
      <c r="N42" s="8">
        <f>(-CB_SMI_Mixto_BAJA!J17/1000000)*N$25</f>
        <v>-1.3041258336000006</v>
      </c>
      <c r="O42" s="8">
        <f>(-CB_SMI_Mixto_BAJA!K17/1000000)*O$25</f>
        <v>-1.4671415628000006</v>
      </c>
      <c r="P42" s="8">
        <f>(-CB_SMI_Mixto_BAJA!L17/1000000)*P$25</f>
        <v>-1.6301572920000005</v>
      </c>
      <c r="Q42" s="8">
        <f>(-CB_SMI_Mixto_BAJA!M17/1000000)*Q$25</f>
        <v>-1.643554746</v>
      </c>
      <c r="R42" s="8">
        <f>(-CB_SMI_Mixto_BAJA!N17/1000000)*R$25</f>
        <v>-1.6570677060000001</v>
      </c>
      <c r="S42" s="8">
        <f>(-CB_SMI_Mixto_BAJA!O17/1000000)*S$25</f>
        <v>-1.670696172</v>
      </c>
      <c r="T42" s="8">
        <f>(-CB_SMI_Mixto_BAJA!P17/1000000)*T$25</f>
        <v>-1.6844438700000002</v>
      </c>
      <c r="U42" s="8">
        <f>(-CB_SMI_Mixto_BAJA!Q17/1000000)*U$25</f>
        <v>-1.6983108</v>
      </c>
    </row>
    <row r="43" spans="2:22" x14ac:dyDescent="0.3">
      <c r="B43" s="63"/>
      <c r="C43" s="74" t="s">
        <v>131</v>
      </c>
      <c r="D43" s="74"/>
      <c r="E43" s="74"/>
      <c r="F43" s="15">
        <f>SUM(F38:F42)</f>
        <v>0</v>
      </c>
      <c r="G43" s="15">
        <f>SUM(G38:G42)</f>
        <v>-1.3649266359522549</v>
      </c>
      <c r="H43" s="15">
        <f t="shared" ref="H43:T43" si="4">SUM(H38:H42)</f>
        <v>-2.7297709103752608</v>
      </c>
      <c r="I43" s="15">
        <f t="shared" si="4"/>
        <v>-4.0945338405827387</v>
      </c>
      <c r="J43" s="15">
        <f t="shared" si="4"/>
        <v>-5.4592162688990902</v>
      </c>
      <c r="K43" s="15">
        <f t="shared" si="4"/>
        <v>-6.8238192066921117</v>
      </c>
      <c r="L43" s="15">
        <f t="shared" si="4"/>
        <v>-8.1883437094633713</v>
      </c>
      <c r="M43" s="15">
        <f t="shared" si="4"/>
        <v>-9.55279057146039</v>
      </c>
      <c r="N43" s="15">
        <f t="shared" si="4"/>
        <v>-10.917160805124274</v>
      </c>
      <c r="O43" s="15">
        <f t="shared" si="4"/>
        <v>-12.28145536458117</v>
      </c>
      <c r="P43" s="15">
        <f t="shared" si="4"/>
        <v>-13.645675203340163</v>
      </c>
      <c r="Q43" s="15">
        <f t="shared" si="4"/>
        <v>-13.75743570375305</v>
      </c>
      <c r="R43" s="15">
        <f t="shared" si="4"/>
        <v>-13.870159746071785</v>
      </c>
      <c r="S43" s="15">
        <f t="shared" si="4"/>
        <v>-13.983847330296365</v>
      </c>
      <c r="T43" s="15">
        <f t="shared" si="4"/>
        <v>-14.098529538423778</v>
      </c>
      <c r="U43" s="15">
        <f>SUM(U38:U42)</f>
        <v>-14.214206370453988</v>
      </c>
    </row>
    <row r="44" spans="2:22" x14ac:dyDescent="0.3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2:22" x14ac:dyDescent="0.3">
      <c r="B45" s="78" t="s">
        <v>155</v>
      </c>
      <c r="C45" s="74"/>
      <c r="D45" s="74"/>
      <c r="E45" s="74"/>
      <c r="F45" s="15">
        <f>F36+F43</f>
        <v>-24.886722092157896</v>
      </c>
      <c r="G45" s="15">
        <f t="shared" ref="G45:U45" si="5">G36+G43</f>
        <v>-24.104523688218926</v>
      </c>
      <c r="H45" s="15">
        <f t="shared" si="5"/>
        <v>-25.47100554827351</v>
      </c>
      <c r="I45" s="15">
        <f t="shared" si="5"/>
        <v>-26.837366604217827</v>
      </c>
      <c r="J45" s="15">
        <f t="shared" si="5"/>
        <v>-28.203864187692076</v>
      </c>
      <c r="K45" s="15">
        <f t="shared" si="5"/>
        <v>-29.570163900958768</v>
      </c>
      <c r="L45" s="15">
        <f t="shared" si="5"/>
        <v>-30.936306259414252</v>
      </c>
      <c r="M45" s="15">
        <f t="shared" si="5"/>
        <v>-32.302528816674425</v>
      </c>
      <c r="N45" s="15">
        <f t="shared" si="5"/>
        <v>-33.668615555759366</v>
      </c>
      <c r="O45" s="15">
        <f t="shared" si="5"/>
        <v>-35.034626620637312</v>
      </c>
      <c r="P45" s="15">
        <f t="shared" si="5"/>
        <v>-36.400562964817361</v>
      </c>
      <c r="Q45" s="15">
        <f t="shared" si="5"/>
        <v>-15.673245567349541</v>
      </c>
      <c r="R45" s="15">
        <f t="shared" si="5"/>
        <v>-15.802517081440206</v>
      </c>
      <c r="S45" s="15">
        <f t="shared" si="5"/>
        <v>-15.933110484103382</v>
      </c>
      <c r="T45" s="15">
        <f t="shared" si="5"/>
        <v>-16.064683220511498</v>
      </c>
      <c r="U45" s="15">
        <f t="shared" si="5"/>
        <v>-16.197788100822411</v>
      </c>
    </row>
    <row r="46" spans="2:22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2" x14ac:dyDescent="0.3">
      <c r="B47" s="79" t="s">
        <v>120</v>
      </c>
      <c r="C47" s="52" t="s">
        <v>112</v>
      </c>
      <c r="D47" s="53"/>
      <c r="E47" s="53"/>
      <c r="F47" s="8">
        <v>0</v>
      </c>
      <c r="G47" s="8">
        <f>(CB_SMI_Mixto_BAJA!C18/1000000)*G$25</f>
        <v>0.54236619105375794</v>
      </c>
      <c r="H47" s="8">
        <f>(CB_SMI_Mixto_BAJA!D18/1000000)*H$25</f>
        <v>1.0849864107764728</v>
      </c>
      <c r="I47" s="8">
        <f>(CB_SMI_Mixto_BAJA!E18/1000000)*I$25</f>
        <v>1.6278607823381102</v>
      </c>
      <c r="J47" s="8">
        <f>(CB_SMI_Mixto_BAJA!F18/1000000)*J$25</f>
        <v>2.1709764672690248</v>
      </c>
      <c r="K47" s="8">
        <f>(CB_SMI_Mixto_BAJA!G18/1000000)*K$25</f>
        <v>2.7143305871235479</v>
      </c>
      <c r="L47" s="8">
        <f>(CB_SMI_Mixto_BAJA!H18/1000000)*L$25</f>
        <v>3.2579310303529883</v>
      </c>
      <c r="M47" s="8">
        <f>(CB_SMI_Mixto_BAJA!I18/1000000)*M$25</f>
        <v>3.8017745487081451</v>
      </c>
      <c r="N47" s="8">
        <f>(CB_SMI_Mixto_BAJA!J18/1000000)*N$25</f>
        <v>4.3458602705525449</v>
      </c>
      <c r="O47" s="8">
        <f>(CB_SMI_Mixto_BAJA!K18/1000000)*O$25</f>
        <v>4.8901669992235908</v>
      </c>
      <c r="P47" s="8">
        <f>(CB_SMI_Mixto_BAJA!L18/1000000)*P$25</f>
        <v>5.434732159800002</v>
      </c>
      <c r="Q47" s="8">
        <f>(CB_SMI_Mixto_BAJA!M18/1000000)*Q$25</f>
        <v>5.4805911012000008</v>
      </c>
      <c r="R47" s="8">
        <f>(CB_SMI_Mixto_BAJA!N18/1000000)*R$25</f>
        <v>5.5268269721999985</v>
      </c>
      <c r="S47" s="8">
        <f>(CB_SMI_Mixto_BAJA!O18/1000000)*S$25</f>
        <v>5.5734918485999998</v>
      </c>
      <c r="T47" s="8">
        <f>(CB_SMI_Mixto_BAJA!P18/1000000)*T$25</f>
        <v>5.6205212555999999</v>
      </c>
      <c r="U47" s="8">
        <f>(CB_SMI_Mixto_BAJA!Q18/1000000)*U$25</f>
        <v>5.6679399911999999</v>
      </c>
      <c r="V47" s="30">
        <f>U47/$U$56</f>
        <v>0.10924755417902714</v>
      </c>
    </row>
    <row r="48" spans="2:22" x14ac:dyDescent="0.3">
      <c r="B48" s="80"/>
      <c r="C48" s="52" t="s">
        <v>62</v>
      </c>
      <c r="D48" s="53"/>
      <c r="E48" s="53"/>
      <c r="F48" s="8">
        <v>0</v>
      </c>
      <c r="G48" s="8">
        <f>(CB_SMI_Mixto_BAJA!C19/1000000)*G$25</f>
        <v>4.6775154856664732E-2</v>
      </c>
      <c r="H48" s="8">
        <f>(CB_SMI_Mixto_BAJA!D19/1000000)*H$25</f>
        <v>9.3572050805651175E-2</v>
      </c>
      <c r="I48" s="8">
        <f>(CB_SMI_Mixto_BAJA!E19/1000000)*I$25</f>
        <v>0.14039102059501946</v>
      </c>
      <c r="J48" s="8">
        <f>(CB_SMI_Mixto_BAJA!F19/1000000)*J$25</f>
        <v>0.18723072961845422</v>
      </c>
      <c r="K48" s="8">
        <f>(CB_SMI_Mixto_BAJA!G19/1000000)*K$25</f>
        <v>0.23409082636847037</v>
      </c>
      <c r="L48" s="8">
        <f>(CB_SMI_Mixto_BAJA!H19/1000000)*L$25</f>
        <v>0.28097254355089085</v>
      </c>
      <c r="M48" s="8">
        <f>(CB_SMI_Mixto_BAJA!I19/1000000)*M$25</f>
        <v>0.32787465460324977</v>
      </c>
      <c r="N48" s="8">
        <f>(CB_SMI_Mixto_BAJA!J19/1000000)*N$25</f>
        <v>0.37479769605959623</v>
      </c>
      <c r="O48" s="8">
        <f>(CB_SMI_Mixto_BAJA!K19/1000000)*O$25</f>
        <v>0.42173963988211288</v>
      </c>
      <c r="P48" s="8">
        <f>(CB_SMI_Mixto_BAJA!L19/1000000)*P$25</f>
        <v>0.46870424496000018</v>
      </c>
      <c r="Q48" s="8">
        <f>(CB_SMI_Mixto_BAJA!M19/1000000)*Q$25</f>
        <v>0.4726588360320001</v>
      </c>
      <c r="R48" s="8">
        <f>(CB_SMI_Mixto_BAJA!N19/1000000)*R$25</f>
        <v>0.47664647996400011</v>
      </c>
      <c r="S48" s="8">
        <f>(CB_SMI_Mixto_BAJA!O19/1000000)*S$25</f>
        <v>0.48098852603100006</v>
      </c>
      <c r="T48" s="8">
        <f>(CB_SMI_Mixto_BAJA!P19/1000000)*T$25</f>
        <v>0.48536752284000001</v>
      </c>
      <c r="U48" s="8">
        <f>(CB_SMI_Mixto_BAJA!Q19/1000000)*U$25</f>
        <v>0.48978574098300004</v>
      </c>
      <c r="V48" s="30">
        <f t="shared" ref="V48:V55" si="6">U48/$U$56</f>
        <v>9.4404482681946511E-3</v>
      </c>
    </row>
    <row r="49" spans="2:24" x14ac:dyDescent="0.3">
      <c r="B49" s="80"/>
      <c r="C49" s="52" t="s">
        <v>95</v>
      </c>
      <c r="D49" s="53"/>
      <c r="E49" s="53"/>
      <c r="F49" s="8">
        <v>0</v>
      </c>
      <c r="G49" s="8">
        <f>(CB_SMI_Mixto_BAJA!C20/1000000)*G$25</f>
        <v>2.4092245161337886</v>
      </c>
      <c r="H49" s="8">
        <f>(CB_SMI_Mixto_BAJA!D20/1000000)*H$25</f>
        <v>4.9235856016592958</v>
      </c>
      <c r="I49" s="8">
        <f>(CB_SMI_Mixto_BAJA!E20/1000000)*I$25</f>
        <v>7.5465305386083514</v>
      </c>
      <c r="J49" s="8">
        <f>(CB_SMI_Mixto_BAJA!F20/1000000)*J$25</f>
        <v>10.281522088271258</v>
      </c>
      <c r="K49" s="8">
        <f>(CB_SMI_Mixto_BAJA!G20/1000000)*K$25</f>
        <v>13.132212748176972</v>
      </c>
      <c r="L49" s="8">
        <f>(CB_SMI_Mixto_BAJA!H20/1000000)*L$25</f>
        <v>16.102392350351057</v>
      </c>
      <c r="M49" s="8">
        <f>(CB_SMI_Mixto_BAJA!I20/1000000)*M$25</f>
        <v>19.195821819741418</v>
      </c>
      <c r="N49" s="8">
        <f>(CB_SMI_Mixto_BAJA!J20/1000000)*N$25</f>
        <v>22.416495934721794</v>
      </c>
      <c r="O49" s="8">
        <f>(CB_SMI_Mixto_BAJA!K20/1000000)*O$25</f>
        <v>25.768498693223542</v>
      </c>
      <c r="P49" s="8">
        <f>(CB_SMI_Mixto_BAJA!L20/1000000)*P$25</f>
        <v>29.256038165649034</v>
      </c>
      <c r="Q49" s="8">
        <f>(CB_SMI_Mixto_BAJA!M20/1000000)*Q$25</f>
        <v>30.139570518251631</v>
      </c>
      <c r="R49" s="8">
        <f>(CB_SMI_Mixto_BAJA!N20/1000000)*R$25</f>
        <v>31.049785547902818</v>
      </c>
      <c r="S49" s="8">
        <f>(CB_SMI_Mixto_BAJA!O20/1000000)*S$25</f>
        <v>31.987489071449488</v>
      </c>
      <c r="T49" s="8">
        <f>(CB_SMI_Mixto_BAJA!P20/1000000)*T$25</f>
        <v>32.953511241407263</v>
      </c>
      <c r="U49" s="8">
        <f>(CB_SMI_Mixto_BAJA!Q20/1000000)*U$25</f>
        <v>33.948707280897764</v>
      </c>
      <c r="V49" s="30">
        <f t="shared" si="6"/>
        <v>0.65434941861347973</v>
      </c>
    </row>
    <row r="50" spans="2:24" x14ac:dyDescent="0.3">
      <c r="B50" s="80"/>
      <c r="C50" s="52" t="s">
        <v>96</v>
      </c>
      <c r="D50" s="53"/>
      <c r="E50" s="53"/>
      <c r="F50" s="8">
        <v>0</v>
      </c>
      <c r="G50" s="8">
        <f>(CB_SMI_Mixto_BAJA!C21/1000000)*G$25</f>
        <v>8.1375641899013251E-2</v>
      </c>
      <c r="H50" s="8">
        <f>(CB_SMI_Mixto_BAJA!D21/1000000)*H$25</f>
        <v>0.16142734386119129</v>
      </c>
      <c r="I50" s="8">
        <f>(CB_SMI_Mixto_BAJA!E21/1000000)*I$25</f>
        <v>0.24017145893723846</v>
      </c>
      <c r="J50" s="8">
        <f>(CB_SMI_Mixto_BAJA!F21/1000000)*J$25</f>
        <v>0.31762152727053306</v>
      </c>
      <c r="K50" s="8">
        <f>(CB_SMI_Mixto_BAJA!G21/1000000)*K$25</f>
        <v>0.39379380633258992</v>
      </c>
      <c r="L50" s="8">
        <f>(CB_SMI_Mixto_BAJA!H21/1000000)*L$25</f>
        <v>0.46870526303371424</v>
      </c>
      <c r="M50" s="8">
        <f>(CB_SMI_Mixto_BAJA!I21/1000000)*M$25</f>
        <v>0.54236866469404699</v>
      </c>
      <c r="N50" s="8">
        <f>(CB_SMI_Mixto_BAJA!J21/1000000)*N$25</f>
        <v>0.61480028603843684</v>
      </c>
      <c r="O50" s="8">
        <f>(CB_SMI_Mixto_BAJA!K21/1000000)*O$25</f>
        <v>0.68601546439375993</v>
      </c>
      <c r="P50" s="8">
        <f>(CB_SMI_Mixto_BAJA!L21/1000000)*P$25</f>
        <v>0.7560295271679881</v>
      </c>
      <c r="Q50" s="8">
        <f>(CB_SMI_Mixto_BAJA!M21/1000000)*Q$25</f>
        <v>0.75602952716798777</v>
      </c>
      <c r="R50" s="8">
        <f>(CB_SMI_Mixto_BAJA!N21/1000000)*R$25</f>
        <v>0.75602952716798777</v>
      </c>
      <c r="S50" s="8">
        <f>(CB_SMI_Mixto_BAJA!O21/1000000)*S$25</f>
        <v>0.75602952716798777</v>
      </c>
      <c r="T50" s="8">
        <f>(CB_SMI_Mixto_BAJA!P21/1000000)*T$25</f>
        <v>0.75602952716798777</v>
      </c>
      <c r="U50" s="8">
        <f>(CB_SMI_Mixto_BAJA!Q21/1000000)*U$25</f>
        <v>0.75602952716798777</v>
      </c>
      <c r="V50" s="30">
        <f t="shared" si="6"/>
        <v>1.4572203809225999E-2</v>
      </c>
      <c r="W50" s="31">
        <f>1700*0.4</f>
        <v>680</v>
      </c>
      <c r="X50" s="31">
        <f>1700*0.23</f>
        <v>391</v>
      </c>
    </row>
    <row r="51" spans="2:24" x14ac:dyDescent="0.3">
      <c r="B51" s="80"/>
      <c r="C51" s="52" t="s">
        <v>140</v>
      </c>
      <c r="D51" s="53"/>
      <c r="E51" s="53"/>
      <c r="F51" s="8">
        <v>0</v>
      </c>
      <c r="G51" s="8">
        <f>(CB_SMI_Mixto_BAJA!C22/1000000)*G$25</f>
        <v>0</v>
      </c>
      <c r="H51" s="8">
        <f>(CB_SMI_Mixto_BAJA!D22/1000000)*H$25</f>
        <v>0</v>
      </c>
      <c r="I51" s="8">
        <f>(CB_SMI_Mixto_BAJA!E22/1000000)*I$25</f>
        <v>0</v>
      </c>
      <c r="J51" s="8">
        <f>(CB_SMI_Mixto_BAJA!F22/1000000)*J$25</f>
        <v>0</v>
      </c>
      <c r="K51" s="8">
        <f>(CB_SMI_Mixto_BAJA!G22/1000000)*K$25</f>
        <v>0</v>
      </c>
      <c r="L51" s="8">
        <f>(CB_SMI_Mixto_BAJA!H22/1000000)*L$25</f>
        <v>0</v>
      </c>
      <c r="M51" s="8">
        <f>(CB_SMI_Mixto_BAJA!I22/1000000)*M$25</f>
        <v>0</v>
      </c>
      <c r="N51" s="8">
        <f>(CB_SMI_Mixto_BAJA!J22/1000000)*N$25</f>
        <v>0</v>
      </c>
      <c r="O51" s="8">
        <f>(CB_SMI_Mixto_BAJA!K22/1000000)*O$25</f>
        <v>0</v>
      </c>
      <c r="P51" s="8">
        <f>(CB_SMI_Mixto_BAJA!L22/1000000)*P$25</f>
        <v>0</v>
      </c>
      <c r="Q51" s="8">
        <f>(CB_SMI_Mixto_BAJA!M22/1000000)*Q$25</f>
        <v>0</v>
      </c>
      <c r="R51" s="8">
        <f>(CB_SMI_Mixto_BAJA!N22/1000000)*R$25</f>
        <v>0</v>
      </c>
      <c r="S51" s="8">
        <f>(CB_SMI_Mixto_BAJA!O22/1000000)*S$25</f>
        <v>0</v>
      </c>
      <c r="T51" s="8">
        <f>(CB_SMI_Mixto_BAJA!P22/1000000)*T$25</f>
        <v>0</v>
      </c>
      <c r="U51" s="8">
        <f>(CB_SMI_Mixto_BAJA!Q22/1000000)*U$25</f>
        <v>0</v>
      </c>
      <c r="V51" s="30">
        <f t="shared" si="6"/>
        <v>0</v>
      </c>
      <c r="W51" s="32">
        <f>+W50*0.06</f>
        <v>40.799999999999997</v>
      </c>
      <c r="X51" s="32">
        <f>+X50*0.06</f>
        <v>23.46</v>
      </c>
    </row>
    <row r="52" spans="2:24" x14ac:dyDescent="0.3">
      <c r="B52" s="80"/>
      <c r="C52" s="52" t="s">
        <v>98</v>
      </c>
      <c r="D52" s="53"/>
      <c r="E52" s="53"/>
      <c r="F52" s="8">
        <v>0</v>
      </c>
      <c r="G52" s="8">
        <f>(CB_SMI_Mixto_BAJA!C23/1000000)*G$25</f>
        <v>0</v>
      </c>
      <c r="H52" s="8">
        <f>(CB_SMI_Mixto_BAJA!D23/1000000)*H$25</f>
        <v>0</v>
      </c>
      <c r="I52" s="8">
        <f>(CB_SMI_Mixto_BAJA!E23/1000000)*I$25</f>
        <v>0</v>
      </c>
      <c r="J52" s="8">
        <f>(CB_SMI_Mixto_BAJA!F23/1000000)*J$25</f>
        <v>0</v>
      </c>
      <c r="K52" s="8">
        <f>(CB_SMI_Mixto_BAJA!G23/1000000)*K$25</f>
        <v>0</v>
      </c>
      <c r="L52" s="8">
        <f>(CB_SMI_Mixto_BAJA!H23/1000000)*L$25</f>
        <v>0</v>
      </c>
      <c r="M52" s="8">
        <f>(CB_SMI_Mixto_BAJA!I23/1000000)*M$25</f>
        <v>0</v>
      </c>
      <c r="N52" s="8">
        <f>(CB_SMI_Mixto_BAJA!J23/1000000)*N$25</f>
        <v>0</v>
      </c>
      <c r="O52" s="8">
        <f>(CB_SMI_Mixto_BAJA!K23/1000000)*O$25</f>
        <v>0</v>
      </c>
      <c r="P52" s="8">
        <f>(CB_SMI_Mixto_BAJA!L23/1000000)*P$25</f>
        <v>0</v>
      </c>
      <c r="Q52" s="8">
        <f>(CB_SMI_Mixto_BAJA!M23/1000000)*Q$25</f>
        <v>0</v>
      </c>
      <c r="R52" s="8">
        <f>(CB_SMI_Mixto_BAJA!N23/1000000)*R$25</f>
        <v>0</v>
      </c>
      <c r="S52" s="8">
        <f>(CB_SMI_Mixto_BAJA!O23/1000000)*S$25</f>
        <v>0</v>
      </c>
      <c r="T52" s="8">
        <f>(CB_SMI_Mixto_BAJA!P23/1000000)*T$25</f>
        <v>0</v>
      </c>
      <c r="U52" s="8">
        <f>(CB_SMI_Mixto_BAJA!Q23/1000000)*U$25</f>
        <v>0</v>
      </c>
      <c r="V52" s="30">
        <f t="shared" si="6"/>
        <v>0</v>
      </c>
      <c r="W52" s="32">
        <f>+W51/7</f>
        <v>5.8285714285714283</v>
      </c>
      <c r="X52" s="32">
        <f>+X51/7</f>
        <v>3.3514285714285714</v>
      </c>
    </row>
    <row r="53" spans="2:24" x14ac:dyDescent="0.3">
      <c r="B53" s="80"/>
      <c r="C53" s="52" t="s">
        <v>63</v>
      </c>
      <c r="D53" s="53"/>
      <c r="E53" s="53"/>
      <c r="F53" s="8">
        <v>0</v>
      </c>
      <c r="G53" s="8">
        <f>(CB_SMI_Mixto_BAJA!C24/1000000)*G$25</f>
        <v>0.42494261045375398</v>
      </c>
      <c r="H53" s="8">
        <f>(CB_SMI_Mixto_BAJA!D24/1000000)*H$25</f>
        <v>0.90680933394717511</v>
      </c>
      <c r="I53" s="8">
        <f>(CB_SMI_Mixto_BAJA!E24/1000000)*I$25</f>
        <v>1.4397794211441248</v>
      </c>
      <c r="J53" s="8">
        <f>(CB_SMI_Mixto_BAJA!F24/1000000)*J$25</f>
        <v>2.0188387896022952</v>
      </c>
      <c r="K53" s="8">
        <f>(CB_SMI_Mixto_BAJA!G24/1000000)*K$25</f>
        <v>2.6391647508453304</v>
      </c>
      <c r="L53" s="8">
        <f>(CB_SMI_Mixto_BAJA!H24/1000000)*L$25</f>
        <v>3.293222419227098</v>
      </c>
      <c r="M53" s="8">
        <f>(CB_SMI_Mixto_BAJA!I24/1000000)*M$25</f>
        <v>3.9801730706178691</v>
      </c>
      <c r="N53" s="8">
        <f>(CB_SMI_Mixto_BAJA!J24/1000000)*N$25</f>
        <v>4.6948007755582575</v>
      </c>
      <c r="O53" s="8">
        <f>(CB_SMI_Mixto_BAJA!K24/1000000)*O$25</f>
        <v>5.4302974866964293</v>
      </c>
      <c r="P53" s="8">
        <f>(CB_SMI_Mixto_BAJA!L24/1000000)*P$25</f>
        <v>6.1873737721655981</v>
      </c>
      <c r="Q53" s="8">
        <f>(CB_SMI_Mixto_BAJA!M24/1000000)*Q$25</f>
        <v>6.3777567253041765</v>
      </c>
      <c r="R53" s="8">
        <f>(CB_SMI_Mixto_BAJA!N24/1000000)*R$25</f>
        <v>6.5623771760515508</v>
      </c>
      <c r="S53" s="8">
        <f>(CB_SMI_Mixto_BAJA!O24/1000000)*S$25</f>
        <v>6.7317650144795618</v>
      </c>
      <c r="T53" s="8">
        <f>(CB_SMI_Mixto_BAJA!P24/1000000)*T$25</f>
        <v>6.892190080293549</v>
      </c>
      <c r="U53" s="8">
        <f>(CB_SMI_Mixto_BAJA!Q24/1000000)*U$25</f>
        <v>7.0450901170139995</v>
      </c>
      <c r="V53" s="30">
        <f t="shared" si="6"/>
        <v>0.13579163954621642</v>
      </c>
      <c r="W53" s="32">
        <f>+W52/12</f>
        <v>0.48571428571428571</v>
      </c>
      <c r="X53" s="32">
        <f>+X52/12</f>
        <v>0.2792857142857143</v>
      </c>
    </row>
    <row r="54" spans="2:24" x14ac:dyDescent="0.3">
      <c r="B54" s="80"/>
      <c r="C54" s="52" t="s">
        <v>99</v>
      </c>
      <c r="D54" s="53"/>
      <c r="E54" s="53"/>
      <c r="F54" s="8">
        <v>0</v>
      </c>
      <c r="G54" s="8">
        <f>(CB_SMI_Mixto_BAJA!C25/1000000)*G$25</f>
        <v>0.15869882548454578</v>
      </c>
      <c r="H54" s="8">
        <f>(CB_SMI_Mixto_BAJA!D25/1000000)*H$25</f>
        <v>0.3174714141843451</v>
      </c>
      <c r="I54" s="8">
        <f>(CB_SMI_Mixto_BAJA!E25/1000000)*I$25</f>
        <v>0.47631889504758601</v>
      </c>
      <c r="J54" s="8">
        <f>(CB_SMI_Mixto_BAJA!F25/1000000)*J$25</f>
        <v>0.63523674001967667</v>
      </c>
      <c r="K54" s="8">
        <f>(CB_SMI_Mixto_BAJA!G25/1000000)*K$25</f>
        <v>0.79422375650541988</v>
      </c>
      <c r="L54" s="8">
        <f>(CB_SMI_Mixto_BAJA!H25/1000000)*L$25</f>
        <v>0.95328412683124231</v>
      </c>
      <c r="M54" s="8">
        <f>(CB_SMI_Mixto_BAJA!I25/1000000)*M$25</f>
        <v>1.1124136895139092</v>
      </c>
      <c r="N54" s="8">
        <f>(CB_SMI_Mixto_BAJA!J25/1000000)*N$25</f>
        <v>1.2716142649070619</v>
      </c>
      <c r="O54" s="8">
        <f>(CB_SMI_Mixto_BAJA!K25/1000000)*O$25</f>
        <v>1.4308789722805206</v>
      </c>
      <c r="P54" s="8">
        <f>(CB_SMI_Mixto_BAJA!L25/1000000)*P$25</f>
        <v>1.5902205648000007</v>
      </c>
      <c r="Q54" s="8">
        <f>(CB_SMI_Mixto_BAJA!M25/1000000)*Q$25</f>
        <v>1.60363770816</v>
      </c>
      <c r="R54" s="8">
        <f>(CB_SMI_Mixto_BAJA!N25/1000000)*R$25</f>
        <v>1.6171669933199999</v>
      </c>
      <c r="S54" s="8">
        <f>(CB_SMI_Mixto_BAJA!O25/1000000)*S$25</f>
        <v>1.6308196344600001</v>
      </c>
      <c r="T54" s="8">
        <f>(CB_SMI_Mixto_BAJA!P25/1000000)*T$25</f>
        <v>1.6445794333200001</v>
      </c>
      <c r="U54" s="8">
        <f>(CB_SMI_Mixto_BAJA!Q25/1000000)*U$25</f>
        <v>1.6584538660200001</v>
      </c>
      <c r="V54" s="30">
        <f t="shared" si="6"/>
        <v>3.1966116236717183E-2</v>
      </c>
    </row>
    <row r="55" spans="2:24" x14ac:dyDescent="0.3">
      <c r="B55" s="80"/>
      <c r="C55" s="52" t="s">
        <v>97</v>
      </c>
      <c r="D55" s="53"/>
      <c r="E55" s="53"/>
      <c r="F55" s="8">
        <v>0</v>
      </c>
      <c r="G55" s="8">
        <f>(CB_SMI_Mixto_BAJA!C26/1000000)*G$25</f>
        <v>0.23893405651021657</v>
      </c>
      <c r="H55" s="8">
        <f>(CB_SMI_Mixto_BAJA!D26/1000000)*H$25</f>
        <v>0.47433932278145169</v>
      </c>
      <c r="I55" s="8">
        <f>(CB_SMI_Mixto_BAJA!E26/1000000)*I$25</f>
        <v>0.71349934012735927</v>
      </c>
      <c r="J55" s="8">
        <f>(CB_SMI_Mixto_BAJA!F26/1000000)*J$25</f>
        <v>0.94580030072828791</v>
      </c>
      <c r="K55" s="8">
        <f>(CB_SMI_Mixto_BAJA!G26/1000000)*K$25</f>
        <v>1.1744087857237175</v>
      </c>
      <c r="L55" s="8">
        <f>(CB_SMI_Mixto_BAJA!H26/1000000)*L$25</f>
        <v>1.3993470698555925</v>
      </c>
      <c r="M55" s="8">
        <f>(CB_SMI_Mixto_BAJA!I26/1000000)*M$25</f>
        <v>1.6210016302980195</v>
      </c>
      <c r="N55" s="8">
        <f>(CB_SMI_Mixto_BAJA!J26/1000000)*N$25</f>
        <v>1.8526689925098017</v>
      </c>
      <c r="O55" s="8">
        <f>(CB_SMI_Mixto_BAJA!K26/1000000)*O$25</f>
        <v>2.0716516015946524</v>
      </c>
      <c r="P55" s="8">
        <f>(CB_SMI_Mixto_BAJA!L26/1000000)*P$25</f>
        <v>2.2869041793181832</v>
      </c>
      <c r="Q55" s="8">
        <f>(CB_SMI_Mixto_BAJA!M26/1000000)*Q$25</f>
        <v>2.2907352665909091</v>
      </c>
      <c r="R55" s="8">
        <f>(CB_SMI_Mixto_BAJA!N26/1000000)*R$25</f>
        <v>2.2952781345454554</v>
      </c>
      <c r="S55" s="8">
        <f>(CB_SMI_Mixto_BAJA!O26/1000000)*S$25</f>
        <v>2.3020363593181821</v>
      </c>
      <c r="T55" s="8">
        <f>(CB_SMI_Mixto_BAJA!P26/1000000)*T$25</f>
        <v>2.3088144847727268</v>
      </c>
      <c r="U55" s="8">
        <f>(CB_SMI_Mixto_BAJA!Q26/1000000)*U$25</f>
        <v>2.3156125554545461</v>
      </c>
      <c r="V55" s="30">
        <f t="shared" si="6"/>
        <v>4.463261934713901E-2</v>
      </c>
    </row>
    <row r="56" spans="2:24" x14ac:dyDescent="0.3">
      <c r="B56" s="81"/>
      <c r="C56" s="82" t="s">
        <v>132</v>
      </c>
      <c r="D56" s="82"/>
      <c r="E56" s="82"/>
      <c r="F56" s="14">
        <f t="shared" ref="F56:T56" si="7">SUM(F47:F55)</f>
        <v>0</v>
      </c>
      <c r="G56" s="14">
        <f t="shared" si="7"/>
        <v>3.9023169963917406</v>
      </c>
      <c r="H56" s="14">
        <f t="shared" si="7"/>
        <v>7.9621914780155834</v>
      </c>
      <c r="I56" s="14">
        <f t="shared" si="7"/>
        <v>12.18455145679779</v>
      </c>
      <c r="J56" s="14">
        <f t="shared" si="7"/>
        <v>16.557226642779529</v>
      </c>
      <c r="K56" s="14">
        <f t="shared" si="7"/>
        <v>21.082225261076047</v>
      </c>
      <c r="L56" s="14">
        <f t="shared" si="7"/>
        <v>25.755854803202588</v>
      </c>
      <c r="M56" s="14">
        <f t="shared" si="7"/>
        <v>30.581428078176657</v>
      </c>
      <c r="N56" s="14">
        <f t="shared" si="7"/>
        <v>35.571038220347496</v>
      </c>
      <c r="O56" s="14">
        <f t="shared" si="7"/>
        <v>40.699248857294606</v>
      </c>
      <c r="P56" s="14">
        <f t="shared" si="7"/>
        <v>45.980002613860812</v>
      </c>
      <c r="Q56" s="14">
        <f t="shared" si="7"/>
        <v>47.120979682706704</v>
      </c>
      <c r="R56" s="14">
        <f t="shared" si="7"/>
        <v>48.284110831151807</v>
      </c>
      <c r="S56" s="14">
        <f t="shared" si="7"/>
        <v>49.462619981506222</v>
      </c>
      <c r="T56" s="14">
        <f t="shared" si="7"/>
        <v>50.661013545401524</v>
      </c>
      <c r="U56" s="14">
        <f>SUM(U47:U55)</f>
        <v>51.881619078737288</v>
      </c>
    </row>
    <row r="58" spans="2:24" x14ac:dyDescent="0.3">
      <c r="B58" s="42" t="s">
        <v>64</v>
      </c>
      <c r="C58" s="43"/>
      <c r="D58" s="43"/>
      <c r="E58" s="43"/>
      <c r="F58" s="33">
        <f>F45+F56</f>
        <v>-24.886722092157896</v>
      </c>
      <c r="G58" s="33">
        <f>G45+G56</f>
        <v>-20.202206691827186</v>
      </c>
      <c r="H58" s="33">
        <f t="shared" ref="H58:U58" si="8">H45+H56</f>
        <v>-17.508814070257927</v>
      </c>
      <c r="I58" s="33">
        <f t="shared" si="8"/>
        <v>-14.652815147420037</v>
      </c>
      <c r="J58" s="33">
        <f t="shared" si="8"/>
        <v>-11.646637544912547</v>
      </c>
      <c r="K58" s="33">
        <f t="shared" si="8"/>
        <v>-8.4879386398827208</v>
      </c>
      <c r="L58" s="33">
        <f t="shared" si="8"/>
        <v>-5.1804514562116637</v>
      </c>
      <c r="M58" s="33">
        <f t="shared" si="8"/>
        <v>-1.7211007384977677</v>
      </c>
      <c r="N58" s="33">
        <f t="shared" si="8"/>
        <v>1.9024226645881299</v>
      </c>
      <c r="O58" s="33">
        <f t="shared" si="8"/>
        <v>5.6646222366572943</v>
      </c>
      <c r="P58" s="33">
        <f t="shared" si="8"/>
        <v>9.5794396490434508</v>
      </c>
      <c r="Q58" s="33">
        <f t="shared" si="8"/>
        <v>31.447734115357164</v>
      </c>
      <c r="R58" s="33">
        <f t="shared" si="8"/>
        <v>32.4815937497116</v>
      </c>
      <c r="S58" s="33">
        <f t="shared" si="8"/>
        <v>33.529509497402842</v>
      </c>
      <c r="T58" s="33">
        <f t="shared" si="8"/>
        <v>34.596330324890026</v>
      </c>
      <c r="U58" s="33">
        <f t="shared" si="8"/>
        <v>35.68383097791488</v>
      </c>
    </row>
    <row r="60" spans="2:24" x14ac:dyDescent="0.3">
      <c r="B60" s="42" t="s">
        <v>156</v>
      </c>
      <c r="C60" s="43"/>
      <c r="D60" s="43"/>
      <c r="E60" s="43"/>
      <c r="F60" s="33">
        <v>0</v>
      </c>
      <c r="G60" s="33">
        <f>F61</f>
        <v>-24.886722092157896</v>
      </c>
      <c r="H60" s="33">
        <f t="shared" ref="H60:U60" si="9">G61</f>
        <v>-45.088928783985082</v>
      </c>
      <c r="I60" s="33">
        <f t="shared" si="9"/>
        <v>-62.597742854243009</v>
      </c>
      <c r="J60" s="33">
        <f t="shared" si="9"/>
        <v>-77.250558001663052</v>
      </c>
      <c r="K60" s="33">
        <f t="shared" si="9"/>
        <v>-88.897195546575603</v>
      </c>
      <c r="L60" s="33">
        <f>K61</f>
        <v>-97.385134186458316</v>
      </c>
      <c r="M60" s="33">
        <f t="shared" si="9"/>
        <v>-102.56558564266999</v>
      </c>
      <c r="N60" s="33">
        <f t="shared" si="9"/>
        <v>-104.28668638116775</v>
      </c>
      <c r="O60" s="33">
        <f t="shared" si="9"/>
        <v>-102.38426371657962</v>
      </c>
      <c r="P60" s="33">
        <f t="shared" si="9"/>
        <v>-96.719641479922331</v>
      </c>
      <c r="Q60" s="33">
        <f t="shared" si="9"/>
        <v>-87.14020183087888</v>
      </c>
      <c r="R60" s="33">
        <f t="shared" si="9"/>
        <v>-55.692467715521715</v>
      </c>
      <c r="S60" s="33">
        <f t="shared" si="9"/>
        <v>-23.210873965810116</v>
      </c>
      <c r="T60" s="33">
        <f t="shared" si="9"/>
        <v>10.318635531592726</v>
      </c>
      <c r="U60" s="33">
        <f t="shared" si="9"/>
        <v>44.914965856482752</v>
      </c>
    </row>
    <row r="61" spans="2:24" x14ac:dyDescent="0.3">
      <c r="B61" s="42" t="s">
        <v>109</v>
      </c>
      <c r="C61" s="43"/>
      <c r="D61" s="43"/>
      <c r="E61" s="43"/>
      <c r="F61" s="33">
        <f>F58+F60</f>
        <v>-24.886722092157896</v>
      </c>
      <c r="G61" s="33">
        <f>G58+G60</f>
        <v>-45.088928783985082</v>
      </c>
      <c r="H61" s="33">
        <f t="shared" ref="H61:U61" si="10">H58+H60</f>
        <v>-62.597742854243009</v>
      </c>
      <c r="I61" s="33">
        <f t="shared" si="10"/>
        <v>-77.250558001663052</v>
      </c>
      <c r="J61" s="33">
        <f t="shared" si="10"/>
        <v>-88.897195546575603</v>
      </c>
      <c r="K61" s="33">
        <f t="shared" si="10"/>
        <v>-97.385134186458316</v>
      </c>
      <c r="L61" s="33">
        <f t="shared" si="10"/>
        <v>-102.56558564266999</v>
      </c>
      <c r="M61" s="33">
        <f t="shared" si="10"/>
        <v>-104.28668638116775</v>
      </c>
      <c r="N61" s="33">
        <f t="shared" si="10"/>
        <v>-102.38426371657962</v>
      </c>
      <c r="O61" s="33">
        <f t="shared" si="10"/>
        <v>-96.719641479922331</v>
      </c>
      <c r="P61" s="33">
        <f t="shared" si="10"/>
        <v>-87.14020183087888</v>
      </c>
      <c r="Q61" s="33">
        <f t="shared" si="10"/>
        <v>-55.692467715521715</v>
      </c>
      <c r="R61" s="33">
        <f t="shared" si="10"/>
        <v>-23.210873965810116</v>
      </c>
      <c r="S61" s="33">
        <f t="shared" si="10"/>
        <v>10.318635531592726</v>
      </c>
      <c r="T61" s="33">
        <f t="shared" si="10"/>
        <v>44.914965856482752</v>
      </c>
      <c r="U61" s="33">
        <f t="shared" si="10"/>
        <v>80.598796834397632</v>
      </c>
    </row>
    <row r="62" spans="2:24" x14ac:dyDescent="0.3"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2:24" x14ac:dyDescent="0.3">
      <c r="B63" s="89" t="s">
        <v>157</v>
      </c>
      <c r="C63" s="90"/>
      <c r="D63" s="90"/>
      <c r="E63" s="90"/>
      <c r="F63" s="35">
        <f>F58/(1+0.06)^F27</f>
        <v>-24.886722092157896</v>
      </c>
      <c r="G63" s="35">
        <f>G58/(1+0.06)^G27</f>
        <v>-19.058685558327532</v>
      </c>
      <c r="H63" s="35">
        <f t="shared" ref="H63:T63" si="11">H58/(1+0.06)^H27</f>
        <v>-15.582782191400787</v>
      </c>
      <c r="I63" s="35">
        <f t="shared" si="11"/>
        <v>-12.30278614848166</v>
      </c>
      <c r="J63" s="35">
        <f t="shared" si="11"/>
        <v>-9.2252277973552435</v>
      </c>
      <c r="K63" s="35">
        <f t="shared" si="11"/>
        <v>-6.3426815194379662</v>
      </c>
      <c r="L63" s="35">
        <f t="shared" si="11"/>
        <v>-3.6520138582924826</v>
      </c>
      <c r="M63" s="35">
        <f>M58/(1+0.06)^M27</f>
        <v>-1.1446302893985962</v>
      </c>
      <c r="N63" s="35">
        <f t="shared" si="11"/>
        <v>1.1936035152836748</v>
      </c>
      <c r="O63" s="35">
        <f t="shared" si="11"/>
        <v>3.3528811983554663</v>
      </c>
      <c r="P63" s="35">
        <f t="shared" si="11"/>
        <v>5.3491090657994524</v>
      </c>
      <c r="Q63" s="35">
        <f t="shared" si="11"/>
        <v>16.566274033802646</v>
      </c>
      <c r="R63" s="35">
        <f t="shared" si="11"/>
        <v>16.142356973760851</v>
      </c>
      <c r="S63" s="35">
        <f t="shared" si="11"/>
        <v>15.719942449031398</v>
      </c>
      <c r="T63" s="35">
        <f t="shared" si="11"/>
        <v>15.301990266696581</v>
      </c>
      <c r="U63" s="35">
        <f>U58/(1+0.06)^U27</f>
        <v>14.889615900276409</v>
      </c>
    </row>
    <row r="64" spans="2:24" x14ac:dyDescent="0.3">
      <c r="B64" s="89" t="s">
        <v>158</v>
      </c>
      <c r="C64" s="90"/>
      <c r="D64" s="90"/>
      <c r="E64" s="90"/>
      <c r="F64" s="35">
        <f>F63</f>
        <v>-24.886722092157896</v>
      </c>
      <c r="G64" s="35">
        <f>F64+G63</f>
        <v>-43.945407650485429</v>
      </c>
      <c r="H64" s="35">
        <f t="shared" ref="H64:U64" si="12">G64+H63</f>
        <v>-59.528189841886217</v>
      </c>
      <c r="I64" s="35">
        <f t="shared" si="12"/>
        <v>-71.830975990367875</v>
      </c>
      <c r="J64" s="35">
        <f t="shared" si="12"/>
        <v>-81.056203787723121</v>
      </c>
      <c r="K64" s="35">
        <f t="shared" si="12"/>
        <v>-87.398885307161081</v>
      </c>
      <c r="L64" s="35">
        <f t="shared" si="12"/>
        <v>-91.050899165453558</v>
      </c>
      <c r="M64" s="35">
        <f t="shared" si="12"/>
        <v>-92.195529454852149</v>
      </c>
      <c r="N64" s="35">
        <f t="shared" si="12"/>
        <v>-91.00192593956848</v>
      </c>
      <c r="O64" s="35">
        <f t="shared" si="12"/>
        <v>-87.649044741213018</v>
      </c>
      <c r="P64" s="35">
        <f t="shared" si="12"/>
        <v>-82.299935675413565</v>
      </c>
      <c r="Q64" s="35">
        <f t="shared" si="12"/>
        <v>-65.733661641610922</v>
      </c>
      <c r="R64" s="35">
        <f t="shared" si="12"/>
        <v>-49.591304667850068</v>
      </c>
      <c r="S64" s="35">
        <f t="shared" si="12"/>
        <v>-33.871362218818668</v>
      </c>
      <c r="T64" s="35">
        <f t="shared" si="12"/>
        <v>-18.569371952122086</v>
      </c>
      <c r="U64" s="35">
        <f t="shared" si="12"/>
        <v>-3.6797560518456773</v>
      </c>
    </row>
    <row r="67" spans="2:20" x14ac:dyDescent="0.3">
      <c r="B67" s="91" t="s">
        <v>159</v>
      </c>
      <c r="C67" s="91"/>
      <c r="D67" s="36">
        <f>J4</f>
        <v>0.06</v>
      </c>
      <c r="H67" s="85" t="s">
        <v>160</v>
      </c>
      <c r="I67" s="85"/>
      <c r="J67" s="85" t="s">
        <v>161</v>
      </c>
      <c r="K67" s="85"/>
      <c r="L67" s="85" t="s">
        <v>162</v>
      </c>
      <c r="M67" s="85"/>
    </row>
    <row r="68" spans="2:20" x14ac:dyDescent="0.3">
      <c r="B68" s="47"/>
      <c r="C68" s="47"/>
      <c r="F68" s="86" t="s">
        <v>163</v>
      </c>
      <c r="G68" s="86"/>
      <c r="H68" s="87">
        <f>NPV(D67,G45:U45)+F45</f>
        <v>-280.18869284507753</v>
      </c>
      <c r="I68" s="87"/>
      <c r="J68" s="87">
        <f>H68*1000000/$D$75</f>
        <v>-238.78422464441064</v>
      </c>
      <c r="K68" s="87"/>
      <c r="L68" s="88">
        <f>J68*$S$4</f>
        <v>-229080.0337548618</v>
      </c>
      <c r="M68" s="88"/>
      <c r="S68" s="6"/>
      <c r="T68" s="6"/>
    </row>
    <row r="69" spans="2:20" x14ac:dyDescent="0.3">
      <c r="B69" s="70" t="s">
        <v>110</v>
      </c>
      <c r="C69" s="70"/>
      <c r="D69" s="38">
        <f>NPV(D67,G58:U58)+F58</f>
        <v>-3.6797560518456578</v>
      </c>
      <c r="F69" s="95" t="s">
        <v>164</v>
      </c>
      <c r="G69" s="95"/>
      <c r="H69" s="96">
        <f>PMT(D67,15,-H68)</f>
        <v>-28.849002244355333</v>
      </c>
      <c r="I69" s="96"/>
      <c r="J69" s="96">
        <f>H69*1000000/$D$75</f>
        <v>-24.585883758314818</v>
      </c>
      <c r="K69" s="96"/>
      <c r="L69" s="97">
        <f t="shared" ref="L69" si="13">J69*$S$4</f>
        <v>-23586.713442376906</v>
      </c>
      <c r="M69" s="97"/>
    </row>
    <row r="70" spans="2:20" x14ac:dyDescent="0.3">
      <c r="B70" s="70" t="s">
        <v>111</v>
      </c>
      <c r="C70" s="70"/>
      <c r="D70" s="39">
        <f>IRR(F58:U58)</f>
        <v>5.5910805576569356E-2</v>
      </c>
      <c r="F70" s="92" t="s">
        <v>165</v>
      </c>
      <c r="G70" s="92"/>
      <c r="H70" s="93">
        <f>H69/12</f>
        <v>-2.4040835203629443</v>
      </c>
      <c r="I70" s="93"/>
      <c r="J70" s="93">
        <f t="shared" ref="J70" si="14">J69/12</f>
        <v>-2.0488236465262348</v>
      </c>
      <c r="K70" s="93"/>
      <c r="L70" s="94">
        <f>L69/12</f>
        <v>-1965.5594535314087</v>
      </c>
      <c r="M70" s="94"/>
    </row>
    <row r="71" spans="2:20" x14ac:dyDescent="0.3">
      <c r="B71" s="70" t="s">
        <v>166</v>
      </c>
      <c r="C71" s="70"/>
      <c r="D71" s="40">
        <f>NPV(D67,G56:U56)/-(F36+NPV(D67,G36:U36)+NPV(D67,G43:U43))</f>
        <v>0.98686686456016182</v>
      </c>
      <c r="F71" s="100"/>
      <c r="G71" s="100"/>
      <c r="L71" s="41"/>
      <c r="M71" s="41"/>
    </row>
    <row r="72" spans="2:20" x14ac:dyDescent="0.3">
      <c r="B72" s="47"/>
      <c r="C72" s="47"/>
      <c r="F72" s="101" t="s">
        <v>167</v>
      </c>
      <c r="G72" s="101"/>
      <c r="H72" s="87">
        <f>NPV(D67,G56:U56)+F56</f>
        <v>276.50893679323184</v>
      </c>
      <c r="I72" s="87"/>
      <c r="J72" s="87">
        <f>H72*1000000/$D$75</f>
        <v>235.64823908125882</v>
      </c>
      <c r="K72" s="87"/>
      <c r="L72" s="88">
        <f>J72*$S$4</f>
        <v>226071.49464499648</v>
      </c>
      <c r="M72" s="88"/>
    </row>
    <row r="73" spans="2:20" x14ac:dyDescent="0.3">
      <c r="B73" s="70" t="s">
        <v>168</v>
      </c>
      <c r="C73" s="70"/>
      <c r="D73" s="4">
        <v>2527114</v>
      </c>
      <c r="F73" s="99" t="s">
        <v>169</v>
      </c>
      <c r="G73" s="99"/>
      <c r="H73" s="96">
        <f>PMT(D67,15,-H72)</f>
        <v>28.470124390576011</v>
      </c>
      <c r="I73" s="96"/>
      <c r="J73" s="96">
        <f>H73*1000000/$D$75</f>
        <v>24.262994017008747</v>
      </c>
      <c r="K73" s="96"/>
      <c r="L73" s="97">
        <f>J73*$S$4</f>
        <v>23276.945940157511</v>
      </c>
      <c r="M73" s="97"/>
    </row>
    <row r="74" spans="2:20" x14ac:dyDescent="0.3">
      <c r="B74" s="70" t="s">
        <v>170</v>
      </c>
      <c r="C74" s="70"/>
      <c r="D74" s="4">
        <v>2158536</v>
      </c>
      <c r="F74" s="103" t="s">
        <v>171</v>
      </c>
      <c r="G74" s="103"/>
      <c r="H74" s="104">
        <f>H73/12</f>
        <v>2.3725103658813342</v>
      </c>
      <c r="I74" s="104"/>
      <c r="J74" s="104">
        <f t="shared" ref="J74" si="15">J73/12</f>
        <v>2.0219161680840623</v>
      </c>
      <c r="K74" s="104"/>
      <c r="L74" s="98">
        <f>L73/12</f>
        <v>1939.7454950131259</v>
      </c>
      <c r="M74" s="98"/>
    </row>
    <row r="75" spans="2:20" x14ac:dyDescent="0.3">
      <c r="B75" s="70" t="s">
        <v>172</v>
      </c>
      <c r="C75" s="70"/>
      <c r="D75" s="4">
        <v>1173397</v>
      </c>
      <c r="F75" s="100"/>
      <c r="G75" s="100"/>
      <c r="L75" s="41"/>
      <c r="M75" s="41"/>
    </row>
    <row r="76" spans="2:20" x14ac:dyDescent="0.3">
      <c r="B76" s="70" t="s">
        <v>173</v>
      </c>
      <c r="C76" s="70"/>
      <c r="D76" s="4">
        <v>1288141</v>
      </c>
      <c r="F76" s="102" t="s">
        <v>174</v>
      </c>
      <c r="G76" s="102"/>
      <c r="H76" s="87">
        <f>H72+H68</f>
        <v>-3.6797560518456862</v>
      </c>
      <c r="I76" s="87"/>
      <c r="J76" s="87">
        <f>J68+J72</f>
        <v>-3.1359855631518201</v>
      </c>
      <c r="K76" s="87"/>
      <c r="L76" s="88">
        <f>J76*$S$4</f>
        <v>-3008.5391098653304</v>
      </c>
      <c r="M76" s="88"/>
    </row>
    <row r="77" spans="2:20" x14ac:dyDescent="0.3">
      <c r="B77" s="70" t="s">
        <v>175</v>
      </c>
      <c r="C77" s="70"/>
      <c r="D77" s="4">
        <v>593823</v>
      </c>
      <c r="F77" s="108" t="s">
        <v>176</v>
      </c>
      <c r="G77" s="108"/>
      <c r="H77" s="96">
        <f>PMT(D67,15,-H76)</f>
        <v>-0.37887785377932082</v>
      </c>
      <c r="I77" s="96"/>
      <c r="J77" s="96">
        <f>J69+J73</f>
        <v>-0.32288974130607073</v>
      </c>
      <c r="K77" s="96"/>
      <c r="L77" s="97">
        <f>J77*$S$4</f>
        <v>-309.76750221939204</v>
      </c>
      <c r="M77" s="97"/>
    </row>
    <row r="78" spans="2:20" x14ac:dyDescent="0.3">
      <c r="B78" s="47"/>
      <c r="C78" s="47"/>
      <c r="D78" s="37"/>
      <c r="F78" s="105" t="s">
        <v>177</v>
      </c>
      <c r="G78" s="105"/>
      <c r="H78" s="106">
        <f>H77/12</f>
        <v>-3.157315448161007E-2</v>
      </c>
      <c r="I78" s="106"/>
      <c r="J78" s="106">
        <f t="shared" ref="J78" si="16">J77/12</f>
        <v>-2.6907478442172561E-2</v>
      </c>
      <c r="K78" s="106"/>
      <c r="L78" s="107">
        <f t="shared" ref="L78" si="17">L77/12</f>
        <v>-25.813958518282671</v>
      </c>
      <c r="M78" s="107"/>
    </row>
    <row r="79" spans="2:20" x14ac:dyDescent="0.3">
      <c r="B79" s="83" t="s">
        <v>178</v>
      </c>
      <c r="C79" s="83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23" priority="9" operator="lessThan">
      <formula>0</formula>
    </cfRule>
  </conditionalFormatting>
  <conditionalFormatting sqref="F38:U43">
    <cfRule type="cellIs" dxfId="22" priority="7" operator="lessThan">
      <formula>0</formula>
    </cfRule>
  </conditionalFormatting>
  <conditionalFormatting sqref="F45:U45">
    <cfRule type="cellIs" dxfId="21" priority="5" operator="lessThan">
      <formula>0</formula>
    </cfRule>
  </conditionalFormatting>
  <conditionalFormatting sqref="F47:U56">
    <cfRule type="cellIs" dxfId="20" priority="8" operator="lessThan">
      <formula>0</formula>
    </cfRule>
  </conditionalFormatting>
  <conditionalFormatting sqref="F58:U61">
    <cfRule type="cellIs" dxfId="19" priority="3" operator="lessThan">
      <formula>0</formula>
    </cfRule>
  </conditionalFormatting>
  <conditionalFormatting sqref="F63:U64">
    <cfRule type="cellIs" dxfId="18" priority="2" operator="lessThan">
      <formula>0</formula>
    </cfRule>
  </conditionalFormatting>
  <conditionalFormatting sqref="H68:M69 H70 J70 H72:M73 H74 J74 H76:M78">
    <cfRule type="cellIs" dxfId="17" priority="4" operator="lessThan">
      <formula>0</formula>
    </cfRule>
  </conditionalFormatting>
  <conditionalFormatting sqref="L70 L74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8EC4-830B-4CFB-BD5F-C894E3988077}">
  <sheetPr>
    <tabColor theme="7" tint="-0.499984740745262"/>
  </sheetPr>
  <dimension ref="A1:Q26"/>
  <sheetViews>
    <sheetView zoomScale="80" zoomScaleNormal="80" workbookViewId="0">
      <selection activeCell="D13" sqref="D13"/>
    </sheetView>
  </sheetViews>
  <sheetFormatPr baseColWidth="10" defaultRowHeight="14.4" x14ac:dyDescent="0.3"/>
  <cols>
    <col min="1" max="1" width="47.109375" bestFit="1" customWidth="1"/>
    <col min="2" max="11" width="12.6640625" bestFit="1" customWidth="1"/>
    <col min="12" max="17" width="13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4883809.7305613514</v>
      </c>
      <c r="C2">
        <v>5031300.784424305</v>
      </c>
      <c r="D2">
        <v>5183246.0681139193</v>
      </c>
      <c r="E2">
        <v>5339780.0993709592</v>
      </c>
      <c r="F2">
        <v>5501041.4583719606</v>
      </c>
      <c r="G2">
        <v>5667172.9104147954</v>
      </c>
      <c r="H2">
        <v>5838321.5323093226</v>
      </c>
      <c r="I2">
        <v>6014638.8425850635</v>
      </c>
      <c r="J2">
        <v>6196280.9356311336</v>
      </c>
      <c r="K2">
        <v>6383408.6198871927</v>
      </c>
      <c r="L2">
        <v>6576187.560207786</v>
      </c>
      <c r="M2">
        <v>6774788.4245260619</v>
      </c>
      <c r="N2">
        <v>6979387.034946749</v>
      </c>
      <c r="O2">
        <v>7190164.5234021395</v>
      </c>
      <c r="P2">
        <v>7407307.4920088854</v>
      </c>
      <c r="Q2">
        <v>7631008.1782675534</v>
      </c>
    </row>
    <row r="3" spans="1:17" x14ac:dyDescent="0.3">
      <c r="A3" t="s">
        <v>102</v>
      </c>
      <c r="B3">
        <v>1276064</v>
      </c>
      <c r="C3">
        <v>21848</v>
      </c>
      <c r="D3">
        <v>22226</v>
      </c>
      <c r="E3">
        <v>22610</v>
      </c>
      <c r="F3">
        <v>22991</v>
      </c>
      <c r="G3">
        <v>23394</v>
      </c>
      <c r="H3">
        <v>23797</v>
      </c>
      <c r="I3">
        <v>24210</v>
      </c>
      <c r="J3">
        <v>24620</v>
      </c>
      <c r="K3">
        <v>25042</v>
      </c>
      <c r="L3">
        <v>25466</v>
      </c>
      <c r="M3">
        <v>25903</v>
      </c>
      <c r="N3">
        <v>26351</v>
      </c>
      <c r="O3">
        <v>26809</v>
      </c>
      <c r="P3">
        <v>27266</v>
      </c>
      <c r="Q3">
        <v>27732</v>
      </c>
    </row>
    <row r="4" spans="1:17" x14ac:dyDescent="0.3">
      <c r="A4" t="s">
        <v>103</v>
      </c>
      <c r="B4">
        <v>20371</v>
      </c>
      <c r="C4">
        <v>279</v>
      </c>
      <c r="D4">
        <v>280</v>
      </c>
      <c r="E4">
        <v>289</v>
      </c>
      <c r="F4">
        <v>295</v>
      </c>
      <c r="G4">
        <v>301</v>
      </c>
      <c r="H4">
        <v>307</v>
      </c>
      <c r="I4">
        <v>311</v>
      </c>
      <c r="J4">
        <v>314</v>
      </c>
      <c r="K4">
        <v>318</v>
      </c>
      <c r="L4">
        <v>323</v>
      </c>
      <c r="M4">
        <v>326</v>
      </c>
      <c r="N4">
        <v>330</v>
      </c>
      <c r="O4">
        <v>335</v>
      </c>
      <c r="P4">
        <v>342</v>
      </c>
      <c r="Q4">
        <v>347</v>
      </c>
    </row>
    <row r="5" spans="1:17" x14ac:dyDescent="0.3">
      <c r="A5" t="s">
        <v>104</v>
      </c>
      <c r="B5">
        <v>54265</v>
      </c>
      <c r="C5">
        <v>341</v>
      </c>
      <c r="D5">
        <v>341</v>
      </c>
      <c r="E5">
        <v>342</v>
      </c>
      <c r="F5">
        <v>344</v>
      </c>
      <c r="G5">
        <v>351</v>
      </c>
      <c r="H5">
        <v>351</v>
      </c>
      <c r="I5">
        <v>354</v>
      </c>
      <c r="J5">
        <v>354</v>
      </c>
      <c r="K5">
        <v>354</v>
      </c>
      <c r="L5">
        <v>354</v>
      </c>
      <c r="M5">
        <v>357</v>
      </c>
      <c r="N5">
        <v>361</v>
      </c>
      <c r="O5">
        <v>364</v>
      </c>
      <c r="P5">
        <v>366</v>
      </c>
      <c r="Q5">
        <v>368</v>
      </c>
    </row>
    <row r="6" spans="1:17" x14ac:dyDescent="0.3">
      <c r="A6" t="s">
        <v>133</v>
      </c>
      <c r="B6">
        <v>136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185.52</v>
      </c>
      <c r="C7">
        <v>185.52</v>
      </c>
      <c r="D7">
        <v>185.52</v>
      </c>
      <c r="E7">
        <v>185.52</v>
      </c>
      <c r="F7">
        <v>185.52</v>
      </c>
      <c r="G7">
        <v>185.52</v>
      </c>
      <c r="H7">
        <v>185.52</v>
      </c>
      <c r="I7">
        <v>185.52</v>
      </c>
      <c r="J7">
        <v>185.52</v>
      </c>
      <c r="K7">
        <v>185.52</v>
      </c>
      <c r="L7">
        <v>185.52</v>
      </c>
      <c r="M7">
        <v>185.52</v>
      </c>
      <c r="N7">
        <v>185.52</v>
      </c>
      <c r="O7">
        <v>185.52</v>
      </c>
      <c r="P7">
        <v>185.52</v>
      </c>
      <c r="Q7">
        <v>185.52</v>
      </c>
    </row>
    <row r="8" spans="1:17" x14ac:dyDescent="0.3">
      <c r="A8" t="s">
        <v>135</v>
      </c>
      <c r="B8">
        <v>364.69333333333338</v>
      </c>
      <c r="C8">
        <v>364.69333333333333</v>
      </c>
      <c r="D8">
        <v>364.69333333333333</v>
      </c>
      <c r="E8">
        <v>364.69333333333333</v>
      </c>
      <c r="F8">
        <v>364.69333333333333</v>
      </c>
      <c r="G8">
        <v>364.69333333333333</v>
      </c>
      <c r="H8">
        <v>364.69333333333333</v>
      </c>
      <c r="I8">
        <v>364.69333333333333</v>
      </c>
      <c r="J8">
        <v>364.69333333333333</v>
      </c>
      <c r="K8">
        <v>364.69333333333338</v>
      </c>
      <c r="L8">
        <v>364.69333333333333</v>
      </c>
      <c r="M8">
        <v>364.69333333333333</v>
      </c>
      <c r="N8">
        <v>364.69333333333333</v>
      </c>
      <c r="O8">
        <v>364.69333333333333</v>
      </c>
      <c r="P8">
        <v>364.69333333333333</v>
      </c>
      <c r="Q8">
        <v>364.69333333333333</v>
      </c>
    </row>
    <row r="9" spans="1:17" x14ac:dyDescent="0.3">
      <c r="A9" t="s">
        <v>136</v>
      </c>
      <c r="B9">
        <v>779.93200000000013</v>
      </c>
      <c r="C9">
        <v>779.9319999999999</v>
      </c>
      <c r="D9">
        <v>779.9319999999999</v>
      </c>
      <c r="E9">
        <v>779.93200000000002</v>
      </c>
      <c r="F9">
        <v>779.93200000000002</v>
      </c>
      <c r="G9">
        <v>779.9319999999999</v>
      </c>
      <c r="H9">
        <v>779.9319999999999</v>
      </c>
      <c r="I9">
        <v>779.93200000000002</v>
      </c>
      <c r="J9">
        <v>779.93200000000002</v>
      </c>
      <c r="K9">
        <v>779.93200000000002</v>
      </c>
      <c r="L9">
        <v>779.93200000000002</v>
      </c>
      <c r="M9">
        <v>779.93200000000013</v>
      </c>
      <c r="N9">
        <v>779.93200000000013</v>
      </c>
      <c r="O9">
        <v>779.93200000000002</v>
      </c>
      <c r="P9">
        <v>779.93200000000002</v>
      </c>
      <c r="Q9">
        <v>779.93200000000002</v>
      </c>
    </row>
    <row r="10" spans="1:17" x14ac:dyDescent="0.3">
      <c r="A10" t="s">
        <v>137</v>
      </c>
      <c r="B10">
        <v>40187.019999999997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24786695.699999999</v>
      </c>
      <c r="C11">
        <v>412310.26799999992</v>
      </c>
      <c r="D11">
        <v>419265.29700000002</v>
      </c>
      <c r="E11">
        <v>426495.5909999999</v>
      </c>
      <c r="F11">
        <v>433634.13</v>
      </c>
      <c r="G11">
        <v>441268.14599999989</v>
      </c>
      <c r="H11">
        <v>448773.70500000002</v>
      </c>
      <c r="I11">
        <v>456481.125</v>
      </c>
      <c r="J11">
        <v>464060.08799999999</v>
      </c>
      <c r="K11">
        <v>471877.61399999988</v>
      </c>
      <c r="L11">
        <v>479750.19299999991</v>
      </c>
      <c r="M11">
        <v>487879.68599999993</v>
      </c>
      <c r="N11">
        <v>496247.74200000003</v>
      </c>
      <c r="O11">
        <v>504799.30800000002</v>
      </c>
      <c r="P11">
        <v>513350.87400000001</v>
      </c>
      <c r="Q11">
        <v>522030.89699999988</v>
      </c>
    </row>
    <row r="12" spans="1:17" x14ac:dyDescent="0.3">
      <c r="A12" t="s">
        <v>141</v>
      </c>
      <c r="B12">
        <v>1862544.210526316</v>
      </c>
      <c r="C12">
        <v>30982.189473684219</v>
      </c>
      <c r="D12">
        <v>31504.810526315789</v>
      </c>
      <c r="E12">
        <v>32048.11578947369</v>
      </c>
      <c r="F12">
        <v>32584.526315789481</v>
      </c>
      <c r="G12">
        <v>33158.168421052636</v>
      </c>
      <c r="H12">
        <v>33722.15789473684</v>
      </c>
      <c r="I12">
        <v>34301.315789473687</v>
      </c>
      <c r="J12">
        <v>34870.821052631582</v>
      </c>
      <c r="K12">
        <v>35458.252631578951</v>
      </c>
      <c r="L12">
        <v>36049.821052631582</v>
      </c>
      <c r="M12">
        <v>36660.69473684211</v>
      </c>
      <c r="N12">
        <v>37289.494736842113</v>
      </c>
      <c r="O12">
        <v>37932.084210526307</v>
      </c>
      <c r="P12">
        <v>38574.673684210531</v>
      </c>
      <c r="Q12">
        <v>39226.915789473693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6520.6470980653776</v>
      </c>
      <c r="C14">
        <v>6606.8045363575729</v>
      </c>
      <c r="D14">
        <v>6698.5657104736492</v>
      </c>
      <c r="E14">
        <v>6791.0273515677127</v>
      </c>
      <c r="F14">
        <v>6921.3142094729837</v>
      </c>
      <c r="G14">
        <v>7061.4076050700478</v>
      </c>
      <c r="H14">
        <v>7207.1047364909946</v>
      </c>
      <c r="I14">
        <v>7357.0046697798543</v>
      </c>
      <c r="J14">
        <v>7511.8078719146106</v>
      </c>
      <c r="K14">
        <v>24283.789192795201</v>
      </c>
      <c r="L14">
        <v>24941.527685123419</v>
      </c>
      <c r="M14">
        <v>25602.768512341561</v>
      </c>
      <c r="N14">
        <v>26285.723815877249</v>
      </c>
      <c r="O14">
        <v>26967.978652434958</v>
      </c>
      <c r="P14">
        <v>27662.8418945964</v>
      </c>
      <c r="Q14">
        <v>28377.318212141428</v>
      </c>
    </row>
    <row r="15" spans="1:17" x14ac:dyDescent="0.3">
      <c r="A15" t="s">
        <v>85</v>
      </c>
      <c r="B15">
        <v>10785776.517678451</v>
      </c>
      <c r="C15">
        <v>10965190.76717812</v>
      </c>
      <c r="D15">
        <v>11147631.45430287</v>
      </c>
      <c r="E15">
        <v>11333218.358905939</v>
      </c>
      <c r="F15">
        <v>11521911.55436958</v>
      </c>
      <c r="G15">
        <v>11713926.64442962</v>
      </c>
      <c r="H15">
        <v>11909207.73182122</v>
      </c>
      <c r="I15">
        <v>12107842.6551034</v>
      </c>
      <c r="J15">
        <v>12309775.517011341</v>
      </c>
      <c r="K15">
        <v>12515110.12675117</v>
      </c>
      <c r="L15">
        <v>12723870.44029353</v>
      </c>
      <c r="M15">
        <v>12936168.252168121</v>
      </c>
      <c r="N15">
        <v>13152107.371581061</v>
      </c>
      <c r="O15">
        <v>13371767.65176785</v>
      </c>
      <c r="P15">
        <v>13595149.09272849</v>
      </c>
      <c r="Q15">
        <v>13822307.591727819</v>
      </c>
    </row>
    <row r="16" spans="1:17" x14ac:dyDescent="0.3">
      <c r="A16" t="s">
        <v>142</v>
      </c>
      <c r="B16">
        <v>1530805.181578947</v>
      </c>
      <c r="C16">
        <v>1556269.112</v>
      </c>
      <c r="D16">
        <v>1582162.579078947</v>
      </c>
      <c r="E16">
        <v>1608502.582947368</v>
      </c>
      <c r="F16">
        <v>1635283.456894737</v>
      </c>
      <c r="G16">
        <v>1662535.801157895</v>
      </c>
      <c r="H16">
        <v>1690251.6823421051</v>
      </c>
      <c r="I16">
        <v>1718443.567210526</v>
      </c>
      <c r="J16">
        <v>1747103.5223684211</v>
      </c>
      <c r="K16">
        <v>1776246.281263158</v>
      </c>
      <c r="L16">
        <v>1805875.243921052</v>
      </c>
      <c r="M16">
        <v>1836006.2771315789</v>
      </c>
      <c r="N16">
        <v>1866654.1143421051</v>
      </c>
      <c r="O16">
        <v>1897830.088973684</v>
      </c>
      <c r="P16">
        <v>1929534.201026316</v>
      </c>
      <c r="Q16">
        <v>1961774.3838947371</v>
      </c>
    </row>
    <row r="17" spans="1:17" x14ac:dyDescent="0.3">
      <c r="A17" t="s">
        <v>86</v>
      </c>
      <c r="B17">
        <v>1677569.4</v>
      </c>
      <c r="C17">
        <v>1705474.656</v>
      </c>
      <c r="D17">
        <v>1733850.63</v>
      </c>
      <c r="E17">
        <v>1762715.952</v>
      </c>
      <c r="F17">
        <v>1792064.412</v>
      </c>
      <c r="G17">
        <v>1821929.544</v>
      </c>
      <c r="H17">
        <v>1852302.6540000001</v>
      </c>
      <c r="I17">
        <v>1883197.4040000001</v>
      </c>
      <c r="J17">
        <v>1914605.1</v>
      </c>
      <c r="K17">
        <v>1946541.888</v>
      </c>
      <c r="L17">
        <v>1979011.4939999999</v>
      </c>
      <c r="M17">
        <v>2012031.3060000001</v>
      </c>
      <c r="N17">
        <v>2045617.47</v>
      </c>
      <c r="O17">
        <v>2079782.406</v>
      </c>
      <c r="P17">
        <v>2114526.1140000001</v>
      </c>
      <c r="Q17">
        <v>2149857.2880000002</v>
      </c>
    </row>
    <row r="18" spans="1:17" x14ac:dyDescent="0.3">
      <c r="A18" t="s">
        <v>87</v>
      </c>
      <c r="B18">
        <v>8188187.5007999996</v>
      </c>
      <c r="C18">
        <v>8328534.0671999985</v>
      </c>
      <c r="D18">
        <v>8471423.9039999992</v>
      </c>
      <c r="E18">
        <v>8616694.3103999998</v>
      </c>
      <c r="F18">
        <v>8764473.7344000004</v>
      </c>
      <c r="G18">
        <v>8914749.3311999999</v>
      </c>
      <c r="H18">
        <v>9067730.8991999999</v>
      </c>
      <c r="I18">
        <v>9223127.2895999998</v>
      </c>
      <c r="J18">
        <v>9381340.9728000015</v>
      </c>
      <c r="K18">
        <v>9542303.4431999996</v>
      </c>
      <c r="L18">
        <v>9705933.3503999989</v>
      </c>
      <c r="M18">
        <v>9872320.6079999991</v>
      </c>
      <c r="N18">
        <v>10041636.48</v>
      </c>
      <c r="O18">
        <v>10213940.9088</v>
      </c>
      <c r="P18">
        <v>10389101.164799999</v>
      </c>
      <c r="Q18">
        <v>10567177.190400001</v>
      </c>
    </row>
    <row r="19" spans="1:17" x14ac:dyDescent="0.3">
      <c r="A19" t="s">
        <v>88</v>
      </c>
      <c r="B19">
        <v>473074.93481399998</v>
      </c>
      <c r="C19">
        <v>481184.63764199999</v>
      </c>
      <c r="D19">
        <v>489441.97657800012</v>
      </c>
      <c r="E19">
        <v>497835.56674799998</v>
      </c>
      <c r="F19">
        <v>506374.22224800009</v>
      </c>
      <c r="G19">
        <v>515058.31033200008</v>
      </c>
      <c r="H19">
        <v>523897.37960400007</v>
      </c>
      <c r="I19">
        <v>532877.10715800012</v>
      </c>
      <c r="J19">
        <v>542019.89548800001</v>
      </c>
      <c r="K19">
        <v>551320.9702920001</v>
      </c>
      <c r="L19">
        <v>560775.55726799998</v>
      </c>
      <c r="M19">
        <v>570389.53248000005</v>
      </c>
      <c r="N19">
        <v>580175.01531000005</v>
      </c>
      <c r="O19">
        <v>590520.63938399998</v>
      </c>
      <c r="P19">
        <v>601046.39142</v>
      </c>
      <c r="Q19">
        <v>611754.07431599998</v>
      </c>
    </row>
    <row r="20" spans="1:17" x14ac:dyDescent="0.3">
      <c r="A20" t="s">
        <v>89</v>
      </c>
      <c r="B20">
        <v>20970366.95327137</v>
      </c>
      <c r="C20">
        <v>21603672.035260171</v>
      </c>
      <c r="D20">
        <v>22256102.930725019</v>
      </c>
      <c r="E20">
        <v>22928237.23923292</v>
      </c>
      <c r="F20">
        <v>23620670.003857762</v>
      </c>
      <c r="G20">
        <v>24334014.23797426</v>
      </c>
      <c r="H20">
        <v>25068901.46796108</v>
      </c>
      <c r="I20">
        <v>25825982.292293511</v>
      </c>
      <c r="J20">
        <v>26605926.957520772</v>
      </c>
      <c r="K20">
        <v>27409425.951637901</v>
      </c>
      <c r="L20">
        <v>28237190.61537737</v>
      </c>
      <c r="M20">
        <v>29089953.77196176</v>
      </c>
      <c r="N20">
        <v>29968470.375875</v>
      </c>
      <c r="O20">
        <v>30873518.181226429</v>
      </c>
      <c r="P20">
        <v>31805898.430299468</v>
      </c>
      <c r="Q20">
        <v>32766436.562894508</v>
      </c>
    </row>
    <row r="21" spans="1:17" x14ac:dyDescent="0.3">
      <c r="A21" t="s">
        <v>90</v>
      </c>
      <c r="B21">
        <v>351701.86218964652</v>
      </c>
      <c r="C21">
        <v>351701.86218964652</v>
      </c>
      <c r="D21">
        <v>351701.86218964652</v>
      </c>
      <c r="E21">
        <v>351701.86218964652</v>
      </c>
      <c r="F21">
        <v>351701.86218964652</v>
      </c>
      <c r="G21">
        <v>351701.86218964652</v>
      </c>
      <c r="H21">
        <v>351701.86218964652</v>
      </c>
      <c r="I21">
        <v>351701.86218964652</v>
      </c>
      <c r="J21">
        <v>351701.86218964652</v>
      </c>
      <c r="K21">
        <v>351701.86218964652</v>
      </c>
      <c r="L21">
        <v>351701.86218964652</v>
      </c>
      <c r="M21">
        <v>351701.86218964652</v>
      </c>
      <c r="N21">
        <v>351701.86218964652</v>
      </c>
      <c r="O21">
        <v>351701.86218964652</v>
      </c>
      <c r="P21">
        <v>351701.86218964652</v>
      </c>
      <c r="Q21">
        <v>351701.86218964652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3506263.816795371</v>
      </c>
      <c r="C24">
        <v>3810487.868014216</v>
      </c>
      <c r="D24">
        <v>4099053.7197259241</v>
      </c>
      <c r="E24">
        <v>4374408.076833358</v>
      </c>
      <c r="F24">
        <v>4638060.827061981</v>
      </c>
      <c r="G24">
        <v>4890377.109702656</v>
      </c>
      <c r="H24">
        <v>5127031.2226546081</v>
      </c>
      <c r="I24">
        <v>5354909.0113103203</v>
      </c>
      <c r="J24">
        <v>5572214.6261556251</v>
      </c>
      <c r="K24">
        <v>5776096.5677101174</v>
      </c>
      <c r="L24">
        <v>5971897.2071333611</v>
      </c>
      <c r="M24">
        <v>6155650.0347463833</v>
      </c>
      <c r="N24">
        <v>6333841.0402999502</v>
      </c>
      <c r="O24">
        <v>6497329.9123931834</v>
      </c>
      <c r="P24">
        <v>6652168.1422732919</v>
      </c>
      <c r="Q24">
        <v>6799743.4037467642</v>
      </c>
    </row>
    <row r="25" spans="1:17" x14ac:dyDescent="0.3">
      <c r="A25" t="s">
        <v>93</v>
      </c>
      <c r="B25">
        <v>1605049.44882</v>
      </c>
      <c r="C25">
        <v>1632564.0624599999</v>
      </c>
      <c r="D25">
        <v>1660579.57614</v>
      </c>
      <c r="E25">
        <v>1689057.3632400001</v>
      </c>
      <c r="F25">
        <v>1718027.3282399999</v>
      </c>
      <c r="G25">
        <v>1747490.71716</v>
      </c>
      <c r="H25">
        <v>1777479.92652</v>
      </c>
      <c r="I25">
        <v>1807946.36154</v>
      </c>
      <c r="J25">
        <v>1838966.02944</v>
      </c>
      <c r="K25">
        <v>1870522.73196</v>
      </c>
      <c r="L25">
        <v>1902600.2708399999</v>
      </c>
      <c r="M25">
        <v>1935218.5824</v>
      </c>
      <c r="N25">
        <v>1968418.7853000001</v>
      </c>
      <c r="O25">
        <v>2002194.6494400001</v>
      </c>
      <c r="P25">
        <v>2036536.2066599999</v>
      </c>
      <c r="Q25">
        <v>2071448.4410399999</v>
      </c>
    </row>
    <row r="26" spans="1:17" x14ac:dyDescent="0.3">
      <c r="A26" t="s">
        <v>94</v>
      </c>
      <c r="B26">
        <v>4572228.5670454539</v>
      </c>
      <c r="C26">
        <v>4575596.0906818174</v>
      </c>
      <c r="D26">
        <v>4579057.314772727</v>
      </c>
      <c r="E26">
        <v>4629522.8370454544</v>
      </c>
      <c r="F26">
        <v>4640380.2452272736</v>
      </c>
      <c r="G26">
        <v>4647447.1693181815</v>
      </c>
      <c r="H26">
        <v>4652535.1590909101</v>
      </c>
      <c r="I26">
        <v>4657500.5256818188</v>
      </c>
      <c r="J26">
        <v>4695997.1347727273</v>
      </c>
      <c r="K26">
        <v>4705945.1986363633</v>
      </c>
      <c r="L26">
        <v>4713822.9002272729</v>
      </c>
      <c r="M26">
        <v>4721719.6311363634</v>
      </c>
      <c r="N26">
        <v>4731083.5018181819</v>
      </c>
      <c r="O26">
        <v>4745013.7202272732</v>
      </c>
      <c r="P26">
        <v>4758984.9584090896</v>
      </c>
      <c r="Q26">
        <v>4772997.3081818176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1A64-EC11-47E8-BF18-A07F64B3D190}">
  <sheetPr>
    <tabColor theme="7" tint="-0.499984740745262"/>
  </sheetPr>
  <dimension ref="B2:X79"/>
  <sheetViews>
    <sheetView topLeftCell="A41" zoomScale="80" zoomScaleNormal="80" workbookViewId="0">
      <selection activeCell="B58" sqref="B58:U79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71" t="s">
        <v>50</v>
      </c>
      <c r="C2" s="71"/>
      <c r="D2" s="71"/>
      <c r="E2" s="71"/>
      <c r="G2" s="71" t="s">
        <v>41</v>
      </c>
      <c r="H2" s="71"/>
      <c r="I2" s="71"/>
      <c r="J2" s="71"/>
      <c r="K2" s="7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70" t="s">
        <v>51</v>
      </c>
      <c r="C4" s="70"/>
      <c r="D4" s="70" t="s">
        <v>40</v>
      </c>
      <c r="E4" s="70"/>
      <c r="G4" s="70" t="s">
        <v>17</v>
      </c>
      <c r="H4" s="70"/>
      <c r="I4" s="70"/>
      <c r="J4" s="18">
        <v>0.06</v>
      </c>
      <c r="K4" s="16" t="s">
        <v>29</v>
      </c>
      <c r="L4" s="72"/>
      <c r="M4" s="72"/>
      <c r="N4" s="72"/>
      <c r="O4" s="72"/>
      <c r="P4" s="72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72" t="s">
        <v>52</v>
      </c>
      <c r="C5" s="72"/>
      <c r="D5" s="72" t="s">
        <v>151</v>
      </c>
      <c r="E5" s="72"/>
      <c r="G5" s="70" t="s">
        <v>46</v>
      </c>
      <c r="H5" s="70"/>
      <c r="I5" s="70"/>
      <c r="J5" s="19">
        <v>15</v>
      </c>
      <c r="K5" s="20" t="s">
        <v>47</v>
      </c>
      <c r="L5" s="84"/>
      <c r="M5" s="84"/>
      <c r="N5" s="84"/>
      <c r="O5" s="84"/>
      <c r="P5" s="84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72" t="s">
        <v>53</v>
      </c>
      <c r="C6" s="72"/>
      <c r="D6" s="72" t="s">
        <v>151</v>
      </c>
      <c r="E6" s="72"/>
      <c r="G6" s="83" t="s">
        <v>106</v>
      </c>
      <c r="H6" s="83"/>
      <c r="I6" s="83"/>
      <c r="J6" s="20">
        <v>10</v>
      </c>
      <c r="K6" s="20" t="s">
        <v>47</v>
      </c>
      <c r="L6" s="84"/>
      <c r="M6" s="84"/>
      <c r="N6" s="84"/>
      <c r="O6" s="84"/>
      <c r="P6" s="84"/>
    </row>
    <row r="7" spans="2:21" x14ac:dyDescent="0.3">
      <c r="B7" s="72" t="s">
        <v>54</v>
      </c>
      <c r="C7" s="72"/>
      <c r="D7" s="72" t="s">
        <v>151</v>
      </c>
      <c r="E7" s="72"/>
      <c r="G7" s="83" t="s">
        <v>128</v>
      </c>
      <c r="H7" s="83"/>
      <c r="I7" s="83"/>
      <c r="J7" s="21">
        <f>(SUMIF($F$12:$U$12,"&lt;="&amp;$J$6,$F$17:$U$17)) / ($J$6)</f>
        <v>151226.79999999999</v>
      </c>
      <c r="K7" s="20" t="s">
        <v>107</v>
      </c>
      <c r="L7" s="84" t="str">
        <f>"Razonable para chile en torno a 1M y 1,5M por año."</f>
        <v>Razonable para chile en torno a 1M y 1,5M por año.</v>
      </c>
      <c r="M7" s="84"/>
      <c r="N7" s="84"/>
      <c r="O7" s="84"/>
      <c r="P7" s="84"/>
    </row>
    <row r="8" spans="2:21" x14ac:dyDescent="0.3">
      <c r="B8" s="72" t="s">
        <v>55</v>
      </c>
      <c r="C8" s="72"/>
      <c r="D8" s="72" t="s">
        <v>151</v>
      </c>
      <c r="E8" s="72"/>
      <c r="G8" s="83" t="s">
        <v>129</v>
      </c>
      <c r="H8" s="83"/>
      <c r="I8" s="83"/>
      <c r="J8" s="21">
        <f>(SUMIF($F$12:$U$12,"&lt;="&amp;$J$6,$F$18:$U$18)) / ($J$6)</f>
        <v>2338.8000000000002</v>
      </c>
      <c r="K8" s="20" t="s">
        <v>107</v>
      </c>
      <c r="L8" s="84" t="str">
        <f t="shared" ref="L8:L9" si="0">"Razonable para chile en torno a 1M y 1,5M por año."</f>
        <v>Razonable para chile en torno a 1M y 1,5M por año.</v>
      </c>
      <c r="M8" s="84"/>
      <c r="N8" s="84"/>
      <c r="O8" s="84"/>
      <c r="P8" s="84"/>
    </row>
    <row r="9" spans="2:21" x14ac:dyDescent="0.3">
      <c r="B9" s="72" t="s">
        <v>56</v>
      </c>
      <c r="C9" s="72"/>
      <c r="D9" s="72" t="s">
        <v>151</v>
      </c>
      <c r="E9" s="72"/>
      <c r="G9" s="83" t="s">
        <v>130</v>
      </c>
      <c r="H9" s="83"/>
      <c r="I9" s="83"/>
      <c r="J9" s="21">
        <f>(SUMIF($F$12:$U$12,"&lt;="&amp;$J$6,$F$19:$U$19)) / ($J$6)</f>
        <v>5775.1</v>
      </c>
      <c r="K9" s="20" t="s">
        <v>107</v>
      </c>
      <c r="L9" s="84" t="str">
        <f t="shared" si="0"/>
        <v>Razonable para chile en torno a 1M y 1,5M por año.</v>
      </c>
      <c r="M9" s="84"/>
      <c r="N9" s="84"/>
      <c r="O9" s="84"/>
      <c r="P9" s="84"/>
    </row>
    <row r="12" spans="2:21" x14ac:dyDescent="0.3">
      <c r="B12" s="44" t="s">
        <v>121</v>
      </c>
      <c r="C12" s="44"/>
      <c r="D12" s="44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45"/>
      <c r="C13" s="45"/>
      <c r="D13" s="45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2:21" x14ac:dyDescent="0.3">
      <c r="B15" s="64" t="s">
        <v>122</v>
      </c>
      <c r="C15" s="67" t="s">
        <v>138</v>
      </c>
      <c r="D15" s="68"/>
      <c r="E15" s="68"/>
      <c r="F15" s="4">
        <f>CB_SMI_Mixto_MUY_BAJA!B2/1000</f>
        <v>4883.809730561351</v>
      </c>
      <c r="G15" s="4">
        <f>CB_SMI_Mixto_MUY_BAJA!C2/1000</f>
        <v>5031.3007844243048</v>
      </c>
      <c r="H15" s="4">
        <f>CB_SMI_Mixto_MUY_BAJA!D2/1000</f>
        <v>5183.2460681139191</v>
      </c>
      <c r="I15" s="4">
        <f>CB_SMI_Mixto_MUY_BAJA!E2/1000</f>
        <v>5339.7800993709589</v>
      </c>
      <c r="J15" s="4">
        <f>CB_SMI_Mixto_MUY_BAJA!F2/1000</f>
        <v>5501.0414583719603</v>
      </c>
      <c r="K15" s="4">
        <f>CB_SMI_Mixto_MUY_BAJA!G2/1000</f>
        <v>5667.1729104147953</v>
      </c>
      <c r="L15" s="4">
        <f>CB_SMI_Mixto_MUY_BAJA!H2/1000</f>
        <v>5838.3215323093227</v>
      </c>
      <c r="M15" s="4">
        <f>CB_SMI_Mixto_MUY_BAJA!I2/1000</f>
        <v>6014.6388425850637</v>
      </c>
      <c r="N15" s="4">
        <f>CB_SMI_Mixto_MUY_BAJA!J2/1000</f>
        <v>6196.2809356311336</v>
      </c>
      <c r="O15" s="4">
        <f>CB_SMI_Mixto_MUY_BAJA!K2/1000</f>
        <v>6383.4086198871928</v>
      </c>
      <c r="P15" s="4">
        <f>CB_SMI_Mixto_MUY_BAJA!L2/1000</f>
        <v>6576.1875602077862</v>
      </c>
      <c r="Q15" s="4">
        <f>CB_SMI_Mixto_MUY_BAJA!M2/1000</f>
        <v>6774.788424526062</v>
      </c>
      <c r="R15" s="4">
        <f>CB_SMI_Mixto_MUY_BAJA!N2/1000</f>
        <v>6979.3870349467488</v>
      </c>
      <c r="S15" s="4">
        <f>CB_SMI_Mixto_MUY_BAJA!O2/1000</f>
        <v>7190.1645234021398</v>
      </c>
      <c r="T15" s="4">
        <f>CB_SMI_Mixto_MUY_BAJA!P2/1000</f>
        <v>7407.3074920088857</v>
      </c>
      <c r="U15" s="4">
        <f>CB_SMI_Mixto_MUY_BAJA!Q2/1000</f>
        <v>7631.0081782675534</v>
      </c>
    </row>
    <row r="16" spans="2:21" x14ac:dyDescent="0.3">
      <c r="B16" s="65"/>
      <c r="C16" s="6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2:21" x14ac:dyDescent="0.3">
      <c r="B17" s="65"/>
      <c r="C17" s="46" t="s">
        <v>115</v>
      </c>
      <c r="D17" s="47"/>
      <c r="E17" s="47"/>
      <c r="F17" s="12">
        <f>CB_SMI_Mixto_MUY_BAJA!B3</f>
        <v>1276064</v>
      </c>
      <c r="G17" s="12">
        <f>CB_SMI_Mixto_MUY_BAJA!C3</f>
        <v>21848</v>
      </c>
      <c r="H17" s="12">
        <f>CB_SMI_Mixto_MUY_BAJA!D3</f>
        <v>22226</v>
      </c>
      <c r="I17" s="12">
        <f>CB_SMI_Mixto_MUY_BAJA!E3</f>
        <v>22610</v>
      </c>
      <c r="J17" s="12">
        <f>CB_SMI_Mixto_MUY_BAJA!F3</f>
        <v>22991</v>
      </c>
      <c r="K17" s="12">
        <f>CB_SMI_Mixto_MUY_BAJA!G3</f>
        <v>23394</v>
      </c>
      <c r="L17" s="12">
        <f>CB_SMI_Mixto_MUY_BAJA!H3</f>
        <v>23797</v>
      </c>
      <c r="M17" s="12">
        <f>CB_SMI_Mixto_MUY_BAJA!I3</f>
        <v>24210</v>
      </c>
      <c r="N17" s="12">
        <f>CB_SMI_Mixto_MUY_BAJA!J3</f>
        <v>24620</v>
      </c>
      <c r="O17" s="12">
        <f>CB_SMI_Mixto_MUY_BAJA!K3</f>
        <v>25042</v>
      </c>
      <c r="P17" s="12">
        <f>CB_SMI_Mixto_MUY_BAJA!L3</f>
        <v>25466</v>
      </c>
      <c r="Q17" s="12">
        <f>CB_SMI_Mixto_MUY_BAJA!M3</f>
        <v>25903</v>
      </c>
      <c r="R17" s="12">
        <f>CB_SMI_Mixto_MUY_BAJA!N3</f>
        <v>26351</v>
      </c>
      <c r="S17" s="12">
        <f>CB_SMI_Mixto_MUY_BAJA!O3</f>
        <v>26809</v>
      </c>
      <c r="T17" s="12">
        <f>CB_SMI_Mixto_MUY_BAJA!P3</f>
        <v>27266</v>
      </c>
      <c r="U17" s="12">
        <f>CB_SMI_Mixto_MUY_BAJA!Q3</f>
        <v>27732</v>
      </c>
    </row>
    <row r="18" spans="2:21" x14ac:dyDescent="0.3">
      <c r="B18" s="65"/>
      <c r="C18" s="46" t="s">
        <v>116</v>
      </c>
      <c r="D18" s="47"/>
      <c r="E18" s="47"/>
      <c r="F18" s="12">
        <f>CB_SMI_Mixto_MUY_BAJA!B4</f>
        <v>20371</v>
      </c>
      <c r="G18" s="12">
        <f>CB_SMI_Mixto_MUY_BAJA!C4</f>
        <v>279</v>
      </c>
      <c r="H18" s="12">
        <f>CB_SMI_Mixto_MUY_BAJA!D4</f>
        <v>280</v>
      </c>
      <c r="I18" s="12">
        <f>CB_SMI_Mixto_MUY_BAJA!E4</f>
        <v>289</v>
      </c>
      <c r="J18" s="12">
        <f>CB_SMI_Mixto_MUY_BAJA!F4</f>
        <v>295</v>
      </c>
      <c r="K18" s="12">
        <f>CB_SMI_Mixto_MUY_BAJA!G4</f>
        <v>301</v>
      </c>
      <c r="L18" s="12">
        <f>CB_SMI_Mixto_MUY_BAJA!H4</f>
        <v>307</v>
      </c>
      <c r="M18" s="12">
        <f>CB_SMI_Mixto_MUY_BAJA!I4</f>
        <v>311</v>
      </c>
      <c r="N18" s="12">
        <f>CB_SMI_Mixto_MUY_BAJA!J4</f>
        <v>314</v>
      </c>
      <c r="O18" s="12">
        <f>CB_SMI_Mixto_MUY_BAJA!K4</f>
        <v>318</v>
      </c>
      <c r="P18" s="12">
        <f>CB_SMI_Mixto_MUY_BAJA!L4</f>
        <v>323</v>
      </c>
      <c r="Q18" s="12">
        <f>CB_SMI_Mixto_MUY_BAJA!M4</f>
        <v>326</v>
      </c>
      <c r="R18" s="12">
        <f>CB_SMI_Mixto_MUY_BAJA!N4</f>
        <v>330</v>
      </c>
      <c r="S18" s="12">
        <f>CB_SMI_Mixto_MUY_BAJA!O4</f>
        <v>335</v>
      </c>
      <c r="T18" s="12">
        <f>CB_SMI_Mixto_MUY_BAJA!P4</f>
        <v>342</v>
      </c>
      <c r="U18" s="12">
        <f>CB_SMI_Mixto_MUY_BAJA!Q4</f>
        <v>347</v>
      </c>
    </row>
    <row r="19" spans="2:21" x14ac:dyDescent="0.3">
      <c r="B19" s="66"/>
      <c r="C19" s="46" t="s">
        <v>117</v>
      </c>
      <c r="D19" s="47"/>
      <c r="E19" s="47"/>
      <c r="F19" s="13">
        <f>CB_SMI_Mixto_MUY_BAJA!B5</f>
        <v>54265</v>
      </c>
      <c r="G19" s="13">
        <f>CB_SMI_Mixto_MUY_BAJA!C5</f>
        <v>341</v>
      </c>
      <c r="H19" s="13">
        <f>CB_SMI_Mixto_MUY_BAJA!D5</f>
        <v>341</v>
      </c>
      <c r="I19" s="13">
        <f>CB_SMI_Mixto_MUY_BAJA!E5</f>
        <v>342</v>
      </c>
      <c r="J19" s="13">
        <f>CB_SMI_Mixto_MUY_BAJA!F5</f>
        <v>344</v>
      </c>
      <c r="K19" s="13">
        <f>CB_SMI_Mixto_MUY_BAJA!G5</f>
        <v>351</v>
      </c>
      <c r="L19" s="13">
        <f>CB_SMI_Mixto_MUY_BAJA!H5</f>
        <v>351</v>
      </c>
      <c r="M19" s="13">
        <f>CB_SMI_Mixto_MUY_BAJA!I5</f>
        <v>354</v>
      </c>
      <c r="N19" s="13">
        <f>CB_SMI_Mixto_MUY_BAJA!J5</f>
        <v>354</v>
      </c>
      <c r="O19" s="13">
        <f>CB_SMI_Mixto_MUY_BAJA!K5</f>
        <v>354</v>
      </c>
      <c r="P19" s="13">
        <f>CB_SMI_Mixto_MUY_BAJA!L5</f>
        <v>354</v>
      </c>
      <c r="Q19" s="13">
        <f>CB_SMI_Mixto_MUY_BAJA!M5</f>
        <v>357</v>
      </c>
      <c r="R19" s="13">
        <f>CB_SMI_Mixto_MUY_BAJA!N5</f>
        <v>361</v>
      </c>
      <c r="S19" s="13">
        <f>CB_SMI_Mixto_MUY_BAJA!O5</f>
        <v>364</v>
      </c>
      <c r="T19" s="13">
        <f>CB_SMI_Mixto_MUY_BAJA!P5</f>
        <v>366</v>
      </c>
      <c r="U19" s="13">
        <f>CB_SMI_Mixto_MUY_BAJA!Q5</f>
        <v>368</v>
      </c>
    </row>
    <row r="20" spans="2:21" x14ac:dyDescent="0.3">
      <c r="B20" s="1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x14ac:dyDescent="0.3">
      <c r="B21" s="75" t="s">
        <v>105</v>
      </c>
      <c r="C21" s="50" t="s">
        <v>125</v>
      </c>
      <c r="D21" s="51"/>
      <c r="E21" s="51"/>
      <c r="F21" s="9">
        <v>0</v>
      </c>
      <c r="G21" s="11">
        <f>IF(G$12&lt;=$J$6,$J7,G17)</f>
        <v>151226.79999999999</v>
      </c>
      <c r="H21" s="11">
        <f t="shared" ref="H21:U23" si="1">IF(H$12&lt;=$J$6,$J7,H17)</f>
        <v>151226.79999999999</v>
      </c>
      <c r="I21" s="11">
        <f t="shared" si="1"/>
        <v>151226.79999999999</v>
      </c>
      <c r="J21" s="11">
        <f t="shared" si="1"/>
        <v>151226.79999999999</v>
      </c>
      <c r="K21" s="11">
        <f t="shared" si="1"/>
        <v>151226.79999999999</v>
      </c>
      <c r="L21" s="11">
        <f t="shared" si="1"/>
        <v>151226.79999999999</v>
      </c>
      <c r="M21" s="11">
        <f t="shared" si="1"/>
        <v>151226.79999999999</v>
      </c>
      <c r="N21" s="11">
        <f t="shared" si="1"/>
        <v>151226.79999999999</v>
      </c>
      <c r="O21" s="11">
        <f t="shared" si="1"/>
        <v>151226.79999999999</v>
      </c>
      <c r="P21" s="11">
        <f t="shared" si="1"/>
        <v>151226.79999999999</v>
      </c>
      <c r="Q21" s="11">
        <f t="shared" si="1"/>
        <v>25903</v>
      </c>
      <c r="R21" s="11">
        <f t="shared" si="1"/>
        <v>26351</v>
      </c>
      <c r="S21" s="11">
        <f t="shared" si="1"/>
        <v>26809</v>
      </c>
      <c r="T21" s="11">
        <f t="shared" si="1"/>
        <v>27266</v>
      </c>
      <c r="U21" s="11">
        <f t="shared" si="1"/>
        <v>27732</v>
      </c>
    </row>
    <row r="22" spans="2:21" x14ac:dyDescent="0.3">
      <c r="B22" s="76"/>
      <c r="C22" s="50" t="s">
        <v>126</v>
      </c>
      <c r="D22" s="51"/>
      <c r="E22" s="51"/>
      <c r="F22" s="9">
        <v>0</v>
      </c>
      <c r="G22" s="11">
        <f>IF(G$12&lt;=$J$6,$J8,G18)</f>
        <v>2338.8000000000002</v>
      </c>
      <c r="H22" s="11">
        <f t="shared" si="1"/>
        <v>2338.8000000000002</v>
      </c>
      <c r="I22" s="11">
        <f t="shared" si="1"/>
        <v>2338.8000000000002</v>
      </c>
      <c r="J22" s="11">
        <f t="shared" si="1"/>
        <v>2338.8000000000002</v>
      </c>
      <c r="K22" s="11">
        <f t="shared" si="1"/>
        <v>2338.8000000000002</v>
      </c>
      <c r="L22" s="11">
        <f t="shared" si="1"/>
        <v>2338.8000000000002</v>
      </c>
      <c r="M22" s="11">
        <f t="shared" si="1"/>
        <v>2338.8000000000002</v>
      </c>
      <c r="N22" s="11">
        <f>IF(N$12&lt;=$J$6,$J8,N18)</f>
        <v>2338.8000000000002</v>
      </c>
      <c r="O22" s="11">
        <f t="shared" si="1"/>
        <v>2338.8000000000002</v>
      </c>
      <c r="P22" s="11">
        <f t="shared" si="1"/>
        <v>2338.8000000000002</v>
      </c>
      <c r="Q22" s="11">
        <f t="shared" si="1"/>
        <v>326</v>
      </c>
      <c r="R22" s="11">
        <f t="shared" si="1"/>
        <v>330</v>
      </c>
      <c r="S22" s="11">
        <f t="shared" si="1"/>
        <v>335</v>
      </c>
      <c r="T22" s="11">
        <f t="shared" si="1"/>
        <v>342</v>
      </c>
      <c r="U22" s="11">
        <f t="shared" si="1"/>
        <v>347</v>
      </c>
    </row>
    <row r="23" spans="2:21" x14ac:dyDescent="0.3">
      <c r="B23" s="76"/>
      <c r="C23" s="50" t="s">
        <v>127</v>
      </c>
      <c r="D23" s="51"/>
      <c r="E23" s="51"/>
      <c r="F23" s="9">
        <v>0</v>
      </c>
      <c r="G23" s="11">
        <f>IF(G$12&lt;=$J$6,$J9,G19)</f>
        <v>5775.1</v>
      </c>
      <c r="H23" s="11">
        <f t="shared" si="1"/>
        <v>5775.1</v>
      </c>
      <c r="I23" s="11">
        <f t="shared" si="1"/>
        <v>5775.1</v>
      </c>
      <c r="J23" s="11">
        <f t="shared" si="1"/>
        <v>5775.1</v>
      </c>
      <c r="K23" s="11">
        <f t="shared" si="1"/>
        <v>5775.1</v>
      </c>
      <c r="L23" s="11">
        <f t="shared" si="1"/>
        <v>5775.1</v>
      </c>
      <c r="M23" s="11">
        <f t="shared" si="1"/>
        <v>5775.1</v>
      </c>
      <c r="N23" s="11">
        <f t="shared" si="1"/>
        <v>5775.1</v>
      </c>
      <c r="O23" s="11">
        <f t="shared" si="1"/>
        <v>5775.1</v>
      </c>
      <c r="P23" s="11">
        <f t="shared" si="1"/>
        <v>5775.1</v>
      </c>
      <c r="Q23" s="11">
        <f t="shared" si="1"/>
        <v>357</v>
      </c>
      <c r="R23" s="11">
        <f t="shared" si="1"/>
        <v>361</v>
      </c>
      <c r="S23" s="11">
        <f t="shared" si="1"/>
        <v>364</v>
      </c>
      <c r="T23" s="11">
        <f t="shared" si="1"/>
        <v>366</v>
      </c>
      <c r="U23" s="11">
        <f t="shared" si="1"/>
        <v>368</v>
      </c>
    </row>
    <row r="24" spans="2:21" x14ac:dyDescent="0.3">
      <c r="B24" s="76"/>
      <c r="C24" s="69" t="s">
        <v>114</v>
      </c>
      <c r="D24" s="49"/>
      <c r="E24" s="49"/>
      <c r="F24" s="4">
        <f>SUM(F17:F19)</f>
        <v>1350700</v>
      </c>
      <c r="G24" s="7">
        <f>SUM(F24,G17:G19)-SUM(G21:G23)</f>
        <v>1213827.3</v>
      </c>
      <c r="H24" s="7">
        <f t="shared" ref="H24:U24" si="2">SUM(G24,H17:H19)-SUM(H21:H23)</f>
        <v>1077333.6000000001</v>
      </c>
      <c r="I24" s="7">
        <f t="shared" si="2"/>
        <v>941233.90000000014</v>
      </c>
      <c r="J24" s="7">
        <f t="shared" si="2"/>
        <v>805523.20000000019</v>
      </c>
      <c r="K24" s="7">
        <f t="shared" si="2"/>
        <v>670228.50000000023</v>
      </c>
      <c r="L24" s="7">
        <f t="shared" si="2"/>
        <v>535342.80000000028</v>
      </c>
      <c r="M24" s="7">
        <f t="shared" si="2"/>
        <v>400877.10000000033</v>
      </c>
      <c r="N24" s="7">
        <f t="shared" si="2"/>
        <v>266824.40000000037</v>
      </c>
      <c r="O24" s="7">
        <f t="shared" si="2"/>
        <v>133197.70000000039</v>
      </c>
      <c r="P24" s="7">
        <f>SUM(O24,P17:P19)-SUM(P21:P23)</f>
        <v>4.0745362639427185E-10</v>
      </c>
      <c r="Q24" s="7">
        <f>SUM(P24,Q17:Q19)-SUM(Q21:Q23)</f>
        <v>4.0745362639427185E-10</v>
      </c>
      <c r="R24" s="7">
        <f t="shared" si="2"/>
        <v>4.0745362639427185E-10</v>
      </c>
      <c r="S24" s="7">
        <f t="shared" si="2"/>
        <v>4.0745362639427185E-10</v>
      </c>
      <c r="T24" s="7">
        <f t="shared" si="2"/>
        <v>4.0745362639427185E-10</v>
      </c>
      <c r="U24" s="7">
        <f t="shared" si="2"/>
        <v>4.0745362639427185E-10</v>
      </c>
    </row>
    <row r="25" spans="2:21" x14ac:dyDescent="0.3">
      <c r="B25" s="77"/>
      <c r="C25" s="48" t="s">
        <v>108</v>
      </c>
      <c r="D25" s="48"/>
      <c r="E25" s="48"/>
      <c r="F25" s="17">
        <v>0</v>
      </c>
      <c r="G25" s="17">
        <f>IF(G$12&lt;=$J$6,SUM($F$21:G23)/SUM($F$17:G19),1)</f>
        <v>0.11603875126714283</v>
      </c>
      <c r="H25" s="17">
        <f>IF(H$12&lt;=$J$6,SUM($F$21:H23)/SUM($F$17:H19),1)</f>
        <v>0.22827935229922308</v>
      </c>
      <c r="I25" s="17">
        <f>IF(I$12&lt;=$J$6,SUM($F$21:I23)/SUM($F$17:I19),1)</f>
        <v>0.33681175207291697</v>
      </c>
      <c r="J25" s="17">
        <f>IF(J$12&lt;=$J$6,SUM($F$21:J23)/SUM($F$17:J19),1)</f>
        <v>0.44172775950421589</v>
      </c>
      <c r="K25" s="17">
        <f>IF(K$12&lt;=$J$6,SUM($F$21:K23)/SUM($F$17:K19),1)</f>
        <v>0.54310867852088585</v>
      </c>
      <c r="L25" s="17">
        <f>IF(L$12&lt;=$J$6,SUM($F$21:L23)/SUM($F$17:L19),1)</f>
        <v>0.64104367276903995</v>
      </c>
      <c r="M25" s="17">
        <f>IF(M$12&lt;=$J$6,SUM($F$21:M23)/SUM($F$17:M19),1)</f>
        <v>0.73561488713692036</v>
      </c>
      <c r="N25" s="17">
        <f>IF(N$12&lt;=$J$6,SUM($F$21:N23)/SUM($F$17:N19),1)</f>
        <v>0.82691161493302279</v>
      </c>
      <c r="O25" s="17">
        <f>IF(O$12&lt;=$J$6,SUM($F$21:O23)/SUM($F$17:O19),1)</f>
        <v>0.9150125951977468</v>
      </c>
      <c r="P25" s="17">
        <f>IF(P$12&lt;=$J$6,SUM($F$21:P23)/SUM($F$17:P19),1)</f>
        <v>1.0000000000000011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1" ht="28.2" customHeight="1" x14ac:dyDescent="0.3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2:21" x14ac:dyDescent="0.3">
      <c r="B27" s="55" t="s">
        <v>124</v>
      </c>
      <c r="C27" s="56"/>
      <c r="D27" s="57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1" x14ac:dyDescent="0.3">
      <c r="B28" s="58"/>
      <c r="C28" s="59"/>
      <c r="D28" s="60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</row>
    <row r="29" spans="2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3">
      <c r="B30" s="61" t="s">
        <v>118</v>
      </c>
      <c r="C30" s="52" t="s">
        <v>57</v>
      </c>
      <c r="D30" s="53"/>
      <c r="E30" s="53"/>
      <c r="F30" s="8">
        <v>0</v>
      </c>
      <c r="G30" s="8">
        <f>((-CB_SMI_Mixto_MUY_BAJA!C7)*G21)/1000000</f>
        <v>-28.055595936</v>
      </c>
      <c r="H30" s="8">
        <f>((-CB_SMI_Mixto_MUY_BAJA!D7)*H21)/1000000</f>
        <v>-28.055595936</v>
      </c>
      <c r="I30" s="8">
        <f>((-CB_SMI_Mixto_MUY_BAJA!E7)*I21)/1000000</f>
        <v>-28.055595936</v>
      </c>
      <c r="J30" s="8">
        <f>((-CB_SMI_Mixto_MUY_BAJA!F7)*J21)/1000000</f>
        <v>-28.055595936</v>
      </c>
      <c r="K30" s="8">
        <f>((-CB_SMI_Mixto_MUY_BAJA!G7)*K21)/1000000</f>
        <v>-28.055595936</v>
      </c>
      <c r="L30" s="8">
        <f>((-CB_SMI_Mixto_MUY_BAJA!H7)*L21)/1000000</f>
        <v>-28.055595936</v>
      </c>
      <c r="M30" s="8">
        <f>((-CB_SMI_Mixto_MUY_BAJA!I7)*M21)/1000000</f>
        <v>-28.055595936</v>
      </c>
      <c r="N30" s="8">
        <f>((-CB_SMI_Mixto_MUY_BAJA!J7)*N21)/1000000</f>
        <v>-28.055595936</v>
      </c>
      <c r="O30" s="8">
        <f>((-CB_SMI_Mixto_MUY_BAJA!K7)*O21)/1000000</f>
        <v>-28.055595936</v>
      </c>
      <c r="P30" s="8">
        <f>((-CB_SMI_Mixto_MUY_BAJA!L7)*P21)/1000000</f>
        <v>-28.055595936</v>
      </c>
      <c r="Q30" s="8">
        <f>((-CB_SMI_Mixto_MUY_BAJA!M7)*Q21)/1000000</f>
        <v>-4.8055245600000003</v>
      </c>
      <c r="R30" s="8">
        <f>((-CB_SMI_Mixto_MUY_BAJA!N7)*R21)/1000000</f>
        <v>-4.8886375200000005</v>
      </c>
      <c r="S30" s="8">
        <f>((-CB_SMI_Mixto_MUY_BAJA!O7)*S21)/1000000</f>
        <v>-4.9736056800000004</v>
      </c>
      <c r="T30" s="8">
        <f>((-CB_SMI_Mixto_MUY_BAJA!P7)*T21)/1000000</f>
        <v>-5.0583883200000006</v>
      </c>
      <c r="U30" s="8">
        <f>((-CB_SMI_Mixto_MUY_BAJA!Q7)*U21)/1000000</f>
        <v>-5.1448406400000009</v>
      </c>
    </row>
    <row r="31" spans="2:21" x14ac:dyDescent="0.3">
      <c r="B31" s="62"/>
      <c r="C31" s="52" t="s">
        <v>58</v>
      </c>
      <c r="D31" s="53"/>
      <c r="E31" s="53"/>
      <c r="F31" s="8">
        <v>0</v>
      </c>
      <c r="G31" s="8">
        <f>((-CB_SMI_Mixto_MUY_BAJA!C8)*G22)/1000000</f>
        <v>-0.85294476800000008</v>
      </c>
      <c r="H31" s="8">
        <f>((-CB_SMI_Mixto_MUY_BAJA!D8)*H22)/1000000</f>
        <v>-0.85294476800000008</v>
      </c>
      <c r="I31" s="8">
        <f>((-CB_SMI_Mixto_MUY_BAJA!E8)*I22)/1000000</f>
        <v>-0.85294476800000008</v>
      </c>
      <c r="J31" s="8">
        <f>((-CB_SMI_Mixto_MUY_BAJA!F8)*J22)/1000000</f>
        <v>-0.85294476800000008</v>
      </c>
      <c r="K31" s="8">
        <f>((-CB_SMI_Mixto_MUY_BAJA!G8)*K22)/1000000</f>
        <v>-0.85294476800000008</v>
      </c>
      <c r="L31" s="8">
        <f>((-CB_SMI_Mixto_MUY_BAJA!H8)*L22)/1000000</f>
        <v>-0.85294476800000008</v>
      </c>
      <c r="M31" s="8">
        <f>((-CB_SMI_Mixto_MUY_BAJA!I8)*M22)/1000000</f>
        <v>-0.85294476800000008</v>
      </c>
      <c r="N31" s="8">
        <f>((-CB_SMI_Mixto_MUY_BAJA!J8)*N22)/1000000</f>
        <v>-0.85294476800000008</v>
      </c>
      <c r="O31" s="8">
        <f>((-CB_SMI_Mixto_MUY_BAJA!K8)*O22)/1000000</f>
        <v>-0.85294476800000019</v>
      </c>
      <c r="P31" s="8">
        <f>((-CB_SMI_Mixto_MUY_BAJA!L8)*P22)/1000000</f>
        <v>-0.85294476800000008</v>
      </c>
      <c r="Q31" s="8">
        <f>((-CB_SMI_Mixto_MUY_BAJA!M8)*Q22)/1000000</f>
        <v>-0.11889002666666668</v>
      </c>
      <c r="R31" s="8">
        <f>((-CB_SMI_Mixto_MUY_BAJA!N8)*R22)/1000000</f>
        <v>-0.12034880000000001</v>
      </c>
      <c r="S31" s="8">
        <f>((-CB_SMI_Mixto_MUY_BAJA!O8)*S22)/1000000</f>
        <v>-0.12217226666666667</v>
      </c>
      <c r="T31" s="8">
        <f>((-CB_SMI_Mixto_MUY_BAJA!P8)*T22)/1000000</f>
        <v>-0.12472511999999999</v>
      </c>
      <c r="U31" s="8">
        <f>((-CB_SMI_Mixto_MUY_BAJA!Q8)*U22)/1000000</f>
        <v>-0.12654858666666666</v>
      </c>
    </row>
    <row r="32" spans="2:21" x14ac:dyDescent="0.3">
      <c r="B32" s="62"/>
      <c r="C32" s="52" t="s">
        <v>59</v>
      </c>
      <c r="D32" s="53"/>
      <c r="E32" s="53"/>
      <c r="F32" s="8">
        <v>0</v>
      </c>
      <c r="G32" s="8">
        <f>((-CB_SMI_Mixto_MUY_BAJA!C9)*G23)/1000000</f>
        <v>-4.5041852931999991</v>
      </c>
      <c r="H32" s="8">
        <f>((-CB_SMI_Mixto_MUY_BAJA!D9)*H23)/1000000</f>
        <v>-4.5041852931999991</v>
      </c>
      <c r="I32" s="8">
        <f>((-CB_SMI_Mixto_MUY_BAJA!E9)*I23)/1000000</f>
        <v>-4.5041852931999999</v>
      </c>
      <c r="J32" s="8">
        <f>((-CB_SMI_Mixto_MUY_BAJA!F9)*J23)/1000000</f>
        <v>-4.5041852931999999</v>
      </c>
      <c r="K32" s="8">
        <f>((-CB_SMI_Mixto_MUY_BAJA!G9)*K23)/1000000</f>
        <v>-4.5041852931999991</v>
      </c>
      <c r="L32" s="8">
        <f>((-CB_SMI_Mixto_MUY_BAJA!H9)*L23)/1000000</f>
        <v>-4.5041852931999991</v>
      </c>
      <c r="M32" s="8">
        <f>((-CB_SMI_Mixto_MUY_BAJA!I9)*M23)/1000000</f>
        <v>-4.5041852931999999</v>
      </c>
      <c r="N32" s="8">
        <f>((-CB_SMI_Mixto_MUY_BAJA!J9)*N23)/1000000</f>
        <v>-4.5041852931999999</v>
      </c>
      <c r="O32" s="8">
        <f>((-CB_SMI_Mixto_MUY_BAJA!K9)*O23)/1000000</f>
        <v>-4.5041852931999999</v>
      </c>
      <c r="P32" s="8">
        <f>((-CB_SMI_Mixto_MUY_BAJA!L9)*P23)/1000000</f>
        <v>-4.5041852931999999</v>
      </c>
      <c r="Q32" s="8">
        <f>((-CB_SMI_Mixto_MUY_BAJA!M9)*Q23)/1000000</f>
        <v>-0.27843572400000005</v>
      </c>
      <c r="R32" s="8">
        <f>((-CB_SMI_Mixto_MUY_BAJA!N9)*R23)/1000000</f>
        <v>-0.28155545200000004</v>
      </c>
      <c r="S32" s="8">
        <f>((-CB_SMI_Mixto_MUY_BAJA!O9)*S23)/1000000</f>
        <v>-0.28389524800000004</v>
      </c>
      <c r="T32" s="8">
        <f>((-CB_SMI_Mixto_MUY_BAJA!P9)*T23)/1000000</f>
        <v>-0.28545511200000001</v>
      </c>
      <c r="U32" s="8">
        <f>((-CB_SMI_Mixto_MUY_BAJA!Q9)*U23)/1000000</f>
        <v>-0.28701497600000003</v>
      </c>
    </row>
    <row r="33" spans="2:22" x14ac:dyDescent="0.3">
      <c r="B33" s="62"/>
      <c r="C33" s="52" t="s">
        <v>60</v>
      </c>
      <c r="D33" s="53"/>
      <c r="E33" s="53"/>
      <c r="F33" s="8">
        <f>((-CB_SMI_Mixto_MUY_BAJA!B10)*CB_SMI_Mixto_MUY_BAJA!B6)/1000000</f>
        <v>-5.4654347199999993</v>
      </c>
      <c r="G33" s="8">
        <f>((-CB_SMI_Mixto_MUY_BAJA!C10)*CB_SMI_Mixto_MUY_BAJA!C6)/1000000</f>
        <v>0</v>
      </c>
      <c r="H33" s="8">
        <f>((-CB_SMI_Mixto_MUY_BAJA!D10)*CB_SMI_Mixto_MUY_BAJA!D6)/1000000</f>
        <v>0</v>
      </c>
      <c r="I33" s="8">
        <f>((-CB_SMI_Mixto_MUY_BAJA!E10)*CB_SMI_Mixto_MUY_BAJA!E6)/1000000</f>
        <v>0</v>
      </c>
      <c r="J33" s="8">
        <f>((-CB_SMI_Mixto_MUY_BAJA!F10)*CB_SMI_Mixto_MUY_BAJA!F6)/1000000</f>
        <v>0</v>
      </c>
      <c r="K33" s="8">
        <f>((-CB_SMI_Mixto_MUY_BAJA!G10)*CB_SMI_Mixto_MUY_BAJA!G6)/1000000</f>
        <v>0</v>
      </c>
      <c r="L33" s="8">
        <f>((-CB_SMI_Mixto_MUY_BAJA!H10)*CB_SMI_Mixto_MUY_BAJA!H6)/1000000</f>
        <v>0</v>
      </c>
      <c r="M33" s="8">
        <f>((-CB_SMI_Mixto_MUY_BAJA!I10)*CB_SMI_Mixto_MUY_BAJA!I6)/1000000</f>
        <v>0</v>
      </c>
      <c r="N33" s="8">
        <f>((-CB_SMI_Mixto_MUY_BAJA!J10)*CB_SMI_Mixto_MUY_BAJA!J6)/1000000</f>
        <v>0</v>
      </c>
      <c r="O33" s="8">
        <f>((-CB_SMI_Mixto_MUY_BAJA!K10)*CB_SMI_Mixto_MUY_BAJA!K6)/1000000</f>
        <v>0</v>
      </c>
      <c r="P33" s="8">
        <f>((-CB_SMI_Mixto_MUY_BAJA!L10)*CB_SMI_Mixto_MUY_BAJA!L6)/1000000</f>
        <v>0</v>
      </c>
      <c r="Q33" s="8">
        <f>((-CB_SMI_Mixto_MUY_BAJA!M10)*CB_SMI_Mixto_MUY_BAJA!M6)/1000000</f>
        <v>0</v>
      </c>
      <c r="R33" s="8">
        <f>((-CB_SMI_Mixto_MUY_BAJA!N10)*CB_SMI_Mixto_MUY_BAJA!N6)/1000000</f>
        <v>0</v>
      </c>
      <c r="S33" s="8">
        <f>((-CB_SMI_Mixto_MUY_BAJA!O10)*CB_SMI_Mixto_MUY_BAJA!O6)/1000000</f>
        <v>0</v>
      </c>
      <c r="T33" s="8">
        <f>((-CB_SMI_Mixto_MUY_BAJA!P10)*CB_SMI_Mixto_MUY_BAJA!P6)/1000000</f>
        <v>0</v>
      </c>
      <c r="U33" s="8">
        <f>((-CB_SMI_Mixto_MUY_BAJA!Q10)*CB_SMI_Mixto_MUY_BAJA!Q6)/1000000</f>
        <v>0</v>
      </c>
    </row>
    <row r="34" spans="2:22" x14ac:dyDescent="0.3">
      <c r="B34" s="62"/>
      <c r="C34" s="52" t="s">
        <v>145</v>
      </c>
      <c r="D34" s="53"/>
      <c r="E34" s="53"/>
      <c r="F34" s="8">
        <f>(-CB_SMI_Mixto_MUY_BAJA!B11)/1000000</f>
        <v>-24.786695699999999</v>
      </c>
      <c r="G34" s="8">
        <f>(-CB_SMI_Mixto_MUY_BAJA!C11)/1000000</f>
        <v>-0.41231026799999992</v>
      </c>
      <c r="H34" s="8">
        <f>(-CB_SMI_Mixto_MUY_BAJA!D11)/1000000</f>
        <v>-0.41926529700000004</v>
      </c>
      <c r="I34" s="8">
        <f>(-CB_SMI_Mixto_MUY_BAJA!E11)/1000000</f>
        <v>-0.4264955909999999</v>
      </c>
      <c r="J34" s="8">
        <f>(-CB_SMI_Mixto_MUY_BAJA!F11)/1000000</f>
        <v>-0.43363413000000001</v>
      </c>
      <c r="K34" s="8">
        <f>(-CB_SMI_Mixto_MUY_BAJA!G11)/1000000</f>
        <v>-0.44126814599999992</v>
      </c>
      <c r="L34" s="8">
        <f>(-CB_SMI_Mixto_MUY_BAJA!H11)/1000000</f>
        <v>-0.44877370500000002</v>
      </c>
      <c r="M34" s="8">
        <f>(-CB_SMI_Mixto_MUY_BAJA!I11)/1000000</f>
        <v>-0.45648112499999999</v>
      </c>
      <c r="N34" s="8">
        <f>(-CB_SMI_Mixto_MUY_BAJA!J11)/1000000</f>
        <v>-0.46406008799999998</v>
      </c>
      <c r="O34" s="8">
        <f>(-CB_SMI_Mixto_MUY_BAJA!K11)/1000000</f>
        <v>-0.47187761399999989</v>
      </c>
      <c r="P34" s="8">
        <f>(-CB_SMI_Mixto_MUY_BAJA!L11)/1000000</f>
        <v>-0.47975019299999994</v>
      </c>
      <c r="Q34" s="8">
        <f>(-CB_SMI_Mixto_MUY_BAJA!M11)/1000000</f>
        <v>-0.48787968599999992</v>
      </c>
      <c r="R34" s="8">
        <f>(-CB_SMI_Mixto_MUY_BAJA!N11)/1000000</f>
        <v>-0.49624774200000005</v>
      </c>
      <c r="S34" s="8">
        <f>(-CB_SMI_Mixto_MUY_BAJA!O11)/1000000</f>
        <v>-0.50479930800000006</v>
      </c>
      <c r="T34" s="8">
        <f>(-CB_SMI_Mixto_MUY_BAJA!P11)/1000000</f>
        <v>-0.51335087400000001</v>
      </c>
      <c r="U34" s="8">
        <f>(-CB_SMI_Mixto_MUY_BAJA!Q11)/1000000</f>
        <v>-0.52203089699999983</v>
      </c>
    </row>
    <row r="35" spans="2:22" x14ac:dyDescent="0.3">
      <c r="B35" s="62"/>
      <c r="C35" s="52" t="s">
        <v>143</v>
      </c>
      <c r="D35" s="53"/>
      <c r="E35" s="53"/>
      <c r="F35" s="8">
        <f>(-CB_SMI_Mixto_MUY_BAJA!B12)/1000000</f>
        <v>-1.8625442105263159</v>
      </c>
      <c r="G35" s="8">
        <f>(-CB_SMI_Mixto_MUY_BAJA!C12)/1000000</f>
        <v>-3.0982189473684217E-2</v>
      </c>
      <c r="H35" s="8">
        <f>(-CB_SMI_Mixto_MUY_BAJA!D12)/1000000</f>
        <v>-3.1504810526315791E-2</v>
      </c>
      <c r="I35" s="8">
        <f>(-CB_SMI_Mixto_MUY_BAJA!E12)/1000000</f>
        <v>-3.204811578947369E-2</v>
      </c>
      <c r="J35" s="8">
        <f>(-CB_SMI_Mixto_MUY_BAJA!F12)/1000000</f>
        <v>-3.258452631578948E-2</v>
      </c>
      <c r="K35" s="8">
        <f>(-CB_SMI_Mixto_MUY_BAJA!G12)/1000000</f>
        <v>-3.3158168421052639E-2</v>
      </c>
      <c r="L35" s="8">
        <f>(-CB_SMI_Mixto_MUY_BAJA!H12)/1000000</f>
        <v>-3.3722157894736843E-2</v>
      </c>
      <c r="M35" s="8">
        <f>(-CB_SMI_Mixto_MUY_BAJA!I12)/1000000</f>
        <v>-3.4301315789473687E-2</v>
      </c>
      <c r="N35" s="8">
        <f>(-CB_SMI_Mixto_MUY_BAJA!J12)/1000000</f>
        <v>-3.4870821052631583E-2</v>
      </c>
      <c r="O35" s="8">
        <f>(-CB_SMI_Mixto_MUY_BAJA!K12)/1000000</f>
        <v>-3.5458252631578951E-2</v>
      </c>
      <c r="P35" s="8">
        <f>(-CB_SMI_Mixto_MUY_BAJA!L12)/1000000</f>
        <v>-3.6049821052631582E-2</v>
      </c>
      <c r="Q35" s="8">
        <f>(-CB_SMI_Mixto_MUY_BAJA!M12)/1000000</f>
        <v>-3.6660694736842109E-2</v>
      </c>
      <c r="R35" s="8">
        <f>(-CB_SMI_Mixto_MUY_BAJA!N12)/1000000</f>
        <v>-3.7289494736842115E-2</v>
      </c>
      <c r="S35" s="8">
        <f>(-CB_SMI_Mixto_MUY_BAJA!O12)/1000000</f>
        <v>-3.793208421052631E-2</v>
      </c>
      <c r="T35" s="8">
        <f>(-CB_SMI_Mixto_MUY_BAJA!P12)/1000000</f>
        <v>-3.8574673684210532E-2</v>
      </c>
      <c r="U35" s="8">
        <f>(-CB_SMI_Mixto_MUY_BAJA!Q12)/1000000</f>
        <v>-3.9226915789473696E-2</v>
      </c>
    </row>
    <row r="36" spans="2:22" x14ac:dyDescent="0.3">
      <c r="B36" s="63"/>
      <c r="C36" s="74" t="s">
        <v>123</v>
      </c>
      <c r="D36" s="74"/>
      <c r="E36" s="74"/>
      <c r="F36" s="15">
        <f>SUM(F30:F35)</f>
        <v>-32.114674630526316</v>
      </c>
      <c r="G36" s="15">
        <f t="shared" ref="G36:U36" si="3">SUM(G30:G35)</f>
        <v>-33.856018454673681</v>
      </c>
      <c r="H36" s="15">
        <f t="shared" si="3"/>
        <v>-33.863496104726316</v>
      </c>
      <c r="I36" s="15">
        <f t="shared" si="3"/>
        <v>-33.871269703989469</v>
      </c>
      <c r="J36" s="15">
        <f t="shared" si="3"/>
        <v>-33.878944653515788</v>
      </c>
      <c r="K36" s="15">
        <f t="shared" si="3"/>
        <v>-33.887152311621051</v>
      </c>
      <c r="L36" s="15">
        <f t="shared" si="3"/>
        <v>-33.895221860094736</v>
      </c>
      <c r="M36" s="15">
        <f t="shared" si="3"/>
        <v>-33.903508437989473</v>
      </c>
      <c r="N36" s="15">
        <f t="shared" si="3"/>
        <v>-33.911656906252624</v>
      </c>
      <c r="O36" s="15">
        <f t="shared" si="3"/>
        <v>-33.920061863831577</v>
      </c>
      <c r="P36" s="15">
        <f t="shared" si="3"/>
        <v>-33.928526011252629</v>
      </c>
      <c r="Q36" s="15">
        <f t="shared" si="3"/>
        <v>-5.7273906914035093</v>
      </c>
      <c r="R36" s="15">
        <f t="shared" si="3"/>
        <v>-5.8240790087368435</v>
      </c>
      <c r="S36" s="15">
        <f t="shared" si="3"/>
        <v>-5.9224045868771933</v>
      </c>
      <c r="T36" s="15">
        <f t="shared" si="3"/>
        <v>-6.0204940996842113</v>
      </c>
      <c r="U36" s="15">
        <f t="shared" si="3"/>
        <v>-6.1196620154561412</v>
      </c>
    </row>
    <row r="37" spans="2:22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2:22" x14ac:dyDescent="0.3">
      <c r="B38" s="61" t="s">
        <v>119</v>
      </c>
      <c r="C38" s="52" t="s">
        <v>100</v>
      </c>
      <c r="D38" s="53"/>
      <c r="E38" s="53"/>
      <c r="F38" s="8">
        <v>0</v>
      </c>
      <c r="G38" s="8">
        <f>(-CB_SMI_Mixto_MUY_BAJA!C13/1000000)*G$25</f>
        <v>0</v>
      </c>
      <c r="H38" s="8">
        <f>(-CB_SMI_Mixto_MUY_BAJA!D13/1000000)*H$25</f>
        <v>0</v>
      </c>
      <c r="I38" s="8">
        <f>(-CB_SMI_Mixto_MUY_BAJA!E13/1000000)*I$25</f>
        <v>0</v>
      </c>
      <c r="J38" s="8">
        <f>(-CB_SMI_Mixto_MUY_BAJA!F13/1000000)*J$25</f>
        <v>0</v>
      </c>
      <c r="K38" s="8">
        <f>(-CB_SMI_Mixto_MUY_BAJA!G13/1000000)*K$25</f>
        <v>0</v>
      </c>
      <c r="L38" s="8">
        <f>(-CB_SMI_Mixto_MUY_BAJA!H13/1000000)*L$25</f>
        <v>0</v>
      </c>
      <c r="M38" s="8">
        <f>(-CB_SMI_Mixto_MUY_BAJA!I13/1000000)*M$25</f>
        <v>0</v>
      </c>
      <c r="N38" s="8">
        <f>(-CB_SMI_Mixto_MUY_BAJA!J13/1000000)*N$25</f>
        <v>0</v>
      </c>
      <c r="O38" s="8">
        <f>(-CB_SMI_Mixto_MUY_BAJA!K13/1000000)*O$25</f>
        <v>0</v>
      </c>
      <c r="P38" s="8">
        <f>(-CB_SMI_Mixto_MUY_BAJA!L13/1000000)*P$25</f>
        <v>0</v>
      </c>
      <c r="Q38" s="8">
        <f>(-CB_SMI_Mixto_MUY_BAJA!M13/1000000)*Q$25</f>
        <v>0</v>
      </c>
      <c r="R38" s="8">
        <f>(-CB_SMI_Mixto_MUY_BAJA!N13/1000000)*R$25</f>
        <v>0</v>
      </c>
      <c r="S38" s="8">
        <f>(-CB_SMI_Mixto_MUY_BAJA!O13/1000000)*S$25</f>
        <v>0</v>
      </c>
      <c r="T38" s="8">
        <f>(-CB_SMI_Mixto_MUY_BAJA!P13/1000000)*T$25</f>
        <v>0</v>
      </c>
      <c r="U38" s="8">
        <f>(-CB_SMI_Mixto_MUY_BAJA!Q13/1000000)*U$25</f>
        <v>0</v>
      </c>
    </row>
    <row r="39" spans="2:22" x14ac:dyDescent="0.3">
      <c r="B39" s="62"/>
      <c r="C39" s="52" t="s">
        <v>101</v>
      </c>
      <c r="D39" s="53"/>
      <c r="E39" s="53"/>
      <c r="F39" s="8">
        <v>0</v>
      </c>
      <c r="G39" s="8">
        <f>(-CB_SMI_Mixto_MUY_BAJA!C14/1000000)*G$25</f>
        <v>-7.6664534826502732E-4</v>
      </c>
      <c r="H39" s="8">
        <f>(-CB_SMI_Mixto_MUY_BAJA!D14/1000000)*H$25</f>
        <v>-1.5291442417207097E-3</v>
      </c>
      <c r="I39" s="8">
        <f>(-CB_SMI_Mixto_MUY_BAJA!E14/1000000)*I$25</f>
        <v>-2.2872978206566223E-3</v>
      </c>
      <c r="J39" s="8">
        <f>(-CB_SMI_Mixto_MUY_BAJA!F14/1000000)*J$25</f>
        <v>-3.0573366185751944E-3</v>
      </c>
      <c r="K39" s="8">
        <f>(-CB_SMI_Mixto_MUY_BAJA!G14/1000000)*K$25</f>
        <v>-3.8351117528869268E-3</v>
      </c>
      <c r="L39" s="8">
        <f>(-CB_SMI_Mixto_MUY_BAJA!H14/1000000)*L$25</f>
        <v>-4.6200688903113313E-3</v>
      </c>
      <c r="M39" s="8">
        <f>(-CB_SMI_Mixto_MUY_BAJA!I14/1000000)*M$25</f>
        <v>-5.4119221598259038E-3</v>
      </c>
      <c r="N39" s="8">
        <f>(-CB_SMI_Mixto_MUY_BAJA!J14/1000000)*N$25</f>
        <v>-6.2116011784315037E-3</v>
      </c>
      <c r="O39" s="8">
        <f>(-CB_SMI_Mixto_MUY_BAJA!K14/1000000)*O$25</f>
        <v>-2.2219972970534532E-2</v>
      </c>
      <c r="P39" s="8">
        <f>(-CB_SMI_Mixto_MUY_BAJA!L14/1000000)*P$25</f>
        <v>-2.4941527685123446E-2</v>
      </c>
      <c r="Q39" s="8">
        <f>(-CB_SMI_Mixto_MUY_BAJA!M14/1000000)*Q$25</f>
        <v>-2.5602768512341563E-2</v>
      </c>
      <c r="R39" s="8">
        <f>(-CB_SMI_Mixto_MUY_BAJA!N14/1000000)*R$25</f>
        <v>-2.6285723815877248E-2</v>
      </c>
      <c r="S39" s="8">
        <f>(-CB_SMI_Mixto_MUY_BAJA!O14/1000000)*S$25</f>
        <v>-2.6967978652434957E-2</v>
      </c>
      <c r="T39" s="8">
        <f>(-CB_SMI_Mixto_MUY_BAJA!P14/1000000)*T$25</f>
        <v>-2.7662841894596401E-2</v>
      </c>
      <c r="U39" s="8">
        <f>(-CB_SMI_Mixto_MUY_BAJA!Q14/1000000)*U$25</f>
        <v>-2.8377318212141428E-2</v>
      </c>
    </row>
    <row r="40" spans="2:22" x14ac:dyDescent="0.3">
      <c r="B40" s="62"/>
      <c r="C40" s="52" t="s">
        <v>146</v>
      </c>
      <c r="D40" s="53"/>
      <c r="E40" s="53"/>
      <c r="F40" s="8">
        <v>0</v>
      </c>
      <c r="G40" s="8">
        <f>(-CB_SMI_Mixto_MUY_BAJA!C15/1000000)*G$25</f>
        <v>-1.272387044029353</v>
      </c>
      <c r="H40" s="8">
        <f>(-CB_SMI_Mixto_MUY_BAJA!D15/1000000)*H$25</f>
        <v>-2.5447740880587055</v>
      </c>
      <c r="I40" s="8">
        <f>(-CB_SMI_Mixto_MUY_BAJA!E15/1000000)*I$25</f>
        <v>-3.8171611320880583</v>
      </c>
      <c r="J40" s="8">
        <f>(-CB_SMI_Mixto_MUY_BAJA!F15/1000000)*J$25</f>
        <v>-5.0895481761174128</v>
      </c>
      <c r="K40" s="8">
        <f>(-CB_SMI_Mixto_MUY_BAJA!G15/1000000)*K$25</f>
        <v>-6.3619352201467656</v>
      </c>
      <c r="L40" s="8">
        <f>(-CB_SMI_Mixto_MUY_BAJA!H15/1000000)*L$25</f>
        <v>-7.6343222641761228</v>
      </c>
      <c r="M40" s="8">
        <f>(-CB_SMI_Mixto_MUY_BAJA!I15/1000000)*M$25</f>
        <v>-8.9067093082054782</v>
      </c>
      <c r="N40" s="8">
        <f>(-CB_SMI_Mixto_MUY_BAJA!J15/1000000)*N$25</f>
        <v>-10.179096352234833</v>
      </c>
      <c r="O40" s="8">
        <f>(-CB_SMI_Mixto_MUY_BAJA!K15/1000000)*O$25</f>
        <v>-11.451483396264189</v>
      </c>
      <c r="P40" s="8">
        <f>(-CB_SMI_Mixto_MUY_BAJA!L15/1000000)*P$25</f>
        <v>-12.723870440293544</v>
      </c>
      <c r="Q40" s="8">
        <f>(-CB_SMI_Mixto_MUY_BAJA!M15/1000000)*Q$25</f>
        <v>-12.936168252168121</v>
      </c>
      <c r="R40" s="8">
        <f>(-CB_SMI_Mixto_MUY_BAJA!N15/1000000)*R$25</f>
        <v>-13.15210737158106</v>
      </c>
      <c r="S40" s="8">
        <f>(-CB_SMI_Mixto_MUY_BAJA!O15/1000000)*S$25</f>
        <v>-13.371767651767851</v>
      </c>
      <c r="T40" s="8">
        <f>(-CB_SMI_Mixto_MUY_BAJA!P15/1000000)*T$25</f>
        <v>-13.595149092728491</v>
      </c>
      <c r="U40" s="8">
        <f>(-CB_SMI_Mixto_MUY_BAJA!Q15/1000000)*U$25</f>
        <v>-13.822307591727819</v>
      </c>
    </row>
    <row r="41" spans="2:22" x14ac:dyDescent="0.3">
      <c r="B41" s="62"/>
      <c r="C41" s="52" t="s">
        <v>144</v>
      </c>
      <c r="D41" s="53"/>
      <c r="E41" s="53"/>
      <c r="F41" s="8">
        <v>0</v>
      </c>
      <c r="G41" s="8">
        <f>(-CB_SMI_Mixto_MUY_BAJA!C16/1000000)*G$25</f>
        <v>-0.18058752439210526</v>
      </c>
      <c r="H41" s="8">
        <f>(-CB_SMI_Mixto_MUY_BAJA!D16/1000000)*H$25</f>
        <v>-0.36117504878421031</v>
      </c>
      <c r="I41" s="8">
        <f>(-CB_SMI_Mixto_MUY_BAJA!E16/1000000)*I$25</f>
        <v>-0.54176257317631549</v>
      </c>
      <c r="J41" s="8">
        <f>(-CB_SMI_Mixto_MUY_BAJA!F16/1000000)*J$25</f>
        <v>-0.72235009756842117</v>
      </c>
      <c r="K41" s="8">
        <f>(-CB_SMI_Mixto_MUY_BAJA!G16/1000000)*K$25</f>
        <v>-0.90293762196052663</v>
      </c>
      <c r="L41" s="8">
        <f>(-CB_SMI_Mixto_MUY_BAJA!H16/1000000)*L$25</f>
        <v>-1.0835251463526316</v>
      </c>
      <c r="M41" s="8">
        <f>(-CB_SMI_Mixto_MUY_BAJA!I16/1000000)*M$25</f>
        <v>-1.2641126707447379</v>
      </c>
      <c r="N41" s="8">
        <f>(-CB_SMI_Mixto_MUY_BAJA!J16/1000000)*N$25</f>
        <v>-1.4447001951368434</v>
      </c>
      <c r="O41" s="8">
        <f>(-CB_SMI_Mixto_MUY_BAJA!K16/1000000)*O$25</f>
        <v>-1.625287719528949</v>
      </c>
      <c r="P41" s="8">
        <f>(-CB_SMI_Mixto_MUY_BAJA!L16/1000000)*P$25</f>
        <v>-1.8058752439210539</v>
      </c>
      <c r="Q41" s="8">
        <f>(-CB_SMI_Mixto_MUY_BAJA!M16/1000000)*Q$25</f>
        <v>-1.8360062771315788</v>
      </c>
      <c r="R41" s="8">
        <f>(-CB_SMI_Mixto_MUY_BAJA!N16/1000000)*R$25</f>
        <v>-1.8666541143421052</v>
      </c>
      <c r="S41" s="8">
        <f>(-CB_SMI_Mixto_MUY_BAJA!O16/1000000)*S$25</f>
        <v>-1.8978300889736841</v>
      </c>
      <c r="T41" s="8">
        <f>(-CB_SMI_Mixto_MUY_BAJA!P16/1000000)*T$25</f>
        <v>-1.9295342010263161</v>
      </c>
      <c r="U41" s="8">
        <f>(-CB_SMI_Mixto_MUY_BAJA!Q16/1000000)*U$25</f>
        <v>-1.961774383894737</v>
      </c>
    </row>
    <row r="42" spans="2:22" x14ac:dyDescent="0.3">
      <c r="B42" s="62"/>
      <c r="C42" s="52" t="s">
        <v>61</v>
      </c>
      <c r="D42" s="53"/>
      <c r="E42" s="53"/>
      <c r="F42" s="8">
        <v>0</v>
      </c>
      <c r="G42" s="8">
        <f>(-CB_SMI_Mixto_MUY_BAJA!C17/1000000)*G$25</f>
        <v>-0.19790114939999998</v>
      </c>
      <c r="H42" s="8">
        <f>(-CB_SMI_Mixto_MUY_BAJA!D17/1000000)*H$25</f>
        <v>-0.39580229879999984</v>
      </c>
      <c r="I42" s="8">
        <f>(-CB_SMI_Mixto_MUY_BAJA!E17/1000000)*I$25</f>
        <v>-0.59370344819999976</v>
      </c>
      <c r="J42" s="8">
        <f>(-CB_SMI_Mixto_MUY_BAJA!F17/1000000)*J$25</f>
        <v>-0.79160459760000002</v>
      </c>
      <c r="K42" s="8">
        <f>(-CB_SMI_Mixto_MUY_BAJA!G17/1000000)*K$25</f>
        <v>-0.98950574700000016</v>
      </c>
      <c r="L42" s="8">
        <f>(-CB_SMI_Mixto_MUY_BAJA!H17/1000000)*L$25</f>
        <v>-1.1874068964000002</v>
      </c>
      <c r="M42" s="8">
        <f>(-CB_SMI_Mixto_MUY_BAJA!I17/1000000)*M$25</f>
        <v>-1.3853080458000016</v>
      </c>
      <c r="N42" s="8">
        <f>(-CB_SMI_Mixto_MUY_BAJA!J17/1000000)*N$25</f>
        <v>-1.5832091952000018</v>
      </c>
      <c r="O42" s="8">
        <f>(-CB_SMI_Mixto_MUY_BAJA!K17/1000000)*O$25</f>
        <v>-1.7811103446000018</v>
      </c>
      <c r="P42" s="8">
        <f>(-CB_SMI_Mixto_MUY_BAJA!L17/1000000)*P$25</f>
        <v>-1.9790114940000021</v>
      </c>
      <c r="Q42" s="8">
        <f>(-CB_SMI_Mixto_MUY_BAJA!M17/1000000)*Q$25</f>
        <v>-2.0120313059999999</v>
      </c>
      <c r="R42" s="8">
        <f>(-CB_SMI_Mixto_MUY_BAJA!N17/1000000)*R$25</f>
        <v>-2.0456174699999998</v>
      </c>
      <c r="S42" s="8">
        <f>(-CB_SMI_Mixto_MUY_BAJA!O17/1000000)*S$25</f>
        <v>-2.0797824060000001</v>
      </c>
      <c r="T42" s="8">
        <f>(-CB_SMI_Mixto_MUY_BAJA!P17/1000000)*T$25</f>
        <v>-2.1145261140000002</v>
      </c>
      <c r="U42" s="8">
        <f>(-CB_SMI_Mixto_MUY_BAJA!Q17/1000000)*U$25</f>
        <v>-2.1498572880000002</v>
      </c>
    </row>
    <row r="43" spans="2:22" x14ac:dyDescent="0.3">
      <c r="B43" s="63"/>
      <c r="C43" s="74" t="s">
        <v>131</v>
      </c>
      <c r="D43" s="74"/>
      <c r="E43" s="74"/>
      <c r="F43" s="15">
        <f>SUM(F38:F42)</f>
        <v>0</v>
      </c>
      <c r="G43" s="15">
        <f>SUM(G38:G42)</f>
        <v>-1.6516423631697235</v>
      </c>
      <c r="H43" s="15">
        <f t="shared" ref="H43:T43" si="4">SUM(H38:H42)</f>
        <v>-3.3032805798846363</v>
      </c>
      <c r="I43" s="15">
        <f t="shared" si="4"/>
        <v>-4.9549144512850294</v>
      </c>
      <c r="J43" s="15">
        <f t="shared" si="4"/>
        <v>-6.6065602079044092</v>
      </c>
      <c r="K43" s="15">
        <f t="shared" si="4"/>
        <v>-8.2582137008601784</v>
      </c>
      <c r="L43" s="15">
        <f t="shared" si="4"/>
        <v>-9.9098743758190668</v>
      </c>
      <c r="M43" s="15">
        <f t="shared" si="4"/>
        <v>-11.561541946910044</v>
      </c>
      <c r="N43" s="15">
        <f t="shared" si="4"/>
        <v>-13.213217343750109</v>
      </c>
      <c r="O43" s="15">
        <f t="shared" si="4"/>
        <v>-14.880101433363674</v>
      </c>
      <c r="P43" s="15">
        <f t="shared" si="4"/>
        <v>-16.533698705899724</v>
      </c>
      <c r="Q43" s="15">
        <f t="shared" si="4"/>
        <v>-16.809808603812041</v>
      </c>
      <c r="R43" s="15">
        <f t="shared" si="4"/>
        <v>-17.090664679739042</v>
      </c>
      <c r="S43" s="15">
        <f t="shared" si="4"/>
        <v>-17.376348125393971</v>
      </c>
      <c r="T43" s="15">
        <f t="shared" si="4"/>
        <v>-17.666872249649401</v>
      </c>
      <c r="U43" s="15">
        <f>SUM(U38:U42)</f>
        <v>-17.962316581834699</v>
      </c>
    </row>
    <row r="44" spans="2:22" x14ac:dyDescent="0.3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2:22" x14ac:dyDescent="0.3">
      <c r="B45" s="78" t="s">
        <v>155</v>
      </c>
      <c r="C45" s="74"/>
      <c r="D45" s="74"/>
      <c r="E45" s="74"/>
      <c r="F45" s="15">
        <f>F36+F43</f>
        <v>-32.114674630526316</v>
      </c>
      <c r="G45" s="15">
        <f t="shared" ref="G45:U45" si="5">G36+G43</f>
        <v>-35.507660817843401</v>
      </c>
      <c r="H45" s="15">
        <f t="shared" si="5"/>
        <v>-37.166776684610952</v>
      </c>
      <c r="I45" s="15">
        <f t="shared" si="5"/>
        <v>-38.826184155274497</v>
      </c>
      <c r="J45" s="15">
        <f t="shared" si="5"/>
        <v>-40.485504861420196</v>
      </c>
      <c r="K45" s="15">
        <f t="shared" si="5"/>
        <v>-42.145366012481233</v>
      </c>
      <c r="L45" s="15">
        <f t="shared" si="5"/>
        <v>-43.805096235913801</v>
      </c>
      <c r="M45" s="15">
        <f t="shared" si="5"/>
        <v>-45.465050384899513</v>
      </c>
      <c r="N45" s="15">
        <f t="shared" si="5"/>
        <v>-47.124874250002733</v>
      </c>
      <c r="O45" s="15">
        <f t="shared" si="5"/>
        <v>-48.800163297195255</v>
      </c>
      <c r="P45" s="15">
        <f t="shared" si="5"/>
        <v>-50.462224717152353</v>
      </c>
      <c r="Q45" s="15">
        <f t="shared" si="5"/>
        <v>-22.537199295215551</v>
      </c>
      <c r="R45" s="15">
        <f t="shared" si="5"/>
        <v>-22.914743688475887</v>
      </c>
      <c r="S45" s="15">
        <f t="shared" si="5"/>
        <v>-23.298752712271163</v>
      </c>
      <c r="T45" s="15">
        <f t="shared" si="5"/>
        <v>-23.687366349333612</v>
      </c>
      <c r="U45" s="15">
        <f t="shared" si="5"/>
        <v>-24.081978597290842</v>
      </c>
    </row>
    <row r="46" spans="2:22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2" x14ac:dyDescent="0.3">
      <c r="B47" s="79" t="s">
        <v>120</v>
      </c>
      <c r="C47" s="52" t="s">
        <v>112</v>
      </c>
      <c r="D47" s="53"/>
      <c r="E47" s="53"/>
      <c r="F47" s="8">
        <v>0</v>
      </c>
      <c r="G47" s="8">
        <f>(CB_SMI_Mixto_MUY_BAJA!C18/1000000)*G$25</f>
        <v>0.96643269304374602</v>
      </c>
      <c r="H47" s="8">
        <f>(CB_SMI_Mixto_MUY_BAJA!D18/1000000)*H$25</f>
        <v>1.9338511618572758</v>
      </c>
      <c r="I47" s="8">
        <f>(CB_SMI_Mixto_MUY_BAJA!E18/1000000)*I$25</f>
        <v>2.902203907762559</v>
      </c>
      <c r="J47" s="8">
        <f>(CB_SMI_Mixto_MUY_BAJA!F18/1000000)*J$25</f>
        <v>3.8715113459300605</v>
      </c>
      <c r="K47" s="8">
        <f>(CB_SMI_Mixto_MUY_BAJA!G18/1000000)*K$25</f>
        <v>4.8416777286129822</v>
      </c>
      <c r="L47" s="8">
        <f>(CB_SMI_Mixto_MUY_BAJA!H18/1000000)*L$25</f>
        <v>5.8128115193044776</v>
      </c>
      <c r="M47" s="8">
        <f>(CB_SMI_Mixto_MUY_BAJA!I18/1000000)*M$25</f>
        <v>6.7846697401885532</v>
      </c>
      <c r="N47" s="8">
        <f>(CB_SMI_Mixto_MUY_BAJA!J18/1000000)*N$25</f>
        <v>7.7575398140553844</v>
      </c>
      <c r="O47" s="8">
        <f>(CB_SMI_Mixto_MUY_BAJA!K18/1000000)*O$25</f>
        <v>8.7313278377268269</v>
      </c>
      <c r="P47" s="8">
        <f>(CB_SMI_Mixto_MUY_BAJA!L18/1000000)*P$25</f>
        <v>9.7059333504000094</v>
      </c>
      <c r="Q47" s="8">
        <f>(CB_SMI_Mixto_MUY_BAJA!M18/1000000)*Q$25</f>
        <v>9.872320607999999</v>
      </c>
      <c r="R47" s="8">
        <f>(CB_SMI_Mixto_MUY_BAJA!N18/1000000)*R$25</f>
        <v>10.041636480000001</v>
      </c>
      <c r="S47" s="8">
        <f>(CB_SMI_Mixto_MUY_BAJA!O18/1000000)*S$25</f>
        <v>10.2139409088</v>
      </c>
      <c r="T47" s="8">
        <f>(CB_SMI_Mixto_MUY_BAJA!P18/1000000)*T$25</f>
        <v>10.3891011648</v>
      </c>
      <c r="U47" s="8">
        <f>(CB_SMI_Mixto_MUY_BAJA!Q18/1000000)*U$25</f>
        <v>10.567177190400001</v>
      </c>
      <c r="V47" s="30">
        <f>U47/$U$56</f>
        <v>0.18237741812057334</v>
      </c>
    </row>
    <row r="48" spans="2:22" x14ac:dyDescent="0.3">
      <c r="B48" s="80"/>
      <c r="C48" s="52" t="s">
        <v>62</v>
      </c>
      <c r="D48" s="53"/>
      <c r="E48" s="53"/>
      <c r="F48" s="8">
        <v>0</v>
      </c>
      <c r="G48" s="8">
        <f>(CB_SMI_Mixto_MUY_BAJA!C19/1000000)*G$25</f>
        <v>5.5836064480910289E-2</v>
      </c>
      <c r="H48" s="8">
        <f>(CB_SMI_Mixto_MUY_BAJA!D19/1000000)*H$25</f>
        <v>0.11172949740127737</v>
      </c>
      <c r="I48" s="8">
        <f>(CB_SMI_Mixto_MUY_BAJA!E19/1000000)*I$25</f>
        <v>0.16767686948060748</v>
      </c>
      <c r="J48" s="8">
        <f>(CB_SMI_Mixto_MUY_BAJA!F19/1000000)*J$25</f>
        <v>0.22367955066429895</v>
      </c>
      <c r="K48" s="8">
        <f>(CB_SMI_Mixto_MUY_BAJA!G19/1000000)*K$25</f>
        <v>0.2797326382856129</v>
      </c>
      <c r="L48" s="8">
        <f>(CB_SMI_Mixto_MUY_BAJA!H19/1000000)*L$25</f>
        <v>0.33584110037542414</v>
      </c>
      <c r="M48" s="8">
        <f>(CB_SMI_Mixto_MUY_BAJA!I19/1000000)*M$25</f>
        <v>0.39199233303988085</v>
      </c>
      <c r="N48" s="8">
        <f>(CB_SMI_Mixto_MUY_BAJA!J19/1000000)*N$25</f>
        <v>0.4482025471038103</v>
      </c>
      <c r="O48" s="8">
        <f>(CB_SMI_Mixto_MUY_BAJA!K19/1000000)*O$25</f>
        <v>0.50446563181382287</v>
      </c>
      <c r="P48" s="8">
        <f>(CB_SMI_Mixto_MUY_BAJA!L19/1000000)*P$25</f>
        <v>0.56077555726800066</v>
      </c>
      <c r="Q48" s="8">
        <f>(CB_SMI_Mixto_MUY_BAJA!M19/1000000)*Q$25</f>
        <v>0.57038953248000002</v>
      </c>
      <c r="R48" s="8">
        <f>(CB_SMI_Mixto_MUY_BAJA!N19/1000000)*R$25</f>
        <v>0.58017501531000004</v>
      </c>
      <c r="S48" s="8">
        <f>(CB_SMI_Mixto_MUY_BAJA!O19/1000000)*S$25</f>
        <v>0.59052063938400001</v>
      </c>
      <c r="T48" s="8">
        <f>(CB_SMI_Mixto_MUY_BAJA!P19/1000000)*T$25</f>
        <v>0.60104639142000005</v>
      </c>
      <c r="U48" s="8">
        <f>(CB_SMI_Mixto_MUY_BAJA!Q19/1000000)*U$25</f>
        <v>0.61175407431599993</v>
      </c>
      <c r="V48" s="30">
        <f t="shared" ref="V48:V55" si="6">U48/$U$56</f>
        <v>1.0558177135503312E-2</v>
      </c>
    </row>
    <row r="49" spans="2:24" x14ac:dyDescent="0.3">
      <c r="B49" s="80"/>
      <c r="C49" s="52" t="s">
        <v>95</v>
      </c>
      <c r="D49" s="53"/>
      <c r="E49" s="53"/>
      <c r="F49" s="8">
        <v>0</v>
      </c>
      <c r="G49" s="8">
        <f>(CB_SMI_Mixto_MUY_BAJA!C20/1000000)*G$25</f>
        <v>2.5068631257564844</v>
      </c>
      <c r="H49" s="8">
        <f>(CB_SMI_Mixto_MUY_BAJA!D20/1000000)*H$25</f>
        <v>5.0806087617307485</v>
      </c>
      <c r="I49" s="8">
        <f>(CB_SMI_Mixto_MUY_BAJA!E20/1000000)*I$25</f>
        <v>7.7224997564895403</v>
      </c>
      <c r="J49" s="8">
        <f>(CB_SMI_Mixto_MUY_BAJA!F20/1000000)*J$25</f>
        <v>10.433905638792528</v>
      </c>
      <c r="K49" s="8">
        <f>(CB_SMI_Mixto_MUY_BAJA!G20/1000000)*K$25</f>
        <v>13.21601431589462</v>
      </c>
      <c r="L49" s="8">
        <f>(CB_SMI_Mixto_MUY_BAJA!H20/1000000)*L$25</f>
        <v>16.070260669306947</v>
      </c>
      <c r="M49" s="8">
        <f>(CB_SMI_Mixto_MUY_BAJA!I20/1000000)*M$25</f>
        <v>18.997977049145593</v>
      </c>
      <c r="N49" s="8">
        <f>(CB_SMI_Mixto_MUY_BAJA!J20/1000000)*N$25</f>
        <v>22.000750027233547</v>
      </c>
      <c r="O49" s="8">
        <f>(CB_SMI_Mixto_MUY_BAJA!K20/1000000)*O$25</f>
        <v>25.079969972888666</v>
      </c>
      <c r="P49" s="8">
        <f>(CB_SMI_Mixto_MUY_BAJA!L20/1000000)*P$25</f>
        <v>28.237190615377401</v>
      </c>
      <c r="Q49" s="8">
        <f>(CB_SMI_Mixto_MUY_BAJA!M20/1000000)*Q$25</f>
        <v>29.08995377196176</v>
      </c>
      <c r="R49" s="8">
        <f>(CB_SMI_Mixto_MUY_BAJA!N20/1000000)*R$25</f>
        <v>29.968470375875</v>
      </c>
      <c r="S49" s="8">
        <f>(CB_SMI_Mixto_MUY_BAJA!O20/1000000)*S$25</f>
        <v>30.87351818122643</v>
      </c>
      <c r="T49" s="8">
        <f>(CB_SMI_Mixto_MUY_BAJA!P20/1000000)*T$25</f>
        <v>31.805898430299468</v>
      </c>
      <c r="U49" s="8">
        <f>(CB_SMI_Mixto_MUY_BAJA!Q20/1000000)*U$25</f>
        <v>32.766436562894505</v>
      </c>
      <c r="V49" s="30">
        <f t="shared" si="6"/>
        <v>0.56551129915576326</v>
      </c>
    </row>
    <row r="50" spans="2:24" x14ac:dyDescent="0.3">
      <c r="B50" s="80"/>
      <c r="C50" s="52" t="s">
        <v>96</v>
      </c>
      <c r="D50" s="53"/>
      <c r="E50" s="53"/>
      <c r="F50" s="8">
        <v>0</v>
      </c>
      <c r="G50" s="8">
        <f>(CB_SMI_Mixto_MUY_BAJA!C21/1000000)*G$25</f>
        <v>4.0811044906815336E-2</v>
      </c>
      <c r="H50" s="8">
        <f>(CB_SMI_Mixto_MUY_BAJA!D21/1000000)*H$25</f>
        <v>8.0286273303083119E-2</v>
      </c>
      <c r="I50" s="8">
        <f>(CB_SMI_Mixto_MUY_BAJA!E21/1000000)*I$25</f>
        <v>0.11845732041140243</v>
      </c>
      <c r="J50" s="8">
        <f>(CB_SMI_Mixto_MUY_BAJA!F21/1000000)*J$25</f>
        <v>0.15535647559849305</v>
      </c>
      <c r="K50" s="8">
        <f>(CB_SMI_Mixto_MUY_BAJA!G21/1000000)*K$25</f>
        <v>0.19101233360715361</v>
      </c>
      <c r="L50" s="8">
        <f>(CB_SMI_Mixto_MUY_BAJA!H21/1000000)*L$25</f>
        <v>0.22545625345776174</v>
      </c>
      <c r="M50" s="8">
        <f>(CB_SMI_Mixto_MUY_BAJA!I21/1000000)*M$25</f>
        <v>0.25871712566048155</v>
      </c>
      <c r="N50" s="8">
        <f>(CB_SMI_Mixto_MUY_BAJA!J21/1000000)*N$25</f>
        <v>0.29082635483819202</v>
      </c>
      <c r="O50" s="8">
        <f>(CB_SMI_Mixto_MUY_BAJA!K21/1000000)*O$25</f>
        <v>0.32181163365802873</v>
      </c>
      <c r="P50" s="8">
        <f>(CB_SMI_Mixto_MUY_BAJA!L21/1000000)*P$25</f>
        <v>0.35170186218964689</v>
      </c>
      <c r="Q50" s="8">
        <f>(CB_SMI_Mixto_MUY_BAJA!M21/1000000)*Q$25</f>
        <v>0.3517018621896465</v>
      </c>
      <c r="R50" s="8">
        <f>(CB_SMI_Mixto_MUY_BAJA!N21/1000000)*R$25</f>
        <v>0.3517018621896465</v>
      </c>
      <c r="S50" s="8">
        <f>(CB_SMI_Mixto_MUY_BAJA!O21/1000000)*S$25</f>
        <v>0.3517018621896465</v>
      </c>
      <c r="T50" s="8">
        <f>(CB_SMI_Mixto_MUY_BAJA!P21/1000000)*T$25</f>
        <v>0.3517018621896465</v>
      </c>
      <c r="U50" s="8">
        <f>(CB_SMI_Mixto_MUY_BAJA!Q21/1000000)*U$25</f>
        <v>0.3517018621896465</v>
      </c>
      <c r="V50" s="30">
        <f t="shared" si="6"/>
        <v>6.069972748504412E-3</v>
      </c>
      <c r="W50" s="31">
        <f>1700*0.4</f>
        <v>680</v>
      </c>
      <c r="X50" s="31">
        <f>1700*0.23</f>
        <v>391</v>
      </c>
    </row>
    <row r="51" spans="2:24" x14ac:dyDescent="0.3">
      <c r="B51" s="80"/>
      <c r="C51" s="52" t="s">
        <v>140</v>
      </c>
      <c r="D51" s="53"/>
      <c r="E51" s="53"/>
      <c r="F51" s="8">
        <v>0</v>
      </c>
      <c r="G51" s="8">
        <f>(CB_SMI_Mixto_MUY_BAJA!C22/1000000)*G$25</f>
        <v>0</v>
      </c>
      <c r="H51" s="8">
        <f>(CB_SMI_Mixto_MUY_BAJA!D22/1000000)*H$25</f>
        <v>0</v>
      </c>
      <c r="I51" s="8">
        <f>(CB_SMI_Mixto_MUY_BAJA!E22/1000000)*I$25</f>
        <v>0</v>
      </c>
      <c r="J51" s="8">
        <f>(CB_SMI_Mixto_MUY_BAJA!F22/1000000)*J$25</f>
        <v>0</v>
      </c>
      <c r="K51" s="8">
        <f>(CB_SMI_Mixto_MUY_BAJA!G22/1000000)*K$25</f>
        <v>0</v>
      </c>
      <c r="L51" s="8">
        <f>(CB_SMI_Mixto_MUY_BAJA!H22/1000000)*L$25</f>
        <v>0</v>
      </c>
      <c r="M51" s="8">
        <f>(CB_SMI_Mixto_MUY_BAJA!I22/1000000)*M$25</f>
        <v>0</v>
      </c>
      <c r="N51" s="8">
        <f>(CB_SMI_Mixto_MUY_BAJA!J22/1000000)*N$25</f>
        <v>0</v>
      </c>
      <c r="O51" s="8">
        <f>(CB_SMI_Mixto_MUY_BAJA!K22/1000000)*O$25</f>
        <v>0</v>
      </c>
      <c r="P51" s="8">
        <f>(CB_SMI_Mixto_MUY_BAJA!L22/1000000)*P$25</f>
        <v>0</v>
      </c>
      <c r="Q51" s="8">
        <f>(CB_SMI_Mixto_MUY_BAJA!M22/1000000)*Q$25</f>
        <v>0</v>
      </c>
      <c r="R51" s="8">
        <f>(CB_SMI_Mixto_MUY_BAJA!N22/1000000)*R$25</f>
        <v>0</v>
      </c>
      <c r="S51" s="8">
        <f>(CB_SMI_Mixto_MUY_BAJA!O22/1000000)*S$25</f>
        <v>0</v>
      </c>
      <c r="T51" s="8">
        <f>(CB_SMI_Mixto_MUY_BAJA!P22/1000000)*T$25</f>
        <v>0</v>
      </c>
      <c r="U51" s="8">
        <f>(CB_SMI_Mixto_MUY_BAJA!Q22/1000000)*U$25</f>
        <v>0</v>
      </c>
      <c r="V51" s="30">
        <f t="shared" si="6"/>
        <v>0</v>
      </c>
      <c r="W51" s="32">
        <f>+W50*0.06</f>
        <v>40.799999999999997</v>
      </c>
      <c r="X51" s="32">
        <f>+X50*0.06</f>
        <v>23.46</v>
      </c>
    </row>
    <row r="52" spans="2:24" x14ac:dyDescent="0.3">
      <c r="B52" s="80"/>
      <c r="C52" s="52" t="s">
        <v>98</v>
      </c>
      <c r="D52" s="53"/>
      <c r="E52" s="53"/>
      <c r="F52" s="8">
        <v>0</v>
      </c>
      <c r="G52" s="8">
        <f>(CB_SMI_Mixto_MUY_BAJA!C23/1000000)*G$25</f>
        <v>0</v>
      </c>
      <c r="H52" s="8">
        <f>(CB_SMI_Mixto_MUY_BAJA!D23/1000000)*H$25</f>
        <v>0</v>
      </c>
      <c r="I52" s="8">
        <f>(CB_SMI_Mixto_MUY_BAJA!E23/1000000)*I$25</f>
        <v>0</v>
      </c>
      <c r="J52" s="8">
        <f>(CB_SMI_Mixto_MUY_BAJA!F23/1000000)*J$25</f>
        <v>0</v>
      </c>
      <c r="K52" s="8">
        <f>(CB_SMI_Mixto_MUY_BAJA!G23/1000000)*K$25</f>
        <v>0</v>
      </c>
      <c r="L52" s="8">
        <f>(CB_SMI_Mixto_MUY_BAJA!H23/1000000)*L$25</f>
        <v>0</v>
      </c>
      <c r="M52" s="8">
        <f>(CB_SMI_Mixto_MUY_BAJA!I23/1000000)*M$25</f>
        <v>0</v>
      </c>
      <c r="N52" s="8">
        <f>(CB_SMI_Mixto_MUY_BAJA!J23/1000000)*N$25</f>
        <v>0</v>
      </c>
      <c r="O52" s="8">
        <f>(CB_SMI_Mixto_MUY_BAJA!K23/1000000)*O$25</f>
        <v>0</v>
      </c>
      <c r="P52" s="8">
        <f>(CB_SMI_Mixto_MUY_BAJA!L23/1000000)*P$25</f>
        <v>0</v>
      </c>
      <c r="Q52" s="8">
        <f>(CB_SMI_Mixto_MUY_BAJA!M23/1000000)*Q$25</f>
        <v>0</v>
      </c>
      <c r="R52" s="8">
        <f>(CB_SMI_Mixto_MUY_BAJA!N23/1000000)*R$25</f>
        <v>0</v>
      </c>
      <c r="S52" s="8">
        <f>(CB_SMI_Mixto_MUY_BAJA!O23/1000000)*S$25</f>
        <v>0</v>
      </c>
      <c r="T52" s="8">
        <f>(CB_SMI_Mixto_MUY_BAJA!P23/1000000)*T$25</f>
        <v>0</v>
      </c>
      <c r="U52" s="8">
        <f>(CB_SMI_Mixto_MUY_BAJA!Q23/1000000)*U$25</f>
        <v>0</v>
      </c>
      <c r="V52" s="30">
        <f t="shared" si="6"/>
        <v>0</v>
      </c>
      <c r="W52" s="32">
        <f>+W51/7</f>
        <v>5.8285714285714283</v>
      </c>
      <c r="X52" s="32">
        <f>+X51/7</f>
        <v>3.3514285714285714</v>
      </c>
    </row>
    <row r="53" spans="2:24" x14ac:dyDescent="0.3">
      <c r="B53" s="80"/>
      <c r="C53" s="52" t="s">
        <v>63</v>
      </c>
      <c r="D53" s="53"/>
      <c r="E53" s="53"/>
      <c r="F53" s="8">
        <v>0</v>
      </c>
      <c r="G53" s="8">
        <f>(CB_SMI_Mixto_MUY_BAJA!C24/1000000)*G$25</f>
        <v>0.44216425392296699</v>
      </c>
      <c r="H53" s="8">
        <f>(CB_SMI_Mixto_MUY_BAJA!D24/1000000)*H$25</f>
        <v>0.93572932817875498</v>
      </c>
      <c r="I53" s="8">
        <f>(CB_SMI_Mixto_MUY_BAJA!E24/1000000)*I$25</f>
        <v>1.4733520486401626</v>
      </c>
      <c r="J53" s="8">
        <f>(CB_SMI_Mixto_MUY_BAJA!F24/1000000)*J$25</f>
        <v>2.0487602175823594</v>
      </c>
      <c r="K53" s="8">
        <f>(CB_SMI_Mixto_MUY_BAJA!G24/1000000)*K$25</f>
        <v>2.6560062495193986</v>
      </c>
      <c r="L53" s="8">
        <f>(CB_SMI_Mixto_MUY_BAJA!H24/1000000)*L$25</f>
        <v>3.2866509253720513</v>
      </c>
      <c r="M53" s="8">
        <f>(CB_SMI_Mixto_MUY_BAJA!I24/1000000)*M$25</f>
        <v>3.9391507879835186</v>
      </c>
      <c r="N53" s="8">
        <f>(CB_SMI_Mixto_MUY_BAJA!J24/1000000)*N$25</f>
        <v>4.6077289952677578</v>
      </c>
      <c r="O53" s="8">
        <f>(CB_SMI_Mixto_MUY_BAJA!K24/1000000)*O$25</f>
        <v>5.2852011105332322</v>
      </c>
      <c r="P53" s="8">
        <f>(CB_SMI_Mixto_MUY_BAJA!L24/1000000)*P$25</f>
        <v>5.9718972071333676</v>
      </c>
      <c r="Q53" s="8">
        <f>(CB_SMI_Mixto_MUY_BAJA!M24/1000000)*Q$25</f>
        <v>6.1556500347463832</v>
      </c>
      <c r="R53" s="8">
        <f>(CB_SMI_Mixto_MUY_BAJA!N24/1000000)*R$25</f>
        <v>6.3338410402999505</v>
      </c>
      <c r="S53" s="8">
        <f>(CB_SMI_Mixto_MUY_BAJA!O24/1000000)*S$25</f>
        <v>6.4973299123931838</v>
      </c>
      <c r="T53" s="8">
        <f>(CB_SMI_Mixto_MUY_BAJA!P24/1000000)*T$25</f>
        <v>6.6521681422732923</v>
      </c>
      <c r="U53" s="8">
        <f>(CB_SMI_Mixto_MUY_BAJA!Q24/1000000)*U$25</f>
        <v>6.7997434037467643</v>
      </c>
      <c r="V53" s="30">
        <f t="shared" si="6"/>
        <v>0.11735581068748899</v>
      </c>
      <c r="W53" s="32">
        <f>+W52/12</f>
        <v>0.48571428571428571</v>
      </c>
      <c r="X53" s="32">
        <f>+X52/12</f>
        <v>0.2792857142857143</v>
      </c>
    </row>
    <row r="54" spans="2:24" x14ac:dyDescent="0.3">
      <c r="B54" s="80"/>
      <c r="C54" s="52" t="s">
        <v>99</v>
      </c>
      <c r="D54" s="53"/>
      <c r="E54" s="53"/>
      <c r="F54" s="8">
        <v>0</v>
      </c>
      <c r="G54" s="8">
        <f>(CB_SMI_Mixto_MUY_BAJA!C25/1000000)*G$25</f>
        <v>0.18944069517147216</v>
      </c>
      <c r="H54" s="8">
        <f>(CB_SMI_Mixto_MUY_BAJA!D25/1000000)*H$25</f>
        <v>0.37907603008255758</v>
      </c>
      <c r="I54" s="8">
        <f>(CB_SMI_Mixto_MUY_BAJA!E25/1000000)*I$25</f>
        <v>0.5688943698645258</v>
      </c>
      <c r="J54" s="8">
        <f>(CB_SMI_Mixto_MUY_BAJA!F25/1000000)*J$25</f>
        <v>0.75890036247046933</v>
      </c>
      <c r="K54" s="8">
        <f>(CB_SMI_Mixto_MUY_BAJA!G25/1000000)*K$25</f>
        <v>0.94907737412428272</v>
      </c>
      <c r="L54" s="8">
        <f>(CB_SMI_Mixto_MUY_BAJA!H25/1000000)*L$25</f>
        <v>1.1394422603696241</v>
      </c>
      <c r="M54" s="8">
        <f>(CB_SMI_Mixto_MUY_BAJA!I25/1000000)*M$25</f>
        <v>1.3299522586938528</v>
      </c>
      <c r="N54" s="8">
        <f>(CB_SMI_Mixto_MUY_BAJA!J25/1000000)*N$25</f>
        <v>1.5206623692111991</v>
      </c>
      <c r="O54" s="8">
        <f>(CB_SMI_Mixto_MUY_BAJA!K25/1000000)*O$25</f>
        <v>1.7115518593470989</v>
      </c>
      <c r="P54" s="8">
        <f>(CB_SMI_Mixto_MUY_BAJA!L25/1000000)*P$25</f>
        <v>1.9026002708400021</v>
      </c>
      <c r="Q54" s="8">
        <f>(CB_SMI_Mixto_MUY_BAJA!M25/1000000)*Q$25</f>
        <v>1.9352185823999999</v>
      </c>
      <c r="R54" s="8">
        <f>(CB_SMI_Mixto_MUY_BAJA!N25/1000000)*R$25</f>
        <v>1.9684187853000001</v>
      </c>
      <c r="S54" s="8">
        <f>(CB_SMI_Mixto_MUY_BAJA!O25/1000000)*S$25</f>
        <v>2.0021946494400003</v>
      </c>
      <c r="T54" s="8">
        <f>(CB_SMI_Mixto_MUY_BAJA!P25/1000000)*T$25</f>
        <v>2.0365362066600001</v>
      </c>
      <c r="U54" s="8">
        <f>(CB_SMI_Mixto_MUY_BAJA!Q25/1000000)*U$25</f>
        <v>2.0714484410399998</v>
      </c>
      <c r="V54" s="30">
        <f t="shared" si="6"/>
        <v>3.5750835974433161E-2</v>
      </c>
    </row>
    <row r="55" spans="2:24" x14ac:dyDescent="0.3">
      <c r="B55" s="80"/>
      <c r="C55" s="52" t="s">
        <v>97</v>
      </c>
      <c r="D55" s="53"/>
      <c r="E55" s="53"/>
      <c r="F55" s="8">
        <v>0</v>
      </c>
      <c r="G55" s="8">
        <f>(CB_SMI_Mixto_MUY_BAJA!C26/1000000)*G$25</f>
        <v>0.53094645666553852</v>
      </c>
      <c r="H55" s="8">
        <f>(CB_SMI_Mixto_MUY_BAJA!D26/1000000)*H$25</f>
        <v>1.0453042379573376</v>
      </c>
      <c r="I55" s="8">
        <f>(CB_SMI_Mixto_MUY_BAJA!E26/1000000)*I$25</f>
        <v>1.559277698006861</v>
      </c>
      <c r="J55" s="8">
        <f>(CB_SMI_Mixto_MUY_BAJA!F26/1000000)*J$25</f>
        <v>2.0497847689718673</v>
      </c>
      <c r="K55" s="8">
        <f>(CB_SMI_Mixto_MUY_BAJA!G26/1000000)*K$25</f>
        <v>2.5240688906240289</v>
      </c>
      <c r="L55" s="8">
        <f>(CB_SMI_Mixto_MUY_BAJA!H26/1000000)*L$25</f>
        <v>2.982478226070727</v>
      </c>
      <c r="M55" s="8">
        <f>(CB_SMI_Mixto_MUY_BAJA!I26/1000000)*M$25</f>
        <v>3.4261267235395785</v>
      </c>
      <c r="N55" s="8">
        <f>(CB_SMI_Mixto_MUY_BAJA!J26/1000000)*N$25</f>
        <v>3.8831745744357637</v>
      </c>
      <c r="O55" s="8">
        <f>(CB_SMI_Mixto_MUY_BAJA!K26/1000000)*O$25</f>
        <v>4.3059991290626352</v>
      </c>
      <c r="P55" s="8">
        <f>(CB_SMI_Mixto_MUY_BAJA!L26/1000000)*P$25</f>
        <v>4.713822900227278</v>
      </c>
      <c r="Q55" s="8">
        <f>(CB_SMI_Mixto_MUY_BAJA!M26/1000000)*Q$25</f>
        <v>4.7217196311363629</v>
      </c>
      <c r="R55" s="8">
        <f>(CB_SMI_Mixto_MUY_BAJA!N26/1000000)*R$25</f>
        <v>4.7310835018181816</v>
      </c>
      <c r="S55" s="8">
        <f>(CB_SMI_Mixto_MUY_BAJA!O26/1000000)*S$25</f>
        <v>4.7450137202272735</v>
      </c>
      <c r="T55" s="8">
        <f>(CB_SMI_Mixto_MUY_BAJA!P26/1000000)*T$25</f>
        <v>4.7589849584090897</v>
      </c>
      <c r="U55" s="8">
        <f>(CB_SMI_Mixto_MUY_BAJA!Q26/1000000)*U$25</f>
        <v>4.772997308181818</v>
      </c>
      <c r="V55" s="30">
        <f t="shared" si="6"/>
        <v>8.2376486177733507E-2</v>
      </c>
    </row>
    <row r="56" spans="2:24" x14ac:dyDescent="0.3">
      <c r="B56" s="81"/>
      <c r="C56" s="82" t="s">
        <v>132</v>
      </c>
      <c r="D56" s="82"/>
      <c r="E56" s="82"/>
      <c r="F56" s="14">
        <f t="shared" ref="F56:T56" si="7">SUM(F47:F55)</f>
        <v>0</v>
      </c>
      <c r="G56" s="14">
        <f t="shared" si="7"/>
        <v>4.7324943339479333</v>
      </c>
      <c r="H56" s="14">
        <f t="shared" si="7"/>
        <v>9.5665852905110356</v>
      </c>
      <c r="I56" s="14">
        <f t="shared" si="7"/>
        <v>14.512361970655657</v>
      </c>
      <c r="J56" s="14">
        <f t="shared" si="7"/>
        <v>19.54189836001008</v>
      </c>
      <c r="K56" s="14">
        <f t="shared" si="7"/>
        <v>24.65758953066808</v>
      </c>
      <c r="L56" s="14">
        <f t="shared" si="7"/>
        <v>29.852940954257008</v>
      </c>
      <c r="M56" s="14">
        <f t="shared" si="7"/>
        <v>35.128586018251461</v>
      </c>
      <c r="N56" s="14">
        <f t="shared" si="7"/>
        <v>40.508884682145656</v>
      </c>
      <c r="O56" s="14">
        <f t="shared" si="7"/>
        <v>45.940327175030305</v>
      </c>
      <c r="P56" s="14">
        <f t="shared" si="7"/>
        <v>51.443921763435711</v>
      </c>
      <c r="Q56" s="14">
        <f t="shared" si="7"/>
        <v>52.696954022914156</v>
      </c>
      <c r="R56" s="14">
        <f t="shared" si="7"/>
        <v>53.975327060792786</v>
      </c>
      <c r="S56" s="14">
        <f t="shared" si="7"/>
        <v>55.274219873660542</v>
      </c>
      <c r="T56" s="14">
        <f t="shared" si="7"/>
        <v>56.595437156051496</v>
      </c>
      <c r="U56" s="14">
        <f>SUM(U47:U55)</f>
        <v>57.941258842768733</v>
      </c>
    </row>
    <row r="58" spans="2:24" x14ac:dyDescent="0.3">
      <c r="B58" s="42" t="s">
        <v>64</v>
      </c>
      <c r="C58" s="43"/>
      <c r="D58" s="43"/>
      <c r="E58" s="43"/>
      <c r="F58" s="33">
        <f>F45+F56</f>
        <v>-32.114674630526316</v>
      </c>
      <c r="G58" s="33">
        <f>G45+G56</f>
        <v>-30.775166483895468</v>
      </c>
      <c r="H58" s="33">
        <f t="shared" ref="H58:U58" si="8">H45+H56</f>
        <v>-27.600191394099916</v>
      </c>
      <c r="I58" s="33">
        <f t="shared" si="8"/>
        <v>-24.313822184618839</v>
      </c>
      <c r="J58" s="33">
        <f t="shared" si="8"/>
        <v>-20.943606501410116</v>
      </c>
      <c r="K58" s="33">
        <f t="shared" si="8"/>
        <v>-17.487776481813153</v>
      </c>
      <c r="L58" s="33">
        <f t="shared" si="8"/>
        <v>-13.952155281656793</v>
      </c>
      <c r="M58" s="33">
        <f t="shared" si="8"/>
        <v>-10.336464366648052</v>
      </c>
      <c r="N58" s="33">
        <f t="shared" si="8"/>
        <v>-6.6159895678570777</v>
      </c>
      <c r="O58" s="33">
        <f t="shared" si="8"/>
        <v>-2.8598361221649498</v>
      </c>
      <c r="P58" s="33">
        <f t="shared" si="8"/>
        <v>0.98169704628335808</v>
      </c>
      <c r="Q58" s="33">
        <f t="shared" si="8"/>
        <v>30.159754727698605</v>
      </c>
      <c r="R58" s="33">
        <f t="shared" si="8"/>
        <v>31.060583372316898</v>
      </c>
      <c r="S58" s="33">
        <f t="shared" si="8"/>
        <v>31.975467161389378</v>
      </c>
      <c r="T58" s="33">
        <f t="shared" si="8"/>
        <v>32.908070806717888</v>
      </c>
      <c r="U58" s="33">
        <f t="shared" si="8"/>
        <v>33.859280245477891</v>
      </c>
    </row>
    <row r="60" spans="2:24" x14ac:dyDescent="0.3">
      <c r="B60" s="42" t="s">
        <v>156</v>
      </c>
      <c r="C60" s="43"/>
      <c r="D60" s="43"/>
      <c r="E60" s="43"/>
      <c r="F60" s="33">
        <v>0</v>
      </c>
      <c r="G60" s="33">
        <f>F61</f>
        <v>-32.114674630526316</v>
      </c>
      <c r="H60" s="33">
        <f t="shared" ref="H60:U60" si="9">G61</f>
        <v>-62.889841114421785</v>
      </c>
      <c r="I60" s="33">
        <f t="shared" si="9"/>
        <v>-90.490032508521693</v>
      </c>
      <c r="J60" s="33">
        <f t="shared" si="9"/>
        <v>-114.80385469314054</v>
      </c>
      <c r="K60" s="33">
        <f t="shared" si="9"/>
        <v>-135.74746119455065</v>
      </c>
      <c r="L60" s="33">
        <f>K61</f>
        <v>-153.23523767636379</v>
      </c>
      <c r="M60" s="33">
        <f t="shared" si="9"/>
        <v>-167.18739295802058</v>
      </c>
      <c r="N60" s="33">
        <f t="shared" si="9"/>
        <v>-177.52385732466863</v>
      </c>
      <c r="O60" s="33">
        <f t="shared" si="9"/>
        <v>-184.1398468925257</v>
      </c>
      <c r="P60" s="33">
        <f t="shared" si="9"/>
        <v>-186.99968301469065</v>
      </c>
      <c r="Q60" s="33">
        <f t="shared" si="9"/>
        <v>-186.01798596840729</v>
      </c>
      <c r="R60" s="33">
        <f t="shared" si="9"/>
        <v>-155.85823124070868</v>
      </c>
      <c r="S60" s="33">
        <f t="shared" si="9"/>
        <v>-124.79764786839178</v>
      </c>
      <c r="T60" s="33">
        <f t="shared" si="9"/>
        <v>-92.822180707002403</v>
      </c>
      <c r="U60" s="33">
        <f t="shared" si="9"/>
        <v>-59.914109900284515</v>
      </c>
    </row>
    <row r="61" spans="2:24" x14ac:dyDescent="0.3">
      <c r="B61" s="42" t="s">
        <v>109</v>
      </c>
      <c r="C61" s="43"/>
      <c r="D61" s="43"/>
      <c r="E61" s="43"/>
      <c r="F61" s="33">
        <f>F58+F60</f>
        <v>-32.114674630526316</v>
      </c>
      <c r="G61" s="33">
        <f>G58+G60</f>
        <v>-62.889841114421785</v>
      </c>
      <c r="H61" s="33">
        <f t="shared" ref="H61:U61" si="10">H58+H60</f>
        <v>-90.490032508521693</v>
      </c>
      <c r="I61" s="33">
        <f t="shared" si="10"/>
        <v>-114.80385469314054</v>
      </c>
      <c r="J61" s="33">
        <f t="shared" si="10"/>
        <v>-135.74746119455065</v>
      </c>
      <c r="K61" s="33">
        <f t="shared" si="10"/>
        <v>-153.23523767636379</v>
      </c>
      <c r="L61" s="33">
        <f t="shared" si="10"/>
        <v>-167.18739295802058</v>
      </c>
      <c r="M61" s="33">
        <f t="shared" si="10"/>
        <v>-177.52385732466863</v>
      </c>
      <c r="N61" s="33">
        <f t="shared" si="10"/>
        <v>-184.1398468925257</v>
      </c>
      <c r="O61" s="33">
        <f t="shared" si="10"/>
        <v>-186.99968301469065</v>
      </c>
      <c r="P61" s="33">
        <f t="shared" si="10"/>
        <v>-186.01798596840729</v>
      </c>
      <c r="Q61" s="33">
        <f t="shared" si="10"/>
        <v>-155.85823124070868</v>
      </c>
      <c r="R61" s="33">
        <f t="shared" si="10"/>
        <v>-124.79764786839178</v>
      </c>
      <c r="S61" s="33">
        <f t="shared" si="10"/>
        <v>-92.822180707002403</v>
      </c>
      <c r="T61" s="33">
        <f t="shared" si="10"/>
        <v>-59.914109900284515</v>
      </c>
      <c r="U61" s="33">
        <f t="shared" si="10"/>
        <v>-26.054829654806625</v>
      </c>
    </row>
    <row r="62" spans="2:24" x14ac:dyDescent="0.3"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2:24" x14ac:dyDescent="0.3">
      <c r="B63" s="89" t="s">
        <v>157</v>
      </c>
      <c r="C63" s="90"/>
      <c r="D63" s="90"/>
      <c r="E63" s="90"/>
      <c r="F63" s="35">
        <f>F58/(1+0.06)^F27</f>
        <v>-32.114674630526316</v>
      </c>
      <c r="G63" s="35">
        <f>G58/(1+0.06)^G27</f>
        <v>-29.033175928203271</v>
      </c>
      <c r="H63" s="35">
        <f t="shared" ref="H63:T63" si="11">H58/(1+0.06)^H27</f>
        <v>-24.564072084460584</v>
      </c>
      <c r="I63" s="35">
        <f t="shared" si="11"/>
        <v>-20.414353950424541</v>
      </c>
      <c r="J63" s="35">
        <f t="shared" si="11"/>
        <v>-16.589297995117558</v>
      </c>
      <c r="K63" s="35">
        <f t="shared" si="11"/>
        <v>-13.067883901289697</v>
      </c>
      <c r="L63" s="35">
        <f t="shared" si="11"/>
        <v>-9.8357189276550567</v>
      </c>
      <c r="M63" s="35">
        <f>M58/(1+0.06)^M27</f>
        <v>-6.8743391567430807</v>
      </c>
      <c r="N63" s="35">
        <f t="shared" si="11"/>
        <v>-4.1509537035419948</v>
      </c>
      <c r="O63" s="35">
        <f t="shared" si="11"/>
        <v>-1.6927326066570987</v>
      </c>
      <c r="P63" s="35">
        <f t="shared" si="11"/>
        <v>0.54817450315762584</v>
      </c>
      <c r="Q63" s="35">
        <f t="shared" si="11"/>
        <v>15.887782559422577</v>
      </c>
      <c r="R63" s="35">
        <f t="shared" si="11"/>
        <v>15.436158350870693</v>
      </c>
      <c r="S63" s="35">
        <f t="shared" si="11"/>
        <v>14.991346759691469</v>
      </c>
      <c r="T63" s="35">
        <f t="shared" si="11"/>
        <v>14.555271453685883</v>
      </c>
      <c r="U63" s="35">
        <f>U58/(1+0.06)^U27</f>
        <v>14.128294628091014</v>
      </c>
    </row>
    <row r="64" spans="2:24" x14ac:dyDescent="0.3">
      <c r="B64" s="89" t="s">
        <v>158</v>
      </c>
      <c r="C64" s="90"/>
      <c r="D64" s="90"/>
      <c r="E64" s="90"/>
      <c r="F64" s="35">
        <f>F63</f>
        <v>-32.114674630526316</v>
      </c>
      <c r="G64" s="35">
        <f>F64+G63</f>
        <v>-61.147850558729587</v>
      </c>
      <c r="H64" s="35">
        <f t="shared" ref="H64:U64" si="12">G64+H63</f>
        <v>-85.711922643190178</v>
      </c>
      <c r="I64" s="35">
        <f t="shared" si="12"/>
        <v>-106.12627659361472</v>
      </c>
      <c r="J64" s="35">
        <f t="shared" si="12"/>
        <v>-122.71557458873228</v>
      </c>
      <c r="K64" s="35">
        <f t="shared" si="12"/>
        <v>-135.78345849002199</v>
      </c>
      <c r="L64" s="35">
        <f t="shared" si="12"/>
        <v>-145.61917741767704</v>
      </c>
      <c r="M64" s="35">
        <f t="shared" si="12"/>
        <v>-152.49351657442011</v>
      </c>
      <c r="N64" s="35">
        <f t="shared" si="12"/>
        <v>-156.64447027796211</v>
      </c>
      <c r="O64" s="35">
        <f t="shared" si="12"/>
        <v>-158.33720288461922</v>
      </c>
      <c r="P64" s="35">
        <f t="shared" si="12"/>
        <v>-157.78902838146158</v>
      </c>
      <c r="Q64" s="35">
        <f t="shared" si="12"/>
        <v>-141.90124582203899</v>
      </c>
      <c r="R64" s="35">
        <f t="shared" si="12"/>
        <v>-126.46508747116829</v>
      </c>
      <c r="S64" s="35">
        <f t="shared" si="12"/>
        <v>-111.47374071147682</v>
      </c>
      <c r="T64" s="35">
        <f t="shared" si="12"/>
        <v>-96.918469257790946</v>
      </c>
      <c r="U64" s="35">
        <f t="shared" si="12"/>
        <v>-82.790174629699933</v>
      </c>
    </row>
    <row r="67" spans="2:20" x14ac:dyDescent="0.3">
      <c r="B67" s="91" t="s">
        <v>159</v>
      </c>
      <c r="C67" s="91"/>
      <c r="D67" s="36">
        <f>J4</f>
        <v>0.06</v>
      </c>
      <c r="H67" s="85" t="s">
        <v>160</v>
      </c>
      <c r="I67" s="85"/>
      <c r="J67" s="85" t="s">
        <v>161</v>
      </c>
      <c r="K67" s="85"/>
      <c r="L67" s="85" t="s">
        <v>162</v>
      </c>
      <c r="M67" s="85"/>
    </row>
    <row r="68" spans="2:20" x14ac:dyDescent="0.3">
      <c r="B68" s="47"/>
      <c r="C68" s="47"/>
      <c r="F68" s="86" t="s">
        <v>163</v>
      </c>
      <c r="G68" s="86"/>
      <c r="H68" s="87">
        <f>NPV(D67,G45:U45)+F45</f>
        <v>-397.30791245348496</v>
      </c>
      <c r="I68" s="87"/>
      <c r="J68" s="87">
        <f>H68*1000000/$D$76</f>
        <v>-308.4351111046733</v>
      </c>
      <c r="K68" s="87"/>
      <c r="L68" s="88">
        <f>J68*$S$4</f>
        <v>-295900.3081893794</v>
      </c>
      <c r="M68" s="88"/>
      <c r="S68" s="6"/>
      <c r="T68" s="6"/>
    </row>
    <row r="69" spans="2:20" x14ac:dyDescent="0.3">
      <c r="B69" s="70" t="s">
        <v>110</v>
      </c>
      <c r="C69" s="70"/>
      <c r="D69" s="38">
        <f>NPV(D67,G58:U58)+F58</f>
        <v>-82.790174629699919</v>
      </c>
      <c r="F69" s="95" t="s">
        <v>164</v>
      </c>
      <c r="G69" s="95"/>
      <c r="H69" s="96">
        <f>PMT(D67,15,-H68)</f>
        <v>-40.907920807526224</v>
      </c>
      <c r="I69" s="96"/>
      <c r="J69" s="96">
        <f>H69*1000000/$D$76</f>
        <v>-31.757331540201129</v>
      </c>
      <c r="K69" s="96"/>
      <c r="L69" s="97">
        <f t="shared" ref="L69" si="13">J69*$S$4</f>
        <v>-30466.713586407357</v>
      </c>
      <c r="M69" s="97"/>
    </row>
    <row r="70" spans="2:20" x14ac:dyDescent="0.3">
      <c r="B70" s="70" t="s">
        <v>111</v>
      </c>
      <c r="C70" s="70"/>
      <c r="D70" s="39">
        <f>IRR(F58:U58)</f>
        <v>-1.4907671388106891E-2</v>
      </c>
      <c r="F70" s="92" t="s">
        <v>165</v>
      </c>
      <c r="G70" s="92"/>
      <c r="H70" s="93">
        <f>H69/12</f>
        <v>-3.4089934006271854</v>
      </c>
      <c r="I70" s="93"/>
      <c r="J70" s="93">
        <f t="shared" ref="J70" si="14">J69/12</f>
        <v>-2.6464442950167606</v>
      </c>
      <c r="K70" s="93"/>
      <c r="L70" s="94">
        <f>L69/12</f>
        <v>-2538.8927988672799</v>
      </c>
      <c r="M70" s="94"/>
    </row>
    <row r="71" spans="2:20" x14ac:dyDescent="0.3">
      <c r="B71" s="70" t="s">
        <v>166</v>
      </c>
      <c r="C71" s="70"/>
      <c r="D71" s="40">
        <f>NPV(D67,G56:U56)/-(F36+NPV(D67,G36:U36)+NPV(D67,G43:U43))</f>
        <v>0.7916221347859701</v>
      </c>
      <c r="F71" s="100"/>
      <c r="G71" s="100"/>
      <c r="L71" s="41"/>
      <c r="M71" s="41"/>
    </row>
    <row r="72" spans="2:20" x14ac:dyDescent="0.3">
      <c r="B72" s="47"/>
      <c r="C72" s="47"/>
      <c r="F72" s="101" t="s">
        <v>167</v>
      </c>
      <c r="G72" s="101"/>
      <c r="H72" s="87">
        <f>NPV(D67,G56:U56)+F56</f>
        <v>314.51773782378501</v>
      </c>
      <c r="I72" s="87"/>
      <c r="J72" s="87">
        <f>H72*1000000/$D$76</f>
        <v>244.16406109562928</v>
      </c>
      <c r="K72" s="87"/>
      <c r="L72" s="88">
        <f>J72*$S$4</f>
        <v>234241.23365270291</v>
      </c>
      <c r="M72" s="88"/>
    </row>
    <row r="73" spans="2:20" x14ac:dyDescent="0.3">
      <c r="B73" s="70" t="s">
        <v>168</v>
      </c>
      <c r="C73" s="70"/>
      <c r="D73" s="4">
        <v>2527114</v>
      </c>
      <c r="F73" s="99" t="s">
        <v>169</v>
      </c>
      <c r="G73" s="99"/>
      <c r="H73" s="96">
        <f>PMT(D67,15,-H72)</f>
        <v>32.383615599309309</v>
      </c>
      <c r="I73" s="96"/>
      <c r="J73" s="96">
        <f>H73*1000000/$D$76</f>
        <v>25.139806588959836</v>
      </c>
      <c r="K73" s="96"/>
      <c r="L73" s="97">
        <f>J73*$S$4</f>
        <v>24118.124849184507</v>
      </c>
      <c r="M73" s="97"/>
    </row>
    <row r="74" spans="2:20" x14ac:dyDescent="0.3">
      <c r="B74" s="70" t="s">
        <v>170</v>
      </c>
      <c r="C74" s="70"/>
      <c r="D74" s="4">
        <v>2158536</v>
      </c>
      <c r="F74" s="103" t="s">
        <v>171</v>
      </c>
      <c r="G74" s="103"/>
      <c r="H74" s="104">
        <f>H73/12</f>
        <v>2.6986346332757756</v>
      </c>
      <c r="I74" s="104"/>
      <c r="J74" s="104">
        <f t="shared" ref="J74" si="15">J73/12</f>
        <v>2.0949838824133198</v>
      </c>
      <c r="K74" s="104"/>
      <c r="L74" s="98">
        <f>L73/12</f>
        <v>2009.8437374320422</v>
      </c>
      <c r="M74" s="98"/>
    </row>
    <row r="75" spans="2:20" x14ac:dyDescent="0.3">
      <c r="B75" s="70" t="s">
        <v>172</v>
      </c>
      <c r="C75" s="70"/>
      <c r="D75" s="4">
        <v>1173397</v>
      </c>
      <c r="F75" s="100"/>
      <c r="G75" s="100"/>
      <c r="L75" s="41"/>
      <c r="M75" s="41"/>
    </row>
    <row r="76" spans="2:20" x14ac:dyDescent="0.3">
      <c r="B76" s="70" t="s">
        <v>173</v>
      </c>
      <c r="C76" s="70"/>
      <c r="D76" s="4">
        <v>1288141</v>
      </c>
      <c r="F76" s="102" t="s">
        <v>174</v>
      </c>
      <c r="G76" s="102"/>
      <c r="H76" s="87">
        <f>H72+H68</f>
        <v>-82.790174629699948</v>
      </c>
      <c r="I76" s="87"/>
      <c r="J76" s="87">
        <f>J68+J72</f>
        <v>-64.271050009044018</v>
      </c>
      <c r="K76" s="87"/>
      <c r="L76" s="88">
        <f>J76*$S$4</f>
        <v>-61659.074536676468</v>
      </c>
      <c r="M76" s="88"/>
    </row>
    <row r="77" spans="2:20" x14ac:dyDescent="0.3">
      <c r="B77" s="70" t="s">
        <v>175</v>
      </c>
      <c r="C77" s="70"/>
      <c r="D77" s="4">
        <v>593823</v>
      </c>
      <c r="F77" s="108" t="s">
        <v>176</v>
      </c>
      <c r="G77" s="108"/>
      <c r="H77" s="96">
        <f>PMT(D67,15,-H76)</f>
        <v>-8.5243052082169157</v>
      </c>
      <c r="I77" s="96"/>
      <c r="J77" s="96">
        <f>J69+J73</f>
        <v>-6.6175249512412933</v>
      </c>
      <c r="K77" s="96"/>
      <c r="L77" s="97">
        <f>J77*$S$4</f>
        <v>-6348.5887372228472</v>
      </c>
      <c r="M77" s="97"/>
    </row>
    <row r="78" spans="2:20" x14ac:dyDescent="0.3">
      <c r="B78" s="47"/>
      <c r="C78" s="47"/>
      <c r="D78" s="37"/>
      <c r="F78" s="105" t="s">
        <v>177</v>
      </c>
      <c r="G78" s="105"/>
      <c r="H78" s="106">
        <f>H77/12</f>
        <v>-0.71035876735140968</v>
      </c>
      <c r="I78" s="106"/>
      <c r="J78" s="106">
        <f t="shared" ref="J78" si="16">J77/12</f>
        <v>-0.55146041260344114</v>
      </c>
      <c r="K78" s="106"/>
      <c r="L78" s="107">
        <f t="shared" ref="L78" si="17">L77/12</f>
        <v>-529.04906143523726</v>
      </c>
      <c r="M78" s="107"/>
    </row>
    <row r="79" spans="2:20" x14ac:dyDescent="0.3">
      <c r="B79" s="83" t="s">
        <v>178</v>
      </c>
      <c r="C79" s="83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15" priority="9" operator="lessThan">
      <formula>0</formula>
    </cfRule>
  </conditionalFormatting>
  <conditionalFormatting sqref="F38:U43">
    <cfRule type="cellIs" dxfId="14" priority="7" operator="lessThan">
      <formula>0</formula>
    </cfRule>
  </conditionalFormatting>
  <conditionalFormatting sqref="F45:U45">
    <cfRule type="cellIs" dxfId="13" priority="5" operator="lessThan">
      <formula>0</formula>
    </cfRule>
  </conditionalFormatting>
  <conditionalFormatting sqref="F47:U56">
    <cfRule type="cellIs" dxfId="12" priority="8" operator="lessThan">
      <formula>0</formula>
    </cfRule>
  </conditionalFormatting>
  <conditionalFormatting sqref="F58:U61">
    <cfRule type="cellIs" dxfId="11" priority="3" operator="lessThan">
      <formula>0</formula>
    </cfRule>
  </conditionalFormatting>
  <conditionalFormatting sqref="F63:U64">
    <cfRule type="cellIs" dxfId="10" priority="2" operator="lessThan">
      <formula>0</formula>
    </cfRule>
  </conditionalFormatting>
  <conditionalFormatting sqref="H68:M69 H70 J70 H72:M73 H74 J74 H76:M78">
    <cfRule type="cellIs" dxfId="9" priority="4" operator="lessThan">
      <formula>0</formula>
    </cfRule>
  </conditionalFormatting>
  <conditionalFormatting sqref="L70 L74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D7-9C27-4856-B07E-8FB681640E12}">
  <sheetPr>
    <tabColor theme="8" tint="-0.499984740745262"/>
  </sheetPr>
  <dimension ref="A1:Q26"/>
  <sheetViews>
    <sheetView zoomScale="80" zoomScaleNormal="80" workbookViewId="0">
      <selection activeCell="F18" sqref="F18"/>
    </sheetView>
  </sheetViews>
  <sheetFormatPr baseColWidth="10" defaultRowHeight="14.4" x14ac:dyDescent="0.3"/>
  <cols>
    <col min="1" max="1" width="47.109375" bestFit="1" customWidth="1"/>
    <col min="2" max="11" width="12.6640625" bestFit="1" customWidth="1"/>
    <col min="12" max="17" width="13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1856961.3826132801</v>
      </c>
      <c r="C2">
        <v>1913041.6163682011</v>
      </c>
      <c r="D2">
        <v>1970815.4731825211</v>
      </c>
      <c r="E2">
        <v>2030334.100472633</v>
      </c>
      <c r="F2">
        <v>2091650.1903069059</v>
      </c>
      <c r="G2">
        <v>2154818.0260541751</v>
      </c>
      <c r="H2">
        <v>2219893.5304410108</v>
      </c>
      <c r="I2">
        <v>2286934.3150603301</v>
      </c>
      <c r="J2">
        <v>2355999.7313751508</v>
      </c>
      <c r="K2">
        <v>2427150.9232626809</v>
      </c>
      <c r="L2">
        <v>2500450.8811452142</v>
      </c>
      <c r="M2">
        <v>2575964.497755799</v>
      </c>
      <c r="N2">
        <v>2653758.625588025</v>
      </c>
      <c r="O2">
        <v>2733902.1360807829</v>
      </c>
      <c r="P2">
        <v>2816465.9805904231</v>
      </c>
      <c r="Q2">
        <v>2901523.253204254</v>
      </c>
    </row>
    <row r="3" spans="1:17" x14ac:dyDescent="0.3">
      <c r="A3" t="s">
        <v>102</v>
      </c>
      <c r="B3">
        <v>589314</v>
      </c>
      <c r="C3">
        <v>8740</v>
      </c>
      <c r="D3">
        <v>8869</v>
      </c>
      <c r="E3">
        <v>9003</v>
      </c>
      <c r="F3">
        <v>9135</v>
      </c>
      <c r="G3">
        <v>9269</v>
      </c>
      <c r="H3">
        <v>9414</v>
      </c>
      <c r="I3">
        <v>9555</v>
      </c>
      <c r="J3">
        <v>9693</v>
      </c>
      <c r="K3">
        <v>9844</v>
      </c>
      <c r="L3">
        <v>9990</v>
      </c>
      <c r="M3">
        <v>10146</v>
      </c>
      <c r="N3">
        <v>10300</v>
      </c>
      <c r="O3">
        <v>10451</v>
      </c>
      <c r="P3">
        <v>10610</v>
      </c>
      <c r="Q3">
        <v>10767</v>
      </c>
    </row>
    <row r="4" spans="1:17" x14ac:dyDescent="0.3">
      <c r="A4" t="s">
        <v>103</v>
      </c>
      <c r="B4">
        <v>11286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</row>
    <row r="5" spans="1:17" x14ac:dyDescent="0.3">
      <c r="A5" t="s">
        <v>104</v>
      </c>
      <c r="B5">
        <v>40195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133</v>
      </c>
      <c r="B6">
        <v>189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216.6933333333333</v>
      </c>
      <c r="C7">
        <v>216.6933333333333</v>
      </c>
      <c r="D7">
        <v>216.6933333333333</v>
      </c>
      <c r="E7">
        <v>216.6933333333333</v>
      </c>
      <c r="F7">
        <v>216.69333333333341</v>
      </c>
      <c r="G7">
        <v>216.69333333333341</v>
      </c>
      <c r="H7">
        <v>216.6933333333333</v>
      </c>
      <c r="I7">
        <v>216.6933333333333</v>
      </c>
      <c r="J7">
        <v>216.6933333333333</v>
      </c>
      <c r="K7">
        <v>216.6933333333333</v>
      </c>
      <c r="L7">
        <v>216.6933333333333</v>
      </c>
      <c r="M7">
        <v>216.6933333333333</v>
      </c>
      <c r="N7">
        <v>216.6933333333333</v>
      </c>
      <c r="O7">
        <v>216.6933333333333</v>
      </c>
      <c r="P7">
        <v>216.6933333333333</v>
      </c>
      <c r="Q7">
        <v>216.69333333333341</v>
      </c>
    </row>
    <row r="8" spans="1:17" x14ac:dyDescent="0.3">
      <c r="A8" t="s">
        <v>135</v>
      </c>
      <c r="B8">
        <v>427.04</v>
      </c>
      <c r="C8">
        <v>427.04</v>
      </c>
      <c r="D8">
        <v>427.04</v>
      </c>
      <c r="E8">
        <v>427.04</v>
      </c>
      <c r="F8">
        <v>427.04</v>
      </c>
      <c r="G8">
        <v>427.04</v>
      </c>
      <c r="H8">
        <v>427.04</v>
      </c>
      <c r="I8">
        <v>427.04</v>
      </c>
      <c r="J8">
        <v>427.04</v>
      </c>
      <c r="K8">
        <v>427.04</v>
      </c>
      <c r="L8">
        <v>427.04</v>
      </c>
      <c r="M8">
        <v>427.04</v>
      </c>
      <c r="N8">
        <v>427.04</v>
      </c>
      <c r="O8">
        <v>427.04</v>
      </c>
      <c r="P8">
        <v>427.04</v>
      </c>
      <c r="Q8">
        <v>427.04</v>
      </c>
    </row>
    <row r="9" spans="1:17" x14ac:dyDescent="0.3">
      <c r="A9" t="s">
        <v>136</v>
      </c>
      <c r="B9">
        <v>966.952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137</v>
      </c>
      <c r="B10">
        <v>40374.04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11759229.045</v>
      </c>
      <c r="C11">
        <v>160442.79300000001</v>
      </c>
      <c r="D11">
        <v>162810.07199999999</v>
      </c>
      <c r="E11">
        <v>165269.106</v>
      </c>
      <c r="F11">
        <v>167691.43799999999</v>
      </c>
      <c r="G11">
        <v>170150.47200000001</v>
      </c>
      <c r="H11">
        <v>172811.367</v>
      </c>
      <c r="I11">
        <v>175398.85800000001</v>
      </c>
      <c r="J11">
        <v>177931.296</v>
      </c>
      <c r="K11">
        <v>180702.29699999999</v>
      </c>
      <c r="L11">
        <v>183381.54300000001</v>
      </c>
      <c r="M11">
        <v>186244.299</v>
      </c>
      <c r="N11">
        <v>189070.353</v>
      </c>
      <c r="O11">
        <v>191841.35399999999</v>
      </c>
      <c r="P11">
        <v>194759.163</v>
      </c>
      <c r="Q11">
        <v>197640.27</v>
      </c>
    </row>
    <row r="12" spans="1:17" x14ac:dyDescent="0.3">
      <c r="A12" t="s">
        <v>141</v>
      </c>
      <c r="B12">
        <v>883622.57894736854</v>
      </c>
      <c r="C12">
        <v>12056.136842105259</v>
      </c>
      <c r="D12">
        <v>12234.02105263158</v>
      </c>
      <c r="E12">
        <v>12418.8</v>
      </c>
      <c r="F12">
        <v>12600.82105263158</v>
      </c>
      <c r="G12">
        <v>12785.6</v>
      </c>
      <c r="H12">
        <v>12985.54736842105</v>
      </c>
      <c r="I12">
        <v>13179.97894736842</v>
      </c>
      <c r="J12">
        <v>13370.27368421053</v>
      </c>
      <c r="K12">
        <v>13578.494736842111</v>
      </c>
      <c r="L12">
        <v>13779.82105263158</v>
      </c>
      <c r="M12">
        <v>13994.93684210526</v>
      </c>
      <c r="N12">
        <v>14207.294736842099</v>
      </c>
      <c r="O12">
        <v>14415.51578947368</v>
      </c>
      <c r="P12">
        <v>14634.768421052629</v>
      </c>
      <c r="Q12">
        <v>14851.26315789474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7525.8172114743174</v>
      </c>
      <c r="C14">
        <v>7535.6237491661122</v>
      </c>
      <c r="D14">
        <v>7554.5363575717174</v>
      </c>
      <c r="E14">
        <v>7563.6424282855251</v>
      </c>
      <c r="F14">
        <v>7572.0480320213492</v>
      </c>
      <c r="G14">
        <v>7584.6564376250853</v>
      </c>
      <c r="H14">
        <v>7597.965310206806</v>
      </c>
      <c r="I14">
        <v>7612.6751167444972</v>
      </c>
      <c r="J14">
        <v>7626.6844563042041</v>
      </c>
      <c r="K14">
        <v>11682.38825883923</v>
      </c>
      <c r="L14">
        <v>11862.40827218145</v>
      </c>
      <c r="M14">
        <v>12052.23482321548</v>
      </c>
      <c r="N14">
        <v>12237.1581054036</v>
      </c>
      <c r="O14">
        <v>12433.989326217479</v>
      </c>
      <c r="P14">
        <v>12654.63642428286</v>
      </c>
      <c r="Q14">
        <v>12887.19146097398</v>
      </c>
    </row>
    <row r="15" spans="1:17" x14ac:dyDescent="0.3">
      <c r="A15" t="s">
        <v>85</v>
      </c>
      <c r="B15">
        <v>5116955.4036024027</v>
      </c>
      <c r="C15">
        <v>5186771.0873915954</v>
      </c>
      <c r="D15">
        <v>5257616.8779186141</v>
      </c>
      <c r="E15">
        <v>5329532.7018012013</v>
      </c>
      <c r="F15">
        <v>5402502.5883922614</v>
      </c>
      <c r="G15">
        <v>5476542.5083388928</v>
      </c>
      <c r="H15">
        <v>5551740.3002001354</v>
      </c>
      <c r="I15">
        <v>5628064.0226817885</v>
      </c>
      <c r="J15">
        <v>5705489.71981321</v>
      </c>
      <c r="K15">
        <v>5784121.2008005343</v>
      </c>
      <c r="L15">
        <v>5863918.5390260182</v>
      </c>
      <c r="M15">
        <v>5944961.5877251513</v>
      </c>
      <c r="N15">
        <v>6027234.3762508351</v>
      </c>
      <c r="O15">
        <v>6110712.9486324228</v>
      </c>
      <c r="P15">
        <v>6195461.1874583066</v>
      </c>
      <c r="Q15">
        <v>6281463.1220813878</v>
      </c>
    </row>
    <row r="16" spans="1:17" x14ac:dyDescent="0.3">
      <c r="A16" t="s">
        <v>142</v>
      </c>
      <c r="B16">
        <v>726239.95434210519</v>
      </c>
      <c r="C16">
        <v>736148.76436842093</v>
      </c>
      <c r="D16">
        <v>746203.77552631567</v>
      </c>
      <c r="E16">
        <v>756410.65452631575</v>
      </c>
      <c r="F16">
        <v>766767.13468421041</v>
      </c>
      <c r="G16">
        <v>777275.48268421041</v>
      </c>
      <c r="H16">
        <v>787948.1652894736</v>
      </c>
      <c r="I16">
        <v>798780.64913157886</v>
      </c>
      <c r="J16">
        <v>809769.53418421047</v>
      </c>
      <c r="K16">
        <v>820929.5538947368</v>
      </c>
      <c r="L16">
        <v>832255.04155263153</v>
      </c>
      <c r="M16">
        <v>843757.33057894721</v>
      </c>
      <c r="N16">
        <v>855434.15428947366</v>
      </c>
      <c r="O16">
        <v>867282.11265789461</v>
      </c>
      <c r="P16">
        <v>879310.27242105268</v>
      </c>
      <c r="Q16">
        <v>891516.36689473665</v>
      </c>
    </row>
    <row r="17" spans="1:17" x14ac:dyDescent="0.3">
      <c r="A17" t="s">
        <v>86</v>
      </c>
      <c r="B17">
        <v>795867.39000000013</v>
      </c>
      <c r="C17">
        <v>806726.19600000023</v>
      </c>
      <c r="D17">
        <v>817745.2200000002</v>
      </c>
      <c r="E17">
        <v>828930.67200000014</v>
      </c>
      <c r="F17">
        <v>840280.06800000009</v>
      </c>
      <c r="G17">
        <v>851795.89200000023</v>
      </c>
      <c r="H17">
        <v>863491.8060000001</v>
      </c>
      <c r="I17">
        <v>875362.84200000018</v>
      </c>
      <c r="J17">
        <v>887405.27400000021</v>
      </c>
      <c r="K17">
        <v>899635.24800000014</v>
      </c>
      <c r="L17">
        <v>912046.55400000012</v>
      </c>
      <c r="M17">
        <v>924651.61200000008</v>
      </c>
      <c r="N17">
        <v>937447.9380000002</v>
      </c>
      <c r="O17">
        <v>950431.80600000022</v>
      </c>
      <c r="P17">
        <v>963613.15200000012</v>
      </c>
      <c r="Q17">
        <v>976989.4920000002</v>
      </c>
    </row>
    <row r="18" spans="1:17" x14ac:dyDescent="0.3">
      <c r="A18" t="s">
        <v>87</v>
      </c>
      <c r="B18">
        <v>3867335.6669999999</v>
      </c>
      <c r="C18">
        <v>3924230.3568000002</v>
      </c>
      <c r="D18">
        <v>3982065.2352</v>
      </c>
      <c r="E18">
        <v>4040792.4959999998</v>
      </c>
      <c r="F18">
        <v>4100295.2796</v>
      </c>
      <c r="G18">
        <v>4160849.7996</v>
      </c>
      <c r="H18">
        <v>4222232.9604000002</v>
      </c>
      <c r="I18">
        <v>4284434.1384000015</v>
      </c>
      <c r="J18">
        <v>4347734.8590000002</v>
      </c>
      <c r="K18">
        <v>4411975.7681999998</v>
      </c>
      <c r="L18">
        <v>4477040.0064000003</v>
      </c>
      <c r="M18">
        <v>4543108.1747999992</v>
      </c>
      <c r="N18">
        <v>4610249.3267999999</v>
      </c>
      <c r="O18">
        <v>4678431.5916000009</v>
      </c>
      <c r="P18">
        <v>4747527.4859999996</v>
      </c>
      <c r="Q18">
        <v>4817797.2882000003</v>
      </c>
    </row>
    <row r="19" spans="1:17" x14ac:dyDescent="0.3">
      <c r="A19" t="s">
        <v>88</v>
      </c>
      <c r="B19">
        <v>218083.872042</v>
      </c>
      <c r="C19">
        <v>221294.77376400001</v>
      </c>
      <c r="D19">
        <v>224557.09104599999</v>
      </c>
      <c r="E19">
        <v>227871.55839600001</v>
      </c>
      <c r="F19">
        <v>231229.72897200001</v>
      </c>
      <c r="G19">
        <v>234645.19117199999</v>
      </c>
      <c r="H19">
        <v>238108.76364600001</v>
      </c>
      <c r="I19">
        <v>241619.711886</v>
      </c>
      <c r="J19">
        <v>245190.88978200001</v>
      </c>
      <c r="K19">
        <v>248814.58499999999</v>
      </c>
      <c r="L19">
        <v>252486.39049200001</v>
      </c>
      <c r="M19">
        <v>256214.38584599999</v>
      </c>
      <c r="N19">
        <v>260003.71261799999</v>
      </c>
      <c r="O19">
        <v>264024.91217700002</v>
      </c>
      <c r="P19">
        <v>268104.15665999998</v>
      </c>
      <c r="Q19">
        <v>272253.32649900002</v>
      </c>
    </row>
    <row r="20" spans="1:17" x14ac:dyDescent="0.3">
      <c r="A20" t="s">
        <v>89</v>
      </c>
      <c r="B20">
        <v>7403010.0934193321</v>
      </c>
      <c r="C20">
        <v>7626580.9982405966</v>
      </c>
      <c r="D20">
        <v>7856903.7443874627</v>
      </c>
      <c r="E20">
        <v>8094182.2374679642</v>
      </c>
      <c r="F20">
        <v>8338626.5410394967</v>
      </c>
      <c r="G20">
        <v>8590453.0625788905</v>
      </c>
      <c r="H20">
        <v>8849884.7450687718</v>
      </c>
      <c r="I20">
        <v>9117151.2643698491</v>
      </c>
      <c r="J20">
        <v>9392489.2325538192</v>
      </c>
      <c r="K20">
        <v>9676142.407376945</v>
      </c>
      <c r="L20">
        <v>9968361.9080797266</v>
      </c>
      <c r="M20">
        <v>10269406.43770374</v>
      </c>
      <c r="N20">
        <v>10579542.512122391</v>
      </c>
      <c r="O20">
        <v>10899044.69598848</v>
      </c>
      <c r="P20">
        <v>11228195.84580734</v>
      </c>
      <c r="Q20">
        <v>11567287.360350721</v>
      </c>
    </row>
    <row r="21" spans="1:17" x14ac:dyDescent="0.3">
      <c r="A21" t="s">
        <v>90</v>
      </c>
      <c r="B21">
        <v>169969.79123259959</v>
      </c>
      <c r="C21">
        <v>169969.79123259959</v>
      </c>
      <c r="D21">
        <v>169969.79123259959</v>
      </c>
      <c r="E21">
        <v>169969.79123259959</v>
      </c>
      <c r="F21">
        <v>169969.79123259959</v>
      </c>
      <c r="G21">
        <v>169969.79123259959</v>
      </c>
      <c r="H21">
        <v>169969.79123259959</v>
      </c>
      <c r="I21">
        <v>169969.79123259959</v>
      </c>
      <c r="J21">
        <v>169969.79123259959</v>
      </c>
      <c r="K21">
        <v>169969.79123259959</v>
      </c>
      <c r="L21">
        <v>169969.79123259959</v>
      </c>
      <c r="M21">
        <v>169969.79123259959</v>
      </c>
      <c r="N21">
        <v>169969.79123259959</v>
      </c>
      <c r="O21">
        <v>169969.79123259959</v>
      </c>
      <c r="P21">
        <v>169969.79123259959</v>
      </c>
      <c r="Q21">
        <v>169969.79123259959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1237789.8051935551</v>
      </c>
      <c r="C24">
        <v>1345187.72182766</v>
      </c>
      <c r="D24">
        <v>1447057.942677784</v>
      </c>
      <c r="E24">
        <v>1544264.2094768169</v>
      </c>
      <c r="F24">
        <v>1637339.5464725669</v>
      </c>
      <c r="G24">
        <v>1726412.8560281531</v>
      </c>
      <c r="H24">
        <v>1809957.068236571</v>
      </c>
      <c r="I24">
        <v>1890403.0410344449</v>
      </c>
      <c r="J24">
        <v>1967116.799245792</v>
      </c>
      <c r="K24">
        <v>2039091.6995685729</v>
      </c>
      <c r="L24">
        <v>2108213.7189008151</v>
      </c>
      <c r="M24">
        <v>2173082.590320413</v>
      </c>
      <c r="N24">
        <v>2235988.013750012</v>
      </c>
      <c r="O24">
        <v>2293703.2541635381</v>
      </c>
      <c r="P24">
        <v>2348364.6237620721</v>
      </c>
      <c r="Q24">
        <v>2400462.0025376342</v>
      </c>
    </row>
    <row r="25" spans="1:17" x14ac:dyDescent="0.3">
      <c r="A25" t="s">
        <v>93</v>
      </c>
      <c r="B25">
        <v>739915.33446000004</v>
      </c>
      <c r="C25">
        <v>750809.28732000012</v>
      </c>
      <c r="D25">
        <v>761877.68298000004</v>
      </c>
      <c r="E25">
        <v>773123.01348000008</v>
      </c>
      <c r="F25">
        <v>784516.62036000006</v>
      </c>
      <c r="G25">
        <v>796104.60636000009</v>
      </c>
      <c r="H25">
        <v>807855.82098000008</v>
      </c>
      <c r="I25">
        <v>819767.77218000009</v>
      </c>
      <c r="J25">
        <v>831884.07066000008</v>
      </c>
      <c r="K25">
        <v>844178.55</v>
      </c>
      <c r="L25">
        <v>856636.25796000008</v>
      </c>
      <c r="M25">
        <v>869284.60698000004</v>
      </c>
      <c r="N25">
        <v>882141.04134</v>
      </c>
      <c r="O25">
        <v>895191.85482000001</v>
      </c>
      <c r="P25">
        <v>908422.09517999995</v>
      </c>
      <c r="Q25">
        <v>921871.63506</v>
      </c>
    </row>
    <row r="26" spans="1:17" x14ac:dyDescent="0.3">
      <c r="A26" t="s">
        <v>94</v>
      </c>
      <c r="B26">
        <v>4843846.105681818</v>
      </c>
      <c r="C26">
        <v>4847413.6802272722</v>
      </c>
      <c r="D26">
        <v>4851080.521590909</v>
      </c>
      <c r="E26">
        <v>4904543.9956818176</v>
      </c>
      <c r="F26">
        <v>4916046.3984090909</v>
      </c>
      <c r="G26">
        <v>4923533.1397727272</v>
      </c>
      <c r="H26">
        <v>4928923.3863636367</v>
      </c>
      <c r="I26">
        <v>4934183.725227274</v>
      </c>
      <c r="J26">
        <v>4974967.2615909092</v>
      </c>
      <c r="K26">
        <v>4985506.2995454539</v>
      </c>
      <c r="L26">
        <v>4993851.9834090909</v>
      </c>
      <c r="M26">
        <v>5002217.8270454537</v>
      </c>
      <c r="N26">
        <v>5012137.9672727268</v>
      </c>
      <c r="O26">
        <v>5026895.7234090902</v>
      </c>
      <c r="P26">
        <v>5041696.9361363631</v>
      </c>
      <c r="Q26">
        <v>5056541.7027272712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76A-F4C7-4706-B180-83A3522B2255}">
  <sheetPr>
    <tabColor theme="8" tint="-0.499984740745262"/>
  </sheetPr>
  <dimension ref="B2:X79"/>
  <sheetViews>
    <sheetView topLeftCell="A35" zoomScale="80" zoomScaleNormal="80" workbookViewId="0">
      <selection activeCell="R75" sqref="R75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71" t="s">
        <v>50</v>
      </c>
      <c r="C2" s="71"/>
      <c r="D2" s="71"/>
      <c r="E2" s="71"/>
      <c r="G2" s="71" t="s">
        <v>41</v>
      </c>
      <c r="H2" s="71"/>
      <c r="I2" s="71"/>
      <c r="J2" s="71"/>
      <c r="K2" s="7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70" t="s">
        <v>51</v>
      </c>
      <c r="C4" s="70"/>
      <c r="D4" s="70" t="s">
        <v>40</v>
      </c>
      <c r="E4" s="70"/>
      <c r="G4" s="70" t="s">
        <v>17</v>
      </c>
      <c r="H4" s="70"/>
      <c r="I4" s="70"/>
      <c r="J4" s="18">
        <v>0.06</v>
      </c>
      <c r="K4" s="16" t="s">
        <v>29</v>
      </c>
      <c r="L4" s="72"/>
      <c r="M4" s="72"/>
      <c r="N4" s="72"/>
      <c r="O4" s="72"/>
      <c r="P4" s="72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72" t="s">
        <v>52</v>
      </c>
      <c r="C5" s="72"/>
      <c r="D5" s="72" t="s">
        <v>152</v>
      </c>
      <c r="E5" s="72"/>
      <c r="G5" s="70" t="s">
        <v>46</v>
      </c>
      <c r="H5" s="70"/>
      <c r="I5" s="70"/>
      <c r="J5" s="19">
        <v>15</v>
      </c>
      <c r="K5" s="20" t="s">
        <v>47</v>
      </c>
      <c r="L5" s="84"/>
      <c r="M5" s="84"/>
      <c r="N5" s="84"/>
      <c r="O5" s="84"/>
      <c r="P5" s="84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72" t="s">
        <v>53</v>
      </c>
      <c r="C6" s="72"/>
      <c r="D6" s="72" t="s">
        <v>152</v>
      </c>
      <c r="E6" s="72"/>
      <c r="G6" s="83" t="s">
        <v>106</v>
      </c>
      <c r="H6" s="83"/>
      <c r="I6" s="83"/>
      <c r="J6" s="20">
        <v>10</v>
      </c>
      <c r="K6" s="20" t="s">
        <v>47</v>
      </c>
      <c r="L6" s="84"/>
      <c r="M6" s="84"/>
      <c r="N6" s="84"/>
      <c r="O6" s="84"/>
      <c r="P6" s="84"/>
    </row>
    <row r="7" spans="2:21" x14ac:dyDescent="0.3">
      <c r="B7" s="72" t="s">
        <v>54</v>
      </c>
      <c r="C7" s="72"/>
      <c r="D7" s="72" t="s">
        <v>152</v>
      </c>
      <c r="E7" s="72"/>
      <c r="G7" s="83" t="s">
        <v>128</v>
      </c>
      <c r="H7" s="83"/>
      <c r="I7" s="83"/>
      <c r="J7" s="21">
        <f>(SUMIF($F$12:$U$12,"&lt;="&amp;$J$6,$F$17:$U$17)) / ($J$6)</f>
        <v>68282.600000000006</v>
      </c>
      <c r="K7" s="20" t="s">
        <v>107</v>
      </c>
      <c r="L7" s="84" t="str">
        <f>"Razonable para chile en torno a 1M y 1,5M por año."</f>
        <v>Razonable para chile en torno a 1M y 1,5M por año.</v>
      </c>
      <c r="M7" s="84"/>
      <c r="N7" s="84"/>
      <c r="O7" s="84"/>
      <c r="P7" s="84"/>
    </row>
    <row r="8" spans="2:21" x14ac:dyDescent="0.3">
      <c r="B8" s="72" t="s">
        <v>55</v>
      </c>
      <c r="C8" s="72"/>
      <c r="D8" s="72" t="s">
        <v>152</v>
      </c>
      <c r="E8" s="72"/>
      <c r="G8" s="83" t="s">
        <v>129</v>
      </c>
      <c r="H8" s="83"/>
      <c r="I8" s="83"/>
      <c r="J8" s="21">
        <f>(SUMIF($F$12:$U$12,"&lt;="&amp;$J$6,$F$18:$U$18)) / ($J$6)</f>
        <v>1131.5999999999999</v>
      </c>
      <c r="K8" s="20" t="s">
        <v>107</v>
      </c>
      <c r="L8" s="84" t="str">
        <f t="shared" ref="L8:L9" si="0">"Razonable para chile en torno a 1M y 1,5M por año."</f>
        <v>Razonable para chile en torno a 1M y 1,5M por año.</v>
      </c>
      <c r="M8" s="84"/>
      <c r="N8" s="84"/>
      <c r="O8" s="84"/>
      <c r="P8" s="84"/>
    </row>
    <row r="9" spans="2:21" x14ac:dyDescent="0.3">
      <c r="B9" s="72" t="s">
        <v>56</v>
      </c>
      <c r="C9" s="72"/>
      <c r="D9" s="72" t="s">
        <v>152</v>
      </c>
      <c r="E9" s="72"/>
      <c r="G9" s="83" t="s">
        <v>130</v>
      </c>
      <c r="H9" s="83"/>
      <c r="I9" s="83"/>
      <c r="J9" s="21">
        <f>(SUMIF($F$12:$U$12,"&lt;="&amp;$J$6,$F$19:$U$19)) / ($J$6)</f>
        <v>4019.5</v>
      </c>
      <c r="K9" s="20" t="s">
        <v>107</v>
      </c>
      <c r="L9" s="84" t="str">
        <f t="shared" si="0"/>
        <v>Razonable para chile en torno a 1M y 1,5M por año.</v>
      </c>
      <c r="M9" s="84"/>
      <c r="N9" s="84"/>
      <c r="O9" s="84"/>
      <c r="P9" s="84"/>
    </row>
    <row r="12" spans="2:21" x14ac:dyDescent="0.3">
      <c r="B12" s="44" t="s">
        <v>121</v>
      </c>
      <c r="C12" s="44"/>
      <c r="D12" s="44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45"/>
      <c r="C13" s="45"/>
      <c r="D13" s="45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2:21" x14ac:dyDescent="0.3">
      <c r="B15" s="64" t="s">
        <v>122</v>
      </c>
      <c r="C15" s="67" t="s">
        <v>138</v>
      </c>
      <c r="D15" s="68"/>
      <c r="E15" s="68"/>
      <c r="F15" s="4">
        <f>CB_SMI_Mixto_EXT_BAJA!B2/1000</f>
        <v>1856.9613826132802</v>
      </c>
      <c r="G15" s="4">
        <f>CB_SMI_Mixto_EXT_BAJA!C2/1000</f>
        <v>1913.0416163682012</v>
      </c>
      <c r="H15" s="4">
        <f>CB_SMI_Mixto_EXT_BAJA!D2/1000</f>
        <v>1970.8154731825211</v>
      </c>
      <c r="I15" s="4">
        <f>CB_SMI_Mixto_EXT_BAJA!E2/1000</f>
        <v>2030.3341004726331</v>
      </c>
      <c r="J15" s="4">
        <f>CB_SMI_Mixto_EXT_BAJA!F2/1000</f>
        <v>2091.6501903069061</v>
      </c>
      <c r="K15" s="4">
        <f>CB_SMI_Mixto_EXT_BAJA!G2/1000</f>
        <v>2154.8180260541749</v>
      </c>
      <c r="L15" s="4">
        <f>CB_SMI_Mixto_EXT_BAJA!H2/1000</f>
        <v>2219.8935304410106</v>
      </c>
      <c r="M15" s="4">
        <f>CB_SMI_Mixto_EXT_BAJA!I2/1000</f>
        <v>2286.9343150603299</v>
      </c>
      <c r="N15" s="4">
        <f>CB_SMI_Mixto_EXT_BAJA!J2/1000</f>
        <v>2355.999731375151</v>
      </c>
      <c r="O15" s="4">
        <f>CB_SMI_Mixto_EXT_BAJA!K2/1000</f>
        <v>2427.1509232626809</v>
      </c>
      <c r="P15" s="4">
        <f>CB_SMI_Mixto_EXT_BAJA!L2/1000</f>
        <v>2500.4508811452142</v>
      </c>
      <c r="Q15" s="4">
        <f>CB_SMI_Mixto_EXT_BAJA!M2/1000</f>
        <v>2575.9644977557991</v>
      </c>
      <c r="R15" s="4">
        <f>CB_SMI_Mixto_EXT_BAJA!N2/1000</f>
        <v>2653.7586255880251</v>
      </c>
      <c r="S15" s="4">
        <f>CB_SMI_Mixto_EXT_BAJA!O2/1000</f>
        <v>2733.9021360807828</v>
      </c>
      <c r="T15" s="4">
        <f>CB_SMI_Mixto_EXT_BAJA!P2/1000</f>
        <v>2816.465980590423</v>
      </c>
      <c r="U15" s="4">
        <f>CB_SMI_Mixto_EXT_BAJA!Q2/1000</f>
        <v>2901.5232532042542</v>
      </c>
    </row>
    <row r="16" spans="2:21" x14ac:dyDescent="0.3">
      <c r="B16" s="65"/>
      <c r="C16" s="6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2:21" x14ac:dyDescent="0.3">
      <c r="B17" s="65"/>
      <c r="C17" s="46" t="s">
        <v>115</v>
      </c>
      <c r="D17" s="47"/>
      <c r="E17" s="47"/>
      <c r="F17" s="12">
        <f>CB_SMI_Mixto_EXT_BAJA!B3</f>
        <v>589314</v>
      </c>
      <c r="G17" s="12">
        <f>CB_SMI_Mixto_EXT_BAJA!C3</f>
        <v>8740</v>
      </c>
      <c r="H17" s="12">
        <f>CB_SMI_Mixto_EXT_BAJA!D3</f>
        <v>8869</v>
      </c>
      <c r="I17" s="12">
        <f>CB_SMI_Mixto_EXT_BAJA!E3</f>
        <v>9003</v>
      </c>
      <c r="J17" s="12">
        <f>CB_SMI_Mixto_EXT_BAJA!F3</f>
        <v>9135</v>
      </c>
      <c r="K17" s="12">
        <f>CB_SMI_Mixto_EXT_BAJA!G3</f>
        <v>9269</v>
      </c>
      <c r="L17" s="12">
        <f>CB_SMI_Mixto_EXT_BAJA!H3</f>
        <v>9414</v>
      </c>
      <c r="M17" s="12">
        <f>CB_SMI_Mixto_EXT_BAJA!I3</f>
        <v>9555</v>
      </c>
      <c r="N17" s="12">
        <f>CB_SMI_Mixto_EXT_BAJA!J3</f>
        <v>9693</v>
      </c>
      <c r="O17" s="12">
        <f>CB_SMI_Mixto_EXT_BAJA!K3</f>
        <v>9844</v>
      </c>
      <c r="P17" s="12">
        <f>CB_SMI_Mixto_EXT_BAJA!L3</f>
        <v>9990</v>
      </c>
      <c r="Q17" s="12">
        <f>CB_SMI_Mixto_EXT_BAJA!M3</f>
        <v>10146</v>
      </c>
      <c r="R17" s="12">
        <f>CB_SMI_Mixto_EXT_BAJA!N3</f>
        <v>10300</v>
      </c>
      <c r="S17" s="12">
        <f>CB_SMI_Mixto_EXT_BAJA!O3</f>
        <v>10451</v>
      </c>
      <c r="T17" s="12">
        <f>CB_SMI_Mixto_EXT_BAJA!P3</f>
        <v>10610</v>
      </c>
      <c r="U17" s="12">
        <f>CB_SMI_Mixto_EXT_BAJA!Q3</f>
        <v>10767</v>
      </c>
    </row>
    <row r="18" spans="2:21" x14ac:dyDescent="0.3">
      <c r="B18" s="65"/>
      <c r="C18" s="46" t="s">
        <v>116</v>
      </c>
      <c r="D18" s="47"/>
      <c r="E18" s="47"/>
      <c r="F18" s="12">
        <f>CB_SMI_Mixto_EXT_BAJA!B4</f>
        <v>11286</v>
      </c>
      <c r="G18" s="12">
        <f>CB_SMI_Mixto_EXT_BAJA!C4</f>
        <v>3</v>
      </c>
      <c r="H18" s="12">
        <f>CB_SMI_Mixto_EXT_BAJA!D4</f>
        <v>3</v>
      </c>
      <c r="I18" s="12">
        <f>CB_SMI_Mixto_EXT_BAJA!E4</f>
        <v>3</v>
      </c>
      <c r="J18" s="12">
        <f>CB_SMI_Mixto_EXT_BAJA!F4</f>
        <v>3</v>
      </c>
      <c r="K18" s="12">
        <f>CB_SMI_Mixto_EXT_BAJA!G4</f>
        <v>3</v>
      </c>
      <c r="L18" s="12">
        <f>CB_SMI_Mixto_EXT_BAJA!H4</f>
        <v>3</v>
      </c>
      <c r="M18" s="12">
        <f>CB_SMI_Mixto_EXT_BAJA!I4</f>
        <v>3</v>
      </c>
      <c r="N18" s="12">
        <f>CB_SMI_Mixto_EXT_BAJA!J4</f>
        <v>3</v>
      </c>
      <c r="O18" s="12">
        <f>CB_SMI_Mixto_EXT_BAJA!K4</f>
        <v>3</v>
      </c>
      <c r="P18" s="12">
        <f>CB_SMI_Mixto_EXT_BAJA!L4</f>
        <v>3</v>
      </c>
      <c r="Q18" s="12">
        <f>CB_SMI_Mixto_EXT_BAJA!M4</f>
        <v>3</v>
      </c>
      <c r="R18" s="12">
        <f>CB_SMI_Mixto_EXT_BAJA!N4</f>
        <v>3</v>
      </c>
      <c r="S18" s="12">
        <f>CB_SMI_Mixto_EXT_BAJA!O4</f>
        <v>3</v>
      </c>
      <c r="T18" s="12">
        <f>CB_SMI_Mixto_EXT_BAJA!P4</f>
        <v>3</v>
      </c>
      <c r="U18" s="12">
        <f>CB_SMI_Mixto_EXT_BAJA!Q4</f>
        <v>3</v>
      </c>
    </row>
    <row r="19" spans="2:21" x14ac:dyDescent="0.3">
      <c r="B19" s="66"/>
      <c r="C19" s="46" t="s">
        <v>117</v>
      </c>
      <c r="D19" s="47"/>
      <c r="E19" s="47"/>
      <c r="F19" s="13">
        <f>CB_SMI_Mixto_EXT_BAJA!B5</f>
        <v>40195</v>
      </c>
      <c r="G19" s="13">
        <f>CB_SMI_Mixto_EXT_BAJA!C5</f>
        <v>0</v>
      </c>
      <c r="H19" s="13">
        <f>CB_SMI_Mixto_EXT_BAJA!D5</f>
        <v>0</v>
      </c>
      <c r="I19" s="13">
        <f>CB_SMI_Mixto_EXT_BAJA!E5</f>
        <v>0</v>
      </c>
      <c r="J19" s="13">
        <f>CB_SMI_Mixto_EXT_BAJA!F5</f>
        <v>0</v>
      </c>
      <c r="K19" s="13">
        <f>CB_SMI_Mixto_EXT_BAJA!G5</f>
        <v>0</v>
      </c>
      <c r="L19" s="13">
        <f>CB_SMI_Mixto_EXT_BAJA!H5</f>
        <v>0</v>
      </c>
      <c r="M19" s="13">
        <f>CB_SMI_Mixto_EXT_BAJA!I5</f>
        <v>0</v>
      </c>
      <c r="N19" s="13">
        <f>CB_SMI_Mixto_EXT_BAJA!J5</f>
        <v>0</v>
      </c>
      <c r="O19" s="13">
        <f>CB_SMI_Mixto_EXT_BAJA!K5</f>
        <v>0</v>
      </c>
      <c r="P19" s="13">
        <f>CB_SMI_Mixto_EXT_BAJA!L5</f>
        <v>0</v>
      </c>
      <c r="Q19" s="13">
        <f>CB_SMI_Mixto_EXT_BAJA!M5</f>
        <v>0</v>
      </c>
      <c r="R19" s="13">
        <f>CB_SMI_Mixto_EXT_BAJA!N5</f>
        <v>0</v>
      </c>
      <c r="S19" s="13">
        <f>CB_SMI_Mixto_EXT_BAJA!O5</f>
        <v>0</v>
      </c>
      <c r="T19" s="13">
        <f>CB_SMI_Mixto_EXT_BAJA!P5</f>
        <v>0</v>
      </c>
      <c r="U19" s="13">
        <f>CB_SMI_Mixto_EXT_BAJA!Q5</f>
        <v>0</v>
      </c>
    </row>
    <row r="20" spans="2:21" x14ac:dyDescent="0.3">
      <c r="B20" s="1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x14ac:dyDescent="0.3">
      <c r="B21" s="75" t="s">
        <v>105</v>
      </c>
      <c r="C21" s="50" t="s">
        <v>125</v>
      </c>
      <c r="D21" s="51"/>
      <c r="E21" s="51"/>
      <c r="F21" s="9">
        <v>0</v>
      </c>
      <c r="G21" s="11">
        <f>IF(G$12&lt;=$J$6,$J7,G17)</f>
        <v>68282.600000000006</v>
      </c>
      <c r="H21" s="11">
        <f t="shared" ref="H21:U23" si="1">IF(H$12&lt;=$J$6,$J7,H17)</f>
        <v>68282.600000000006</v>
      </c>
      <c r="I21" s="11">
        <f t="shared" si="1"/>
        <v>68282.600000000006</v>
      </c>
      <c r="J21" s="11">
        <f t="shared" si="1"/>
        <v>68282.600000000006</v>
      </c>
      <c r="K21" s="11">
        <f t="shared" si="1"/>
        <v>68282.600000000006</v>
      </c>
      <c r="L21" s="11">
        <f t="shared" si="1"/>
        <v>68282.600000000006</v>
      </c>
      <c r="M21" s="11">
        <f t="shared" si="1"/>
        <v>68282.600000000006</v>
      </c>
      <c r="N21" s="11">
        <f t="shared" si="1"/>
        <v>68282.600000000006</v>
      </c>
      <c r="O21" s="11">
        <f t="shared" si="1"/>
        <v>68282.600000000006</v>
      </c>
      <c r="P21" s="11">
        <f t="shared" si="1"/>
        <v>68282.600000000006</v>
      </c>
      <c r="Q21" s="11">
        <f t="shared" si="1"/>
        <v>10146</v>
      </c>
      <c r="R21" s="11">
        <f t="shared" si="1"/>
        <v>10300</v>
      </c>
      <c r="S21" s="11">
        <f t="shared" si="1"/>
        <v>10451</v>
      </c>
      <c r="T21" s="11">
        <f t="shared" si="1"/>
        <v>10610</v>
      </c>
      <c r="U21" s="11">
        <f t="shared" si="1"/>
        <v>10767</v>
      </c>
    </row>
    <row r="22" spans="2:21" x14ac:dyDescent="0.3">
      <c r="B22" s="76"/>
      <c r="C22" s="50" t="s">
        <v>126</v>
      </c>
      <c r="D22" s="51"/>
      <c r="E22" s="51"/>
      <c r="F22" s="9">
        <v>0</v>
      </c>
      <c r="G22" s="11">
        <f>IF(G$12&lt;=$J$6,$J8,G18)</f>
        <v>1131.5999999999999</v>
      </c>
      <c r="H22" s="11">
        <f t="shared" si="1"/>
        <v>1131.5999999999999</v>
      </c>
      <c r="I22" s="11">
        <f t="shared" si="1"/>
        <v>1131.5999999999999</v>
      </c>
      <c r="J22" s="11">
        <f t="shared" si="1"/>
        <v>1131.5999999999999</v>
      </c>
      <c r="K22" s="11">
        <f t="shared" si="1"/>
        <v>1131.5999999999999</v>
      </c>
      <c r="L22" s="11">
        <f t="shared" si="1"/>
        <v>1131.5999999999999</v>
      </c>
      <c r="M22" s="11">
        <f t="shared" si="1"/>
        <v>1131.5999999999999</v>
      </c>
      <c r="N22" s="11">
        <f>IF(N$12&lt;=$J$6,$J8,N18)</f>
        <v>1131.5999999999999</v>
      </c>
      <c r="O22" s="11">
        <f t="shared" si="1"/>
        <v>1131.5999999999999</v>
      </c>
      <c r="P22" s="11">
        <f t="shared" si="1"/>
        <v>1131.5999999999999</v>
      </c>
      <c r="Q22" s="11">
        <f t="shared" si="1"/>
        <v>3</v>
      </c>
      <c r="R22" s="11">
        <f t="shared" si="1"/>
        <v>3</v>
      </c>
      <c r="S22" s="11">
        <f t="shared" si="1"/>
        <v>3</v>
      </c>
      <c r="T22" s="11">
        <f t="shared" si="1"/>
        <v>3</v>
      </c>
      <c r="U22" s="11">
        <f t="shared" si="1"/>
        <v>3</v>
      </c>
    </row>
    <row r="23" spans="2:21" x14ac:dyDescent="0.3">
      <c r="B23" s="76"/>
      <c r="C23" s="50" t="s">
        <v>127</v>
      </c>
      <c r="D23" s="51"/>
      <c r="E23" s="51"/>
      <c r="F23" s="9">
        <v>0</v>
      </c>
      <c r="G23" s="11">
        <f>IF(G$12&lt;=$J$6,$J9,G19)</f>
        <v>4019.5</v>
      </c>
      <c r="H23" s="11">
        <f t="shared" si="1"/>
        <v>4019.5</v>
      </c>
      <c r="I23" s="11">
        <f t="shared" si="1"/>
        <v>4019.5</v>
      </c>
      <c r="J23" s="11">
        <f t="shared" si="1"/>
        <v>4019.5</v>
      </c>
      <c r="K23" s="11">
        <f t="shared" si="1"/>
        <v>4019.5</v>
      </c>
      <c r="L23" s="11">
        <f t="shared" si="1"/>
        <v>4019.5</v>
      </c>
      <c r="M23" s="11">
        <f t="shared" si="1"/>
        <v>4019.5</v>
      </c>
      <c r="N23" s="11">
        <f t="shared" si="1"/>
        <v>4019.5</v>
      </c>
      <c r="O23" s="11">
        <f t="shared" si="1"/>
        <v>4019.5</v>
      </c>
      <c r="P23" s="11">
        <f t="shared" si="1"/>
        <v>4019.5</v>
      </c>
      <c r="Q23" s="11">
        <f t="shared" si="1"/>
        <v>0</v>
      </c>
      <c r="R23" s="11">
        <f t="shared" si="1"/>
        <v>0</v>
      </c>
      <c r="S23" s="11">
        <f t="shared" si="1"/>
        <v>0</v>
      </c>
      <c r="T23" s="11">
        <f t="shared" si="1"/>
        <v>0</v>
      </c>
      <c r="U23" s="11">
        <f t="shared" si="1"/>
        <v>0</v>
      </c>
    </row>
    <row r="24" spans="2:21" x14ac:dyDescent="0.3">
      <c r="B24" s="76"/>
      <c r="C24" s="69" t="s">
        <v>114</v>
      </c>
      <c r="D24" s="49"/>
      <c r="E24" s="49"/>
      <c r="F24" s="4">
        <f>SUM(F17:F19)</f>
        <v>640795</v>
      </c>
      <c r="G24" s="7">
        <f>SUM(F24,G17:G19)-SUM(G21:G23)</f>
        <v>576104.30000000005</v>
      </c>
      <c r="H24" s="7">
        <f t="shared" ref="H24:U24" si="2">SUM(G24,H17:H19)-SUM(H21:H23)</f>
        <v>511542.60000000003</v>
      </c>
      <c r="I24" s="7">
        <f t="shared" si="2"/>
        <v>447114.9</v>
      </c>
      <c r="J24" s="7">
        <f t="shared" si="2"/>
        <v>382819.2</v>
      </c>
      <c r="K24" s="7">
        <f t="shared" si="2"/>
        <v>318657.5</v>
      </c>
      <c r="L24" s="7">
        <f t="shared" si="2"/>
        <v>254640.8</v>
      </c>
      <c r="M24" s="7">
        <f t="shared" si="2"/>
        <v>190765.09999999998</v>
      </c>
      <c r="N24" s="7">
        <f t="shared" si="2"/>
        <v>127027.39999999997</v>
      </c>
      <c r="O24" s="7">
        <f t="shared" si="2"/>
        <v>63440.699999999953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1" x14ac:dyDescent="0.3">
      <c r="B25" s="77"/>
      <c r="C25" s="48" t="s">
        <v>108</v>
      </c>
      <c r="D25" s="48"/>
      <c r="E25" s="48"/>
      <c r="F25" s="17">
        <v>0</v>
      </c>
      <c r="G25" s="17">
        <f>IF(G$12&lt;=$J$6,SUM($F$21:G23)/SUM($F$17:G19),1)</f>
        <v>0.11305527929081903</v>
      </c>
      <c r="H25" s="17">
        <f>IF(H$12&lt;=$J$6,SUM($F$21:H23)/SUM($F$17:H19),1)</f>
        <v>0.22306374447532695</v>
      </c>
      <c r="I25" s="17">
        <f>IF(I$12&lt;=$J$6,SUM($F$21:I23)/SUM($F$17:I19),1)</f>
        <v>0.3300806393613579</v>
      </c>
      <c r="J25" s="17">
        <f>IF(J$12&lt;=$J$6,SUM($F$21:J23)/SUM($F$17:J19),1)</f>
        <v>0.43416312666838114</v>
      </c>
      <c r="K25" s="17">
        <f>IF(K$12&lt;=$J$6,SUM($F$21:K23)/SUM($F$17:K19),1)</f>
        <v>0.53536684231860543</v>
      </c>
      <c r="L25" s="17">
        <f>IF(L$12&lt;=$J$6,SUM($F$21:L23)/SUM($F$17:L19),1)</f>
        <v>0.63373841951662924</v>
      </c>
      <c r="M25" s="17">
        <f>IF(M$12&lt;=$J$6,SUM($F$21:M23)/SUM($F$17:M19),1)</f>
        <v>0.72933480514357929</v>
      </c>
      <c r="N25" s="17">
        <f>IF(N$12&lt;=$J$6,SUM($F$21:N23)/SUM($F$17:N19),1)</f>
        <v>0.82221422903105224</v>
      </c>
      <c r="O25" s="17">
        <f>IF(O$12&lt;=$J$6,SUM($F$21:O23)/SUM($F$17:O19),1)</f>
        <v>0.91241633809350209</v>
      </c>
      <c r="P25" s="17">
        <f>IF(P$12&lt;=$J$6,SUM($F$21:P23)/SUM($F$17:P19),1)</f>
        <v>0.99999999999999956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1" ht="28.2" customHeight="1" x14ac:dyDescent="0.3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2:21" x14ac:dyDescent="0.3">
      <c r="B27" s="55" t="s">
        <v>124</v>
      </c>
      <c r="C27" s="56"/>
      <c r="D27" s="57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1" x14ac:dyDescent="0.3">
      <c r="B28" s="58"/>
      <c r="C28" s="59"/>
      <c r="D28" s="60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</row>
    <row r="29" spans="2:2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3">
      <c r="B30" s="61" t="s">
        <v>118</v>
      </c>
      <c r="C30" s="52" t="s">
        <v>57</v>
      </c>
      <c r="D30" s="53"/>
      <c r="E30" s="53"/>
      <c r="F30" s="8">
        <v>0</v>
      </c>
      <c r="G30" s="8">
        <f>((-CB_SMI_Mixto_EXT_BAJA!$B$7)*G21)/1000000</f>
        <v>-14.796384202666667</v>
      </c>
      <c r="H30" s="8">
        <f>((-CB_SMI_Mixto_EXT_BAJA!$B$7)*H21)/1000000</f>
        <v>-14.796384202666667</v>
      </c>
      <c r="I30" s="8">
        <f>((-CB_SMI_Mixto_EXT_BAJA!$B$7)*I21)/1000000</f>
        <v>-14.796384202666667</v>
      </c>
      <c r="J30" s="8">
        <f>((-CB_SMI_Mixto_EXT_BAJA!$B$7)*J21)/1000000</f>
        <v>-14.796384202666667</v>
      </c>
      <c r="K30" s="8">
        <f>((-CB_SMI_Mixto_EXT_BAJA!$B$7)*K21)/1000000</f>
        <v>-14.796384202666667</v>
      </c>
      <c r="L30" s="8">
        <f>((-CB_SMI_Mixto_EXT_BAJA!$B$7)*L21)/1000000</f>
        <v>-14.796384202666667</v>
      </c>
      <c r="M30" s="8">
        <f>((-CB_SMI_Mixto_EXT_BAJA!$B$7)*M21)/1000000</f>
        <v>-14.796384202666667</v>
      </c>
      <c r="N30" s="8">
        <f>((-CB_SMI_Mixto_EXT_BAJA!$B$7)*N21)/1000000</f>
        <v>-14.796384202666667</v>
      </c>
      <c r="O30" s="8">
        <f>((-CB_SMI_Mixto_EXT_BAJA!$B$7)*O21)/1000000</f>
        <v>-14.796384202666667</v>
      </c>
      <c r="P30" s="8">
        <f>((-CB_SMI_Mixto_EXT_BAJA!$B$7)*P21)/1000000</f>
        <v>-14.796384202666667</v>
      </c>
      <c r="Q30" s="8">
        <f>((-CB_SMI_Mixto_EXT_BAJA!$B$7)*Q21)/1000000</f>
        <v>-2.1985705599999994</v>
      </c>
      <c r="R30" s="8">
        <f>((-CB_SMI_Mixto_EXT_BAJA!$B$7)*R21)/1000000</f>
        <v>-2.2319413333333329</v>
      </c>
      <c r="S30" s="8">
        <f>((-CB_SMI_Mixto_EXT_BAJA!$B$7)*S21)/1000000</f>
        <v>-2.2646620266666662</v>
      </c>
      <c r="T30" s="8">
        <f>((-CB_SMI_Mixto_EXT_BAJA!$B$7)*T21)/1000000</f>
        <v>-2.2991162666666662</v>
      </c>
      <c r="U30" s="8">
        <f>((-CB_SMI_Mixto_EXT_BAJA!$B$7)*U21)/1000000</f>
        <v>-2.3331371199999995</v>
      </c>
    </row>
    <row r="31" spans="2:21" x14ac:dyDescent="0.3">
      <c r="B31" s="62"/>
      <c r="C31" s="52" t="s">
        <v>58</v>
      </c>
      <c r="D31" s="53"/>
      <c r="E31" s="53"/>
      <c r="F31" s="8">
        <v>0</v>
      </c>
      <c r="G31" s="8">
        <f>((-CB_SMI_Mixto_EXT_BAJA!$B$8)*G22)/1000000</f>
        <v>-0.48323846399999998</v>
      </c>
      <c r="H31" s="8">
        <f>((-CB_SMI_Mixto_EXT_BAJA!$B$8)*H22)/1000000</f>
        <v>-0.48323846399999998</v>
      </c>
      <c r="I31" s="8">
        <f>((-CB_SMI_Mixto_EXT_BAJA!$B$8)*I22)/1000000</f>
        <v>-0.48323846399999998</v>
      </c>
      <c r="J31" s="8">
        <f>((-CB_SMI_Mixto_EXT_BAJA!$B$8)*J22)/1000000</f>
        <v>-0.48323846399999998</v>
      </c>
      <c r="K31" s="8">
        <f>((-CB_SMI_Mixto_EXT_BAJA!$B$8)*K22)/1000000</f>
        <v>-0.48323846399999998</v>
      </c>
      <c r="L31" s="8">
        <f>((-CB_SMI_Mixto_EXT_BAJA!$B$8)*L22)/1000000</f>
        <v>-0.48323846399999998</v>
      </c>
      <c r="M31" s="8">
        <f>((-CB_SMI_Mixto_EXT_BAJA!$B$8)*M22)/1000000</f>
        <v>-0.48323846399999998</v>
      </c>
      <c r="N31" s="8">
        <f>((-CB_SMI_Mixto_EXT_BAJA!$B$8)*N22)/1000000</f>
        <v>-0.48323846399999998</v>
      </c>
      <c r="O31" s="8">
        <f>((-CB_SMI_Mixto_EXT_BAJA!$B$8)*O22)/1000000</f>
        <v>-0.48323846399999998</v>
      </c>
      <c r="P31" s="8">
        <f>((-CB_SMI_Mixto_EXT_BAJA!$B$8)*P22)/1000000</f>
        <v>-0.48323846399999998</v>
      </c>
      <c r="Q31" s="8">
        <f>((-CB_SMI_Mixto_EXT_BAJA!$B$8)*Q22)/1000000</f>
        <v>-1.2811200000000002E-3</v>
      </c>
      <c r="R31" s="8">
        <f>((-CB_SMI_Mixto_EXT_BAJA!$B$8)*R22)/1000000</f>
        <v>-1.2811200000000002E-3</v>
      </c>
      <c r="S31" s="8">
        <f>((-CB_SMI_Mixto_EXT_BAJA!$B$8)*S22)/1000000</f>
        <v>-1.2811200000000002E-3</v>
      </c>
      <c r="T31" s="8">
        <f>((-CB_SMI_Mixto_EXT_BAJA!$B$8)*T22)/1000000</f>
        <v>-1.2811200000000002E-3</v>
      </c>
      <c r="U31" s="8">
        <f>((-CB_SMI_Mixto_EXT_BAJA!$B$8)*U22)/1000000</f>
        <v>-1.2811200000000002E-3</v>
      </c>
    </row>
    <row r="32" spans="2:21" x14ac:dyDescent="0.3">
      <c r="B32" s="62"/>
      <c r="C32" s="52" t="s">
        <v>59</v>
      </c>
      <c r="D32" s="53"/>
      <c r="E32" s="53"/>
      <c r="F32" s="8">
        <v>0</v>
      </c>
      <c r="G32" s="8">
        <f>((-CB_SMI_Mixto_EXT_BAJA!$B$9)*G23)/1000000</f>
        <v>-3.8866635639999996</v>
      </c>
      <c r="H32" s="8">
        <f>((-CB_SMI_Mixto_EXT_BAJA!$B$9)*H23)/1000000</f>
        <v>-3.8866635639999996</v>
      </c>
      <c r="I32" s="8">
        <f>((-CB_SMI_Mixto_EXT_BAJA!$B$9)*I23)/1000000</f>
        <v>-3.8866635639999996</v>
      </c>
      <c r="J32" s="8">
        <f>((-CB_SMI_Mixto_EXT_BAJA!$B$9)*J23)/1000000</f>
        <v>-3.8866635639999996</v>
      </c>
      <c r="K32" s="8">
        <f>((-CB_SMI_Mixto_EXT_BAJA!$B$9)*K23)/1000000</f>
        <v>-3.8866635639999996</v>
      </c>
      <c r="L32" s="8">
        <f>((-CB_SMI_Mixto_EXT_BAJA!$B$9)*L23)/1000000</f>
        <v>-3.8866635639999996</v>
      </c>
      <c r="M32" s="8">
        <f>((-CB_SMI_Mixto_EXT_BAJA!$B$9)*M23)/1000000</f>
        <v>-3.8866635639999996</v>
      </c>
      <c r="N32" s="8">
        <f>((-CB_SMI_Mixto_EXT_BAJA!$B$9)*N23)/1000000</f>
        <v>-3.8866635639999996</v>
      </c>
      <c r="O32" s="8">
        <f>((-CB_SMI_Mixto_EXT_BAJA!$B$9)*O23)/1000000</f>
        <v>-3.8866635639999996</v>
      </c>
      <c r="P32" s="8">
        <f>((-CB_SMI_Mixto_EXT_BAJA!$B$9)*P23)/1000000</f>
        <v>-3.8866635639999996</v>
      </c>
      <c r="Q32" s="8">
        <f>((-CB_SMI_Mixto_EXT_BAJA!$B$9)*Q23)/1000000</f>
        <v>0</v>
      </c>
      <c r="R32" s="8">
        <f>((-CB_SMI_Mixto_EXT_BAJA!$B$9)*R23)/1000000</f>
        <v>0</v>
      </c>
      <c r="S32" s="8">
        <f>((-CB_SMI_Mixto_EXT_BAJA!$B$9)*S23)/1000000</f>
        <v>0</v>
      </c>
      <c r="T32" s="8">
        <f>((-CB_SMI_Mixto_EXT_BAJA!$B$9)*T23)/1000000</f>
        <v>0</v>
      </c>
      <c r="U32" s="8">
        <f>((-CB_SMI_Mixto_EXT_BAJA!$B$9)*U23)/1000000</f>
        <v>0</v>
      </c>
    </row>
    <row r="33" spans="2:22" x14ac:dyDescent="0.3">
      <c r="B33" s="62"/>
      <c r="C33" s="52" t="s">
        <v>60</v>
      </c>
      <c r="D33" s="53"/>
      <c r="E33" s="53"/>
      <c r="F33" s="8">
        <f>((-CB_SMI_Mixto_EXT_BAJA!B10)*CB_SMI_Mixto_EXT_BAJA!B6)/1000000</f>
        <v>-7.6306935600000001</v>
      </c>
      <c r="G33" s="8">
        <f>((-CB_SMI_Mixto_EXT_BAJA!C10)*CB_SMI_Mixto_EXT_BAJA!C6)/1000000</f>
        <v>0</v>
      </c>
      <c r="H33" s="8">
        <f>((-CB_SMI_Mixto_EXT_BAJA!D10)*CB_SMI_Mixto_EXT_BAJA!D6)/1000000</f>
        <v>0</v>
      </c>
      <c r="I33" s="8">
        <f>((-CB_SMI_Mixto_EXT_BAJA!E10)*CB_SMI_Mixto_EXT_BAJA!E6)/1000000</f>
        <v>0</v>
      </c>
      <c r="J33" s="8">
        <f>((-CB_SMI_Mixto_EXT_BAJA!F10)*CB_SMI_Mixto_EXT_BAJA!F6)/1000000</f>
        <v>0</v>
      </c>
      <c r="K33" s="8">
        <f>((-CB_SMI_Mixto_EXT_BAJA!G10)*CB_SMI_Mixto_EXT_BAJA!G6)/1000000</f>
        <v>0</v>
      </c>
      <c r="L33" s="8">
        <f>((-CB_SMI_Mixto_EXT_BAJA!H10)*CB_SMI_Mixto_EXT_BAJA!H6)/1000000</f>
        <v>0</v>
      </c>
      <c r="M33" s="8">
        <f>((-CB_SMI_Mixto_EXT_BAJA!I10)*CB_SMI_Mixto_EXT_BAJA!I6)/1000000</f>
        <v>0</v>
      </c>
      <c r="N33" s="8">
        <f>((-CB_SMI_Mixto_EXT_BAJA!J10)*CB_SMI_Mixto_EXT_BAJA!J6)/1000000</f>
        <v>0</v>
      </c>
      <c r="O33" s="8">
        <f>((-CB_SMI_Mixto_EXT_BAJA!K10)*CB_SMI_Mixto_EXT_BAJA!K6)/1000000</f>
        <v>0</v>
      </c>
      <c r="P33" s="8">
        <f>((-CB_SMI_Mixto_EXT_BAJA!L10)*CB_SMI_Mixto_EXT_BAJA!L6)/1000000</f>
        <v>0</v>
      </c>
      <c r="Q33" s="8">
        <f>((-CB_SMI_Mixto_EXT_BAJA!M10)*CB_SMI_Mixto_EXT_BAJA!M6)/1000000</f>
        <v>0</v>
      </c>
      <c r="R33" s="8">
        <f>((-CB_SMI_Mixto_EXT_BAJA!N10)*CB_SMI_Mixto_EXT_BAJA!N6)/1000000</f>
        <v>0</v>
      </c>
      <c r="S33" s="8">
        <f>((-CB_SMI_Mixto_EXT_BAJA!O10)*CB_SMI_Mixto_EXT_BAJA!O6)/1000000</f>
        <v>0</v>
      </c>
      <c r="T33" s="8">
        <f>((-CB_SMI_Mixto_EXT_BAJA!P10)*CB_SMI_Mixto_EXT_BAJA!P6)/1000000</f>
        <v>0</v>
      </c>
      <c r="U33" s="8">
        <f>((-CB_SMI_Mixto_EXT_BAJA!Q10)*CB_SMI_Mixto_EXT_BAJA!Q6)/1000000</f>
        <v>0</v>
      </c>
    </row>
    <row r="34" spans="2:22" x14ac:dyDescent="0.3">
      <c r="B34" s="62"/>
      <c r="C34" s="52" t="s">
        <v>145</v>
      </c>
      <c r="D34" s="53"/>
      <c r="E34" s="53"/>
      <c r="F34" s="8">
        <f>(-CB_SMI_Mixto_EXT_BAJA!B11)/1000000</f>
        <v>-11.759229045</v>
      </c>
      <c r="G34" s="8">
        <f>(-CB_SMI_Mixto_EXT_BAJA!C11)/1000000</f>
        <v>-0.160442793</v>
      </c>
      <c r="H34" s="8">
        <f>(-CB_SMI_Mixto_EXT_BAJA!D11)/1000000</f>
        <v>-0.16281007199999997</v>
      </c>
      <c r="I34" s="8">
        <f>(-CB_SMI_Mixto_EXT_BAJA!E11)/1000000</f>
        <v>-0.165269106</v>
      </c>
      <c r="J34" s="8">
        <f>(-CB_SMI_Mixto_EXT_BAJA!F11)/1000000</f>
        <v>-0.167691438</v>
      </c>
      <c r="K34" s="8">
        <f>(-CB_SMI_Mixto_EXT_BAJA!G11)/1000000</f>
        <v>-0.170150472</v>
      </c>
      <c r="L34" s="8">
        <f>(-CB_SMI_Mixto_EXT_BAJA!H11)/1000000</f>
        <v>-0.17281136699999999</v>
      </c>
      <c r="M34" s="8">
        <f>(-CB_SMI_Mixto_EXT_BAJA!I11)/1000000</f>
        <v>-0.17539885800000002</v>
      </c>
      <c r="N34" s="8">
        <f>(-CB_SMI_Mixto_EXT_BAJA!J11)/1000000</f>
        <v>-0.17793129599999999</v>
      </c>
      <c r="O34" s="8">
        <f>(-CB_SMI_Mixto_EXT_BAJA!K11)/1000000</f>
        <v>-0.18070229699999998</v>
      </c>
      <c r="P34" s="8">
        <f>(-CB_SMI_Mixto_EXT_BAJA!L11)/1000000</f>
        <v>-0.18338154300000001</v>
      </c>
      <c r="Q34" s="8">
        <f>(-CB_SMI_Mixto_EXT_BAJA!M11)/1000000</f>
        <v>-0.186244299</v>
      </c>
      <c r="R34" s="8">
        <f>(-CB_SMI_Mixto_EXT_BAJA!N11)/1000000</f>
        <v>-0.189070353</v>
      </c>
      <c r="S34" s="8">
        <f>(-CB_SMI_Mixto_EXT_BAJA!O11)/1000000</f>
        <v>-0.19184135399999999</v>
      </c>
      <c r="T34" s="8">
        <f>(-CB_SMI_Mixto_EXT_BAJA!P11)/1000000</f>
        <v>-0.19475916300000001</v>
      </c>
      <c r="U34" s="8">
        <f>(-CB_SMI_Mixto_EXT_BAJA!Q11)/1000000</f>
        <v>-0.19764026999999998</v>
      </c>
    </row>
    <row r="35" spans="2:22" x14ac:dyDescent="0.3">
      <c r="B35" s="62"/>
      <c r="C35" s="52" t="s">
        <v>143</v>
      </c>
      <c r="D35" s="53"/>
      <c r="E35" s="53"/>
      <c r="F35" s="8">
        <f>(-CB_SMI_Mixto_EXT_BAJA!B12)/1000000</f>
        <v>-0.88362257894736851</v>
      </c>
      <c r="G35" s="8">
        <f>(-CB_SMI_Mixto_EXT_BAJA!C12)/1000000</f>
        <v>-1.2056136842105259E-2</v>
      </c>
      <c r="H35" s="8">
        <f>(-CB_SMI_Mixto_EXT_BAJA!D12)/1000000</f>
        <v>-1.2234021052631581E-2</v>
      </c>
      <c r="I35" s="8">
        <f>(-CB_SMI_Mixto_EXT_BAJA!E12)/1000000</f>
        <v>-1.2418799999999999E-2</v>
      </c>
      <c r="J35" s="8">
        <f>(-CB_SMI_Mixto_EXT_BAJA!F12)/1000000</f>
        <v>-1.260082105263158E-2</v>
      </c>
      <c r="K35" s="8">
        <f>(-CB_SMI_Mixto_EXT_BAJA!G12)/1000000</f>
        <v>-1.2785600000000001E-2</v>
      </c>
      <c r="L35" s="8">
        <f>(-CB_SMI_Mixto_EXT_BAJA!H12)/1000000</f>
        <v>-1.2985547368421051E-2</v>
      </c>
      <c r="M35" s="8">
        <f>(-CB_SMI_Mixto_EXT_BAJA!I12)/1000000</f>
        <v>-1.317997894736842E-2</v>
      </c>
      <c r="N35" s="8">
        <f>(-CB_SMI_Mixto_EXT_BAJA!J12)/1000000</f>
        <v>-1.337027368421053E-2</v>
      </c>
      <c r="O35" s="8">
        <f>(-CB_SMI_Mixto_EXT_BAJA!K12)/1000000</f>
        <v>-1.3578494736842112E-2</v>
      </c>
      <c r="P35" s="8">
        <f>(-CB_SMI_Mixto_EXT_BAJA!L12)/1000000</f>
        <v>-1.3779821052631579E-2</v>
      </c>
      <c r="Q35" s="8">
        <f>(-CB_SMI_Mixto_EXT_BAJA!M12)/1000000</f>
        <v>-1.399493684210526E-2</v>
      </c>
      <c r="R35" s="8">
        <f>(-CB_SMI_Mixto_EXT_BAJA!N12)/1000000</f>
        <v>-1.42072947368421E-2</v>
      </c>
      <c r="S35" s="8">
        <f>(-CB_SMI_Mixto_EXT_BAJA!O12)/1000000</f>
        <v>-1.4415515789473681E-2</v>
      </c>
      <c r="T35" s="8">
        <f>(-CB_SMI_Mixto_EXT_BAJA!P12)/1000000</f>
        <v>-1.463476842105263E-2</v>
      </c>
      <c r="U35" s="8">
        <f>(-CB_SMI_Mixto_EXT_BAJA!Q12)/1000000</f>
        <v>-1.4851263157894741E-2</v>
      </c>
    </row>
    <row r="36" spans="2:22" x14ac:dyDescent="0.3">
      <c r="B36" s="63"/>
      <c r="C36" s="74" t="s">
        <v>123</v>
      </c>
      <c r="D36" s="74"/>
      <c r="E36" s="74"/>
      <c r="F36" s="15">
        <f>SUM(F30:F35)</f>
        <v>-20.273545183947366</v>
      </c>
      <c r="G36" s="15">
        <f t="shared" ref="G36:U36" si="3">SUM(G30:G35)</f>
        <v>-19.338785160508774</v>
      </c>
      <c r="H36" s="15">
        <f t="shared" si="3"/>
        <v>-19.341330323719298</v>
      </c>
      <c r="I36" s="15">
        <f t="shared" si="3"/>
        <v>-19.343974136666667</v>
      </c>
      <c r="J36" s="15">
        <f t="shared" si="3"/>
        <v>-19.346578489719299</v>
      </c>
      <c r="K36" s="15">
        <f t="shared" si="3"/>
        <v>-19.349222302666668</v>
      </c>
      <c r="L36" s="15">
        <f t="shared" si="3"/>
        <v>-19.352083145035088</v>
      </c>
      <c r="M36" s="15">
        <f t="shared" si="3"/>
        <v>-19.354865067614035</v>
      </c>
      <c r="N36" s="15">
        <f t="shared" si="3"/>
        <v>-19.357587800350878</v>
      </c>
      <c r="O36" s="15">
        <f t="shared" si="3"/>
        <v>-19.360567022403508</v>
      </c>
      <c r="P36" s="15">
        <f t="shared" si="3"/>
        <v>-19.363447594719297</v>
      </c>
      <c r="Q36" s="15">
        <f t="shared" si="3"/>
        <v>-2.4000909158421044</v>
      </c>
      <c r="R36" s="15">
        <f t="shared" si="3"/>
        <v>-2.4365001010701746</v>
      </c>
      <c r="S36" s="15">
        <f t="shared" si="3"/>
        <v>-2.47220001645614</v>
      </c>
      <c r="T36" s="15">
        <f t="shared" si="3"/>
        <v>-2.5097913180877187</v>
      </c>
      <c r="U36" s="15">
        <f t="shared" si="3"/>
        <v>-2.546909773157894</v>
      </c>
    </row>
    <row r="37" spans="2:22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2:22" x14ac:dyDescent="0.3">
      <c r="B38" s="61" t="s">
        <v>119</v>
      </c>
      <c r="C38" s="52" t="s">
        <v>100</v>
      </c>
      <c r="D38" s="53"/>
      <c r="E38" s="53"/>
      <c r="F38" s="8">
        <v>0</v>
      </c>
      <c r="G38" s="8">
        <f>(-CB_SMI_Mixto_EXT_BAJA!C13/1000000)*G$25</f>
        <v>0</v>
      </c>
      <c r="H38" s="8">
        <f>(-CB_SMI_Mixto_EXT_BAJA!D13/1000000)*H$25</f>
        <v>0</v>
      </c>
      <c r="I38" s="8">
        <f>(-CB_SMI_Mixto_EXT_BAJA!E13/1000000)*I$25</f>
        <v>0</v>
      </c>
      <c r="J38" s="8">
        <f>(-CB_SMI_Mixto_EXT_BAJA!F13/1000000)*J$25</f>
        <v>0</v>
      </c>
      <c r="K38" s="8">
        <f>(-CB_SMI_Mixto_EXT_BAJA!G13/1000000)*K$25</f>
        <v>0</v>
      </c>
      <c r="L38" s="8">
        <f>(-CB_SMI_Mixto_EXT_BAJA!H13/1000000)*L$25</f>
        <v>0</v>
      </c>
      <c r="M38" s="8">
        <f>(-CB_SMI_Mixto_EXT_BAJA!I13/1000000)*M$25</f>
        <v>0</v>
      </c>
      <c r="N38" s="8">
        <f>(-CB_SMI_Mixto_EXT_BAJA!J13/1000000)*N$25</f>
        <v>0</v>
      </c>
      <c r="O38" s="8">
        <f>(-CB_SMI_Mixto_EXT_BAJA!K13/1000000)*O$25</f>
        <v>0</v>
      </c>
      <c r="P38" s="8">
        <f>(-CB_SMI_Mixto_EXT_BAJA!L13/1000000)*P$25</f>
        <v>0</v>
      </c>
      <c r="Q38" s="8">
        <f>(-CB_SMI_Mixto_EXT_BAJA!M13/1000000)*Q$25</f>
        <v>0</v>
      </c>
      <c r="R38" s="8">
        <f>(-CB_SMI_Mixto_EXT_BAJA!N13/1000000)*R$25</f>
        <v>0</v>
      </c>
      <c r="S38" s="8">
        <f>(-CB_SMI_Mixto_EXT_BAJA!O13/1000000)*S$25</f>
        <v>0</v>
      </c>
      <c r="T38" s="8">
        <f>(-CB_SMI_Mixto_EXT_BAJA!P13/1000000)*T$25</f>
        <v>0</v>
      </c>
      <c r="U38" s="8">
        <f>(-CB_SMI_Mixto_EXT_BAJA!Q13/1000000)*U$25</f>
        <v>0</v>
      </c>
    </row>
    <row r="39" spans="2:22" x14ac:dyDescent="0.3">
      <c r="B39" s="62"/>
      <c r="C39" s="52" t="s">
        <v>101</v>
      </c>
      <c r="D39" s="53"/>
      <c r="E39" s="53"/>
      <c r="F39" s="8">
        <v>0</v>
      </c>
      <c r="G39" s="8">
        <f>(-CB_SMI_Mixto_EXT_BAJA!C14/1000000)*G$25</f>
        <v>-8.5194204759250357E-4</v>
      </c>
      <c r="H39" s="8">
        <f>(-CB_SMI_Mixto_EXT_BAJA!D14/1000000)*H$25</f>
        <v>-1.6851431676949448E-3</v>
      </c>
      <c r="I39" s="8">
        <f>(-CB_SMI_Mixto_EXT_BAJA!E14/1000000)*I$25</f>
        <v>-2.4966119286291798E-3</v>
      </c>
      <c r="J39" s="8">
        <f>(-CB_SMI_Mixto_EXT_BAJA!F14/1000000)*J$25</f>
        <v>-3.287504048865551E-3</v>
      </c>
      <c r="K39" s="8">
        <f>(-CB_SMI_Mixto_EXT_BAJA!G14/1000000)*K$25</f>
        <v>-4.0605735670828248E-3</v>
      </c>
      <c r="L39" s="8">
        <f>(-CB_SMI_Mixto_EXT_BAJA!H14/1000000)*L$25</f>
        <v>-4.8151225272326367E-3</v>
      </c>
      <c r="M39" s="8">
        <f>(-CB_SMI_Mixto_EXT_BAJA!I14/1000000)*M$25</f>
        <v>-5.5521889228922223E-3</v>
      </c>
      <c r="N39" s="8">
        <f>(-CB_SMI_Mixto_EXT_BAJA!J14/1000000)*N$25</f>
        <v>-6.2707684803032715E-3</v>
      </c>
      <c r="O39" s="8">
        <f>(-CB_SMI_Mixto_EXT_BAJA!K14/1000000)*O$25</f>
        <v>-1.0659201915316614E-2</v>
      </c>
      <c r="P39" s="8">
        <f>(-CB_SMI_Mixto_EXT_BAJA!L14/1000000)*P$25</f>
        <v>-1.1862408272181445E-2</v>
      </c>
      <c r="Q39" s="8">
        <f>(-CB_SMI_Mixto_EXT_BAJA!M14/1000000)*Q$25</f>
        <v>-1.205223482321548E-2</v>
      </c>
      <c r="R39" s="8">
        <f>(-CB_SMI_Mixto_EXT_BAJA!N14/1000000)*R$25</f>
        <v>-1.2237158105403599E-2</v>
      </c>
      <c r="S39" s="8">
        <f>(-CB_SMI_Mixto_EXT_BAJA!O14/1000000)*S$25</f>
        <v>-1.243398932621748E-2</v>
      </c>
      <c r="T39" s="8">
        <f>(-CB_SMI_Mixto_EXT_BAJA!P14/1000000)*T$25</f>
        <v>-1.2654636424282861E-2</v>
      </c>
      <c r="U39" s="8">
        <f>(-CB_SMI_Mixto_EXT_BAJA!Q14/1000000)*U$25</f>
        <v>-1.288719146097398E-2</v>
      </c>
    </row>
    <row r="40" spans="2:22" x14ac:dyDescent="0.3">
      <c r="B40" s="62"/>
      <c r="C40" s="52" t="s">
        <v>146</v>
      </c>
      <c r="D40" s="53"/>
      <c r="E40" s="53"/>
      <c r="F40" s="8">
        <v>0</v>
      </c>
      <c r="G40" s="8">
        <f>(-CB_SMI_Mixto_EXT_BAJA!C15/1000000)*G$25</f>
        <v>-0.58639185390260196</v>
      </c>
      <c r="H40" s="8">
        <f>(-CB_SMI_Mixto_EXT_BAJA!D15/1000000)*H$25</f>
        <v>-1.1727837078052039</v>
      </c>
      <c r="I40" s="8">
        <f>(-CB_SMI_Mixto_EXT_BAJA!E15/1000000)*I$25</f>
        <v>-1.7591755617078058</v>
      </c>
      <c r="J40" s="8">
        <f>(-CB_SMI_Mixto_EXT_BAJA!F15/1000000)*J$25</f>
        <v>-2.3455674156104065</v>
      </c>
      <c r="K40" s="8">
        <f>(-CB_SMI_Mixto_EXT_BAJA!G15/1000000)*K$25</f>
        <v>-2.9319592695130079</v>
      </c>
      <c r="L40" s="8">
        <f>(-CB_SMI_Mixto_EXT_BAJA!H15/1000000)*L$25</f>
        <v>-3.5183511234156106</v>
      </c>
      <c r="M40" s="8">
        <f>(-CB_SMI_Mixto_EXT_BAJA!I15/1000000)*M$25</f>
        <v>-4.1047429773182111</v>
      </c>
      <c r="N40" s="8">
        <f>(-CB_SMI_Mixto_EXT_BAJA!J15/1000000)*N$25</f>
        <v>-4.691134831220813</v>
      </c>
      <c r="O40" s="8">
        <f>(-CB_SMI_Mixto_EXT_BAJA!K15/1000000)*O$25</f>
        <v>-5.2775266851234139</v>
      </c>
      <c r="P40" s="8">
        <f>(-CB_SMI_Mixto_EXT_BAJA!L15/1000000)*P$25</f>
        <v>-5.8639185390260158</v>
      </c>
      <c r="Q40" s="8">
        <f>(-CB_SMI_Mixto_EXT_BAJA!M15/1000000)*Q$25</f>
        <v>-5.9449615877251514</v>
      </c>
      <c r="R40" s="8">
        <f>(-CB_SMI_Mixto_EXT_BAJA!N15/1000000)*R$25</f>
        <v>-6.0272343762508349</v>
      </c>
      <c r="S40" s="8">
        <f>(-CB_SMI_Mixto_EXT_BAJA!O15/1000000)*S$25</f>
        <v>-6.1107129486324228</v>
      </c>
      <c r="T40" s="8">
        <f>(-CB_SMI_Mixto_EXT_BAJA!P15/1000000)*T$25</f>
        <v>-6.1954611874583065</v>
      </c>
      <c r="U40" s="8">
        <f>(-CB_SMI_Mixto_EXT_BAJA!Q15/1000000)*U$25</f>
        <v>-6.2814631220813881</v>
      </c>
    </row>
    <row r="41" spans="2:22" x14ac:dyDescent="0.3">
      <c r="B41" s="62"/>
      <c r="C41" s="52" t="s">
        <v>144</v>
      </c>
      <c r="D41" s="53"/>
      <c r="E41" s="53"/>
      <c r="F41" s="8">
        <v>0</v>
      </c>
      <c r="G41" s="8">
        <f>(-CB_SMI_Mixto_EXT_BAJA!C16/1000000)*G$25</f>
        <v>-8.3225504155263155E-2</v>
      </c>
      <c r="H41" s="8">
        <f>(-CB_SMI_Mixto_EXT_BAJA!D16/1000000)*H$25</f>
        <v>-0.16645100831052631</v>
      </c>
      <c r="I41" s="8">
        <f>(-CB_SMI_Mixto_EXT_BAJA!E16/1000000)*I$25</f>
        <v>-0.24967651246578951</v>
      </c>
      <c r="J41" s="8">
        <f>(-CB_SMI_Mixto_EXT_BAJA!F16/1000000)*J$25</f>
        <v>-0.33290201662105251</v>
      </c>
      <c r="K41" s="8">
        <f>(-CB_SMI_Mixto_EXT_BAJA!G16/1000000)*K$25</f>
        <v>-0.4161275207763156</v>
      </c>
      <c r="L41" s="8">
        <f>(-CB_SMI_Mixto_EXT_BAJA!H16/1000000)*L$25</f>
        <v>-0.49935302493157874</v>
      </c>
      <c r="M41" s="8">
        <f>(-CB_SMI_Mixto_EXT_BAJA!I16/1000000)*M$25</f>
        <v>-0.58257852908684182</v>
      </c>
      <c r="N41" s="8">
        <f>(-CB_SMI_Mixto_EXT_BAJA!J16/1000000)*N$25</f>
        <v>-0.66580403324210491</v>
      </c>
      <c r="O41" s="8">
        <f>(-CB_SMI_Mixto_EXT_BAJA!K16/1000000)*O$25</f>
        <v>-0.74902953739736799</v>
      </c>
      <c r="P41" s="8">
        <f>(-CB_SMI_Mixto_EXT_BAJA!L16/1000000)*P$25</f>
        <v>-0.83225504155263119</v>
      </c>
      <c r="Q41" s="8">
        <f>(-CB_SMI_Mixto_EXT_BAJA!M16/1000000)*Q$25</f>
        <v>-0.8437573305789472</v>
      </c>
      <c r="R41" s="8">
        <f>(-CB_SMI_Mixto_EXT_BAJA!N16/1000000)*R$25</f>
        <v>-0.85543415428947367</v>
      </c>
      <c r="S41" s="8">
        <f>(-CB_SMI_Mixto_EXT_BAJA!O16/1000000)*S$25</f>
        <v>-0.86728211265789457</v>
      </c>
      <c r="T41" s="8">
        <f>(-CB_SMI_Mixto_EXT_BAJA!P16/1000000)*T$25</f>
        <v>-0.87931027242105264</v>
      </c>
      <c r="U41" s="8">
        <f>(-CB_SMI_Mixto_EXT_BAJA!Q16/1000000)*U$25</f>
        <v>-0.89151636689473668</v>
      </c>
    </row>
    <row r="42" spans="2:22" x14ac:dyDescent="0.3">
      <c r="B42" s="62"/>
      <c r="C42" s="52" t="s">
        <v>61</v>
      </c>
      <c r="D42" s="53"/>
      <c r="E42" s="53"/>
      <c r="F42" s="8">
        <v>0</v>
      </c>
      <c r="G42" s="8">
        <f>(-CB_SMI_Mixto_EXT_BAJA!C17/1000000)*G$25</f>
        <v>-9.1204655400000043E-2</v>
      </c>
      <c r="H42" s="8">
        <f>(-CB_SMI_Mixto_EXT_BAJA!D17/1000000)*H$25</f>
        <v>-0.18240931080000006</v>
      </c>
      <c r="I42" s="8">
        <f>(-CB_SMI_Mixto_EXT_BAJA!E17/1000000)*I$25</f>
        <v>-0.27361396620000011</v>
      </c>
      <c r="J42" s="8">
        <f>(-CB_SMI_Mixto_EXT_BAJA!F17/1000000)*J$25</f>
        <v>-0.36481862159999995</v>
      </c>
      <c r="K42" s="8">
        <f>(-CB_SMI_Mixto_EXT_BAJA!G17/1000000)*K$25</f>
        <v>-0.456023277</v>
      </c>
      <c r="L42" s="8">
        <f>(-CB_SMI_Mixto_EXT_BAJA!H17/1000000)*L$25</f>
        <v>-0.54722793239999989</v>
      </c>
      <c r="M42" s="8">
        <f>(-CB_SMI_Mixto_EXT_BAJA!I17/1000000)*M$25</f>
        <v>-0.6384325877999999</v>
      </c>
      <c r="N42" s="8">
        <f>(-CB_SMI_Mixto_EXT_BAJA!J17/1000000)*N$25</f>
        <v>-0.7296372431999999</v>
      </c>
      <c r="O42" s="8">
        <f>(-CB_SMI_Mixto_EXT_BAJA!K17/1000000)*O$25</f>
        <v>-0.82084189859999979</v>
      </c>
      <c r="P42" s="8">
        <f>(-CB_SMI_Mixto_EXT_BAJA!L17/1000000)*P$25</f>
        <v>-0.91204655399999968</v>
      </c>
      <c r="Q42" s="8">
        <f>(-CB_SMI_Mixto_EXT_BAJA!M17/1000000)*Q$25</f>
        <v>-0.92465161200000012</v>
      </c>
      <c r="R42" s="8">
        <f>(-CB_SMI_Mixto_EXT_BAJA!N17/1000000)*R$25</f>
        <v>-0.93744793800000015</v>
      </c>
      <c r="S42" s="8">
        <f>(-CB_SMI_Mixto_EXT_BAJA!O17/1000000)*S$25</f>
        <v>-0.95043180600000021</v>
      </c>
      <c r="T42" s="8">
        <f>(-CB_SMI_Mixto_EXT_BAJA!P17/1000000)*T$25</f>
        <v>-0.96361315200000008</v>
      </c>
      <c r="U42" s="8">
        <f>(-CB_SMI_Mixto_EXT_BAJA!Q17/1000000)*U$25</f>
        <v>-0.97698949200000018</v>
      </c>
    </row>
    <row r="43" spans="2:22" x14ac:dyDescent="0.3">
      <c r="B43" s="63"/>
      <c r="C43" s="74" t="s">
        <v>131</v>
      </c>
      <c r="D43" s="74"/>
      <c r="E43" s="74"/>
      <c r="F43" s="15">
        <f>SUM(F38:F42)</f>
        <v>0</v>
      </c>
      <c r="G43" s="15">
        <f>SUM(G38:G42)</f>
        <v>-0.76167395550545769</v>
      </c>
      <c r="H43" s="15">
        <f t="shared" ref="H43:T43" si="4">SUM(H38:H42)</f>
        <v>-1.5233291700834253</v>
      </c>
      <c r="I43" s="15">
        <f t="shared" si="4"/>
        <v>-2.2849626523022244</v>
      </c>
      <c r="J43" s="15">
        <f t="shared" si="4"/>
        <v>-3.0465755578803244</v>
      </c>
      <c r="K43" s="15">
        <f t="shared" si="4"/>
        <v>-3.8081706408564062</v>
      </c>
      <c r="L43" s="15">
        <f t="shared" si="4"/>
        <v>-4.5697472032744226</v>
      </c>
      <c r="M43" s="15">
        <f t="shared" si="4"/>
        <v>-5.3313062831279447</v>
      </c>
      <c r="N43" s="15">
        <f t="shared" si="4"/>
        <v>-6.0928468761432208</v>
      </c>
      <c r="O43" s="15">
        <f t="shared" si="4"/>
        <v>-6.8580573230360979</v>
      </c>
      <c r="P43" s="15">
        <f t="shared" si="4"/>
        <v>-7.6200825428508283</v>
      </c>
      <c r="Q43" s="15">
        <f t="shared" si="4"/>
        <v>-7.7254227651273144</v>
      </c>
      <c r="R43" s="15">
        <f t="shared" si="4"/>
        <v>-7.8323536266457117</v>
      </c>
      <c r="S43" s="15">
        <f t="shared" si="4"/>
        <v>-7.9408608566165348</v>
      </c>
      <c r="T43" s="15">
        <f t="shared" si="4"/>
        <v>-8.0510392483036419</v>
      </c>
      <c r="U43" s="15">
        <f>SUM(U38:U42)</f>
        <v>-8.1628561724370989</v>
      </c>
    </row>
    <row r="45" spans="2:22" x14ac:dyDescent="0.3">
      <c r="B45" s="78" t="s">
        <v>155</v>
      </c>
      <c r="C45" s="74"/>
      <c r="D45" s="74"/>
      <c r="E45" s="74"/>
      <c r="F45" s="15">
        <f>F36+F43</f>
        <v>-20.273545183947366</v>
      </c>
      <c r="G45" s="15">
        <f t="shared" ref="G45:U45" si="5">G36+G43</f>
        <v>-20.100459116014232</v>
      </c>
      <c r="H45" s="15">
        <f t="shared" si="5"/>
        <v>-20.864659493802723</v>
      </c>
      <c r="I45" s="15">
        <f t="shared" si="5"/>
        <v>-21.62893678896889</v>
      </c>
      <c r="J45" s="15">
        <f t="shared" si="5"/>
        <v>-22.393154047599623</v>
      </c>
      <c r="K45" s="15">
        <f t="shared" si="5"/>
        <v>-23.157392943523075</v>
      </c>
      <c r="L45" s="15">
        <f t="shared" si="5"/>
        <v>-23.921830348309513</v>
      </c>
      <c r="M45" s="15">
        <f t="shared" si="5"/>
        <v>-24.686171350741979</v>
      </c>
      <c r="N45" s="15">
        <f t="shared" si="5"/>
        <v>-25.450434676494098</v>
      </c>
      <c r="O45" s="15">
        <f t="shared" si="5"/>
        <v>-26.218624345439608</v>
      </c>
      <c r="P45" s="15">
        <f t="shared" si="5"/>
        <v>-26.983530137570124</v>
      </c>
      <c r="Q45" s="15">
        <f t="shared" si="5"/>
        <v>-10.125513680969419</v>
      </c>
      <c r="R45" s="15">
        <f t="shared" si="5"/>
        <v>-10.268853727715886</v>
      </c>
      <c r="S45" s="15">
        <f t="shared" si="5"/>
        <v>-10.413060873072675</v>
      </c>
      <c r="T45" s="15">
        <f t="shared" si="5"/>
        <v>-10.56083056639136</v>
      </c>
      <c r="U45" s="15">
        <f t="shared" si="5"/>
        <v>-10.709765945594993</v>
      </c>
    </row>
    <row r="46" spans="2:22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2" x14ac:dyDescent="0.3">
      <c r="B47" s="79" t="s">
        <v>120</v>
      </c>
      <c r="C47" s="52" t="s">
        <v>112</v>
      </c>
      <c r="D47" s="53"/>
      <c r="E47" s="53"/>
      <c r="F47" s="8">
        <v>0</v>
      </c>
      <c r="G47" s="8">
        <f>(CB_SMI_Mixto_EXT_BAJA!C18/1000000)*G$25</f>
        <v>0.44365495898953444</v>
      </c>
      <c r="H47" s="8">
        <f>(CB_SMI_Mixto_EXT_BAJA!D18/1000000)*H$25</f>
        <v>0.88825438210873553</v>
      </c>
      <c r="I47" s="8">
        <f>(CB_SMI_Mixto_EXT_BAJA!E18/1000000)*I$25</f>
        <v>1.3337873706062573</v>
      </c>
      <c r="J47" s="8">
        <f>(CB_SMI_Mixto_EXT_BAJA!F18/1000000)*J$25</f>
        <v>1.78019701885474</v>
      </c>
      <c r="K47" s="8">
        <f>(CB_SMI_Mixto_EXT_BAJA!G18/1000000)*K$25</f>
        <v>2.2275810185738543</v>
      </c>
      <c r="L47" s="8">
        <f>(CB_SMI_Mixto_EXT_BAJA!H18/1000000)*L$25</f>
        <v>2.6757912431549147</v>
      </c>
      <c r="M47" s="8">
        <f>(CB_SMI_Mixto_EXT_BAJA!I18/1000000)*M$25</f>
        <v>3.1247869374804642</v>
      </c>
      <c r="N47" s="8">
        <f>(CB_SMI_Mixto_EXT_BAJA!J18/1000000)*N$25</f>
        <v>3.5747694651241155</v>
      </c>
      <c r="O47" s="8">
        <f>(CB_SMI_Mixto_EXT_BAJA!K18/1000000)*O$25</f>
        <v>4.0255587741783092</v>
      </c>
      <c r="P47" s="8">
        <f>(CB_SMI_Mixto_EXT_BAJA!L18/1000000)*P$25</f>
        <v>4.4770400063999984</v>
      </c>
      <c r="Q47" s="8">
        <f>(CB_SMI_Mixto_EXT_BAJA!M18/1000000)*Q$25</f>
        <v>4.5431081747999995</v>
      </c>
      <c r="R47" s="8">
        <f>(CB_SMI_Mixto_EXT_BAJA!N18/1000000)*R$25</f>
        <v>4.6102493268</v>
      </c>
      <c r="S47" s="8">
        <f>(CB_SMI_Mixto_EXT_BAJA!O18/1000000)*S$25</f>
        <v>4.6784315916000008</v>
      </c>
      <c r="T47" s="8">
        <f>(CB_SMI_Mixto_EXT_BAJA!P18/1000000)*T$25</f>
        <v>4.7475274859999992</v>
      </c>
      <c r="U47" s="8">
        <f>(CB_SMI_Mixto_EXT_BAJA!Q18/1000000)*U$25</f>
        <v>4.8177972882000004</v>
      </c>
      <c r="V47" s="30">
        <f>U47/$U$56</f>
        <v>0.19113553479412457</v>
      </c>
    </row>
    <row r="48" spans="2:22" x14ac:dyDescent="0.3">
      <c r="B48" s="80"/>
      <c r="C48" s="52" t="s">
        <v>62</v>
      </c>
      <c r="D48" s="53"/>
      <c r="E48" s="53"/>
      <c r="F48" s="8">
        <v>0</v>
      </c>
      <c r="G48" s="8">
        <f>(CB_SMI_Mixto_EXT_BAJA!C19/1000000)*G$25</f>
        <v>2.5018542453487631E-2</v>
      </c>
      <c r="H48" s="8">
        <f>(CB_SMI_Mixto_EXT_BAJA!D19/1000000)*H$25</f>
        <v>5.0090545577207671E-2</v>
      </c>
      <c r="I48" s="8">
        <f>(CB_SMI_Mixto_EXT_BAJA!E19/1000000)*I$25</f>
        <v>7.521598968762068E-2</v>
      </c>
      <c r="J48" s="8">
        <f>(CB_SMI_Mixto_EXT_BAJA!F19/1000000)*J$25</f>
        <v>0.10039142210916588</v>
      </c>
      <c r="K48" s="8">
        <f>(CB_SMI_Mixto_EXT_BAJA!G19/1000000)*K$25</f>
        <v>0.12562125506299915</v>
      </c>
      <c r="L48" s="8">
        <f>(CB_SMI_Mixto_EXT_BAJA!H19/1000000)*L$25</f>
        <v>0.15089867154607467</v>
      </c>
      <c r="M48" s="8">
        <f>(CB_SMI_Mixto_EXT_BAJA!I19/1000000)*M$25</f>
        <v>0.17622166548722359</v>
      </c>
      <c r="N48" s="8">
        <f>(CB_SMI_Mixto_EXT_BAJA!J19/1000000)*N$25</f>
        <v>0.20159943840754485</v>
      </c>
      <c r="O48" s="8">
        <f>(CB_SMI_Mixto_EXT_BAJA!K19/1000000)*O$25</f>
        <v>0.2270224925099544</v>
      </c>
      <c r="P48" s="8">
        <f>(CB_SMI_Mixto_EXT_BAJA!L19/1000000)*P$25</f>
        <v>0.25248639049199989</v>
      </c>
      <c r="Q48" s="8">
        <f>(CB_SMI_Mixto_EXT_BAJA!M19/1000000)*Q$25</f>
        <v>0.25621438584599998</v>
      </c>
      <c r="R48" s="8">
        <f>(CB_SMI_Mixto_EXT_BAJA!N19/1000000)*R$25</f>
        <v>0.26000371261799998</v>
      </c>
      <c r="S48" s="8">
        <f>(CB_SMI_Mixto_EXT_BAJA!O19/1000000)*S$25</f>
        <v>0.26402491217700003</v>
      </c>
      <c r="T48" s="8">
        <f>(CB_SMI_Mixto_EXT_BAJA!P19/1000000)*T$25</f>
        <v>0.26810415665999998</v>
      </c>
      <c r="U48" s="8">
        <f>(CB_SMI_Mixto_EXT_BAJA!Q19/1000000)*U$25</f>
        <v>0.27225332649900003</v>
      </c>
      <c r="V48" s="30">
        <f t="shared" ref="V48:V55" si="6">U48/$U$56</f>
        <v>1.0801053271236255E-2</v>
      </c>
    </row>
    <row r="49" spans="2:24" x14ac:dyDescent="0.3">
      <c r="B49" s="80"/>
      <c r="C49" s="52" t="s">
        <v>95</v>
      </c>
      <c r="D49" s="53"/>
      <c r="E49" s="53"/>
      <c r="F49" s="8">
        <v>0</v>
      </c>
      <c r="G49" s="8">
        <f>(CB_SMI_Mixto_EXT_BAJA!C20/1000000)*G$25</f>
        <v>0.86222524479014406</v>
      </c>
      <c r="H49" s="8">
        <f>(CB_SMI_Mixto_EXT_BAJA!D20/1000000)*H$25</f>
        <v>1.7525903692052844</v>
      </c>
      <c r="I49" s="8">
        <f>(CB_SMI_Mixto_EXT_BAJA!E20/1000000)*I$25</f>
        <v>2.6717328480507718</v>
      </c>
      <c r="J49" s="8">
        <f>(CB_SMI_Mixto_EXT_BAJA!F20/1000000)*J$25</f>
        <v>3.6203241711776561</v>
      </c>
      <c r="K49" s="8">
        <f>(CB_SMI_Mixto_EXT_BAJA!G20/1000000)*K$25</f>
        <v>4.5990437301990532</v>
      </c>
      <c r="L49" s="8">
        <f>(CB_SMI_Mixto_EXT_BAJA!H20/1000000)*L$25</f>
        <v>5.6085119712442113</v>
      </c>
      <c r="M49" s="8">
        <f>(CB_SMI_Mixto_EXT_BAJA!I20/1000000)*M$25</f>
        <v>6.6494557408637212</v>
      </c>
      <c r="N49" s="8">
        <f>(CB_SMI_Mixto_EXT_BAJA!J20/1000000)*N$25</f>
        <v>7.7226382930266979</v>
      </c>
      <c r="O49" s="8">
        <f>(CB_SMI_Mixto_EXT_BAJA!K20/1000000)*O$25</f>
        <v>8.8286704222101164</v>
      </c>
      <c r="P49" s="8">
        <f>(CB_SMI_Mixto_EXT_BAJA!L20/1000000)*P$25</f>
        <v>9.9683619080797232</v>
      </c>
      <c r="Q49" s="8">
        <f>(CB_SMI_Mixto_EXT_BAJA!M20/1000000)*Q$25</f>
        <v>10.26940643770374</v>
      </c>
      <c r="R49" s="8">
        <f>(CB_SMI_Mixto_EXT_BAJA!N20/1000000)*R$25</f>
        <v>10.579542512122391</v>
      </c>
      <c r="S49" s="8">
        <f>(CB_SMI_Mixto_EXT_BAJA!O20/1000000)*S$25</f>
        <v>10.899044695988479</v>
      </c>
      <c r="T49" s="8">
        <f>(CB_SMI_Mixto_EXT_BAJA!P20/1000000)*T$25</f>
        <v>11.22819584580734</v>
      </c>
      <c r="U49" s="8">
        <f>(CB_SMI_Mixto_EXT_BAJA!Q20/1000000)*U$25</f>
        <v>11.56728736035072</v>
      </c>
      <c r="V49" s="30">
        <f t="shared" si="6"/>
        <v>0.45890674170809381</v>
      </c>
    </row>
    <row r="50" spans="2:24" x14ac:dyDescent="0.3">
      <c r="B50" s="80"/>
      <c r="C50" s="52" t="s">
        <v>96</v>
      </c>
      <c r="D50" s="53"/>
      <c r="E50" s="53"/>
      <c r="F50" s="8">
        <v>0</v>
      </c>
      <c r="G50" s="8">
        <f>(CB_SMI_Mixto_EXT_BAJA!C21/1000000)*G$25</f>
        <v>1.9215982218803749E-2</v>
      </c>
      <c r="H50" s="8">
        <f>(CB_SMI_Mixto_EXT_BAJA!D21/1000000)*H$25</f>
        <v>3.7914098080033265E-2</v>
      </c>
      <c r="I50" s="8">
        <f>(CB_SMI_Mixto_EXT_BAJA!E21/1000000)*I$25</f>
        <v>5.6103737362172994E-2</v>
      </c>
      <c r="J50" s="8">
        <f>(CB_SMI_Mixto_EXT_BAJA!F21/1000000)*J$25</f>
        <v>7.3794616000717433E-2</v>
      </c>
      <c r="K50" s="8">
        <f>(CB_SMI_Mixto_EXT_BAJA!G21/1000000)*K$25</f>
        <v>9.0996190421749432E-2</v>
      </c>
      <c r="L50" s="8">
        <f>(CB_SMI_Mixto_EXT_BAJA!H21/1000000)*L$25</f>
        <v>0.10771638686131908</v>
      </c>
      <c r="M50" s="8">
        <f>(CB_SMI_Mixto_EXT_BAJA!I21/1000000)*M$25</f>
        <v>0.12396488456892288</v>
      </c>
      <c r="N50" s="8">
        <f>(CB_SMI_Mixto_EXT_BAJA!J21/1000000)*N$25</f>
        <v>0.13975158085688077</v>
      </c>
      <c r="O50" s="8">
        <f>(CB_SMI_Mixto_EXT_BAJA!K21/1000000)*O$25</f>
        <v>0.15508321450296556</v>
      </c>
      <c r="P50" s="8">
        <f>(CB_SMI_Mixto_EXT_BAJA!L21/1000000)*P$25</f>
        <v>0.1699697912325995</v>
      </c>
      <c r="Q50" s="8">
        <f>(CB_SMI_Mixto_EXT_BAJA!M21/1000000)*Q$25</f>
        <v>0.16996979123259959</v>
      </c>
      <c r="R50" s="8">
        <f>(CB_SMI_Mixto_EXT_BAJA!N21/1000000)*R$25</f>
        <v>0.16996979123259959</v>
      </c>
      <c r="S50" s="8">
        <f>(CB_SMI_Mixto_EXT_BAJA!O21/1000000)*S$25</f>
        <v>0.16996979123259959</v>
      </c>
      <c r="T50" s="8">
        <f>(CB_SMI_Mixto_EXT_BAJA!P21/1000000)*T$25</f>
        <v>0.16996979123259959</v>
      </c>
      <c r="U50" s="8">
        <f>(CB_SMI_Mixto_EXT_BAJA!Q21/1000000)*U$25</f>
        <v>0.16996979123259959</v>
      </c>
      <c r="V50" s="30">
        <f t="shared" si="6"/>
        <v>6.7431784698908214E-3</v>
      </c>
      <c r="W50" s="31">
        <f>1700*0.4</f>
        <v>680</v>
      </c>
      <c r="X50" s="31">
        <f>1700*0.23</f>
        <v>391</v>
      </c>
    </row>
    <row r="51" spans="2:24" x14ac:dyDescent="0.3">
      <c r="B51" s="80"/>
      <c r="C51" s="52" t="s">
        <v>140</v>
      </c>
      <c r="D51" s="53"/>
      <c r="E51" s="53"/>
      <c r="F51" s="8">
        <v>0</v>
      </c>
      <c r="G51" s="8">
        <f>(CB_SMI_Mixto_EXT_BAJA!C22/1000000)*G$25</f>
        <v>0</v>
      </c>
      <c r="H51" s="8">
        <f>(CB_SMI_Mixto_EXT_BAJA!D22/1000000)*H$25</f>
        <v>0</v>
      </c>
      <c r="I51" s="8">
        <f>(CB_SMI_Mixto_EXT_BAJA!E22/1000000)*I$25</f>
        <v>0</v>
      </c>
      <c r="J51" s="8">
        <f>(CB_SMI_Mixto_EXT_BAJA!F22/1000000)*J$25</f>
        <v>0</v>
      </c>
      <c r="K51" s="8">
        <f>(CB_SMI_Mixto_EXT_BAJA!G22/1000000)*K$25</f>
        <v>0</v>
      </c>
      <c r="L51" s="8">
        <f>(CB_SMI_Mixto_EXT_BAJA!H22/1000000)*L$25</f>
        <v>0</v>
      </c>
      <c r="M51" s="8">
        <f>(CB_SMI_Mixto_EXT_BAJA!I22/1000000)*M$25</f>
        <v>0</v>
      </c>
      <c r="N51" s="8">
        <f>(CB_SMI_Mixto_EXT_BAJA!J22/1000000)*N$25</f>
        <v>0</v>
      </c>
      <c r="O51" s="8">
        <f>(CB_SMI_Mixto_EXT_BAJA!K22/1000000)*O$25</f>
        <v>0</v>
      </c>
      <c r="P51" s="8">
        <f>(CB_SMI_Mixto_EXT_BAJA!L22/1000000)*P$25</f>
        <v>0</v>
      </c>
      <c r="Q51" s="8">
        <f>(CB_SMI_Mixto_EXT_BAJA!M22/1000000)*Q$25</f>
        <v>0</v>
      </c>
      <c r="R51" s="8">
        <f>(CB_SMI_Mixto_EXT_BAJA!N22/1000000)*R$25</f>
        <v>0</v>
      </c>
      <c r="S51" s="8">
        <f>(CB_SMI_Mixto_EXT_BAJA!O22/1000000)*S$25</f>
        <v>0</v>
      </c>
      <c r="T51" s="8">
        <f>(CB_SMI_Mixto_EXT_BAJA!P22/1000000)*T$25</f>
        <v>0</v>
      </c>
      <c r="U51" s="8">
        <f>(CB_SMI_Mixto_EXT_BAJA!Q22/1000000)*U$25</f>
        <v>0</v>
      </c>
      <c r="V51" s="30">
        <f t="shared" si="6"/>
        <v>0</v>
      </c>
      <c r="W51" s="32">
        <f>+W50*0.06</f>
        <v>40.799999999999997</v>
      </c>
      <c r="X51" s="32">
        <f>+X50*0.06</f>
        <v>23.46</v>
      </c>
    </row>
    <row r="52" spans="2:24" x14ac:dyDescent="0.3">
      <c r="B52" s="80"/>
      <c r="C52" s="52" t="s">
        <v>98</v>
      </c>
      <c r="D52" s="53"/>
      <c r="E52" s="53"/>
      <c r="F52" s="8">
        <v>0</v>
      </c>
      <c r="G52" s="8">
        <f>(CB_SMI_Mixto_EXT_BAJA!C23/1000000)*G$25</f>
        <v>0</v>
      </c>
      <c r="H52" s="8">
        <f>(CB_SMI_Mixto_EXT_BAJA!D23/1000000)*H$25</f>
        <v>0</v>
      </c>
      <c r="I52" s="8">
        <f>(CB_SMI_Mixto_EXT_BAJA!E23/1000000)*I$25</f>
        <v>0</v>
      </c>
      <c r="J52" s="8">
        <f>(CB_SMI_Mixto_EXT_BAJA!F23/1000000)*J$25</f>
        <v>0</v>
      </c>
      <c r="K52" s="8">
        <f>(CB_SMI_Mixto_EXT_BAJA!G23/1000000)*K$25</f>
        <v>0</v>
      </c>
      <c r="L52" s="8">
        <f>(CB_SMI_Mixto_EXT_BAJA!H23/1000000)*L$25</f>
        <v>0</v>
      </c>
      <c r="M52" s="8">
        <f>(CB_SMI_Mixto_EXT_BAJA!I23/1000000)*M$25</f>
        <v>0</v>
      </c>
      <c r="N52" s="8">
        <f>(CB_SMI_Mixto_EXT_BAJA!J23/1000000)*N$25</f>
        <v>0</v>
      </c>
      <c r="O52" s="8">
        <f>(CB_SMI_Mixto_EXT_BAJA!K23/1000000)*O$25</f>
        <v>0</v>
      </c>
      <c r="P52" s="8">
        <f>(CB_SMI_Mixto_EXT_BAJA!L23/1000000)*P$25</f>
        <v>0</v>
      </c>
      <c r="Q52" s="8">
        <f>(CB_SMI_Mixto_EXT_BAJA!M23/1000000)*Q$25</f>
        <v>0</v>
      </c>
      <c r="R52" s="8">
        <f>(CB_SMI_Mixto_EXT_BAJA!N23/1000000)*R$25</f>
        <v>0</v>
      </c>
      <c r="S52" s="8">
        <f>(CB_SMI_Mixto_EXT_BAJA!O23/1000000)*S$25</f>
        <v>0</v>
      </c>
      <c r="T52" s="8">
        <f>(CB_SMI_Mixto_EXT_BAJA!P23/1000000)*T$25</f>
        <v>0</v>
      </c>
      <c r="U52" s="8">
        <f>(CB_SMI_Mixto_EXT_BAJA!Q23/1000000)*U$25</f>
        <v>0</v>
      </c>
      <c r="V52" s="30">
        <f t="shared" si="6"/>
        <v>0</v>
      </c>
      <c r="W52" s="32">
        <f>+W51/7</f>
        <v>5.8285714285714283</v>
      </c>
      <c r="X52" s="32">
        <f>+X51/7</f>
        <v>3.3514285714285714</v>
      </c>
    </row>
    <row r="53" spans="2:24" x14ac:dyDescent="0.3">
      <c r="B53" s="80"/>
      <c r="C53" s="52" t="s">
        <v>63</v>
      </c>
      <c r="D53" s="53"/>
      <c r="E53" s="53"/>
      <c r="F53" s="8">
        <v>0</v>
      </c>
      <c r="G53" s="8">
        <f>(CB_SMI_Mixto_EXT_BAJA!C24/1000000)*G$25</f>
        <v>0.15208057358980667</v>
      </c>
      <c r="H53" s="8">
        <f>(CB_SMI_Mixto_EXT_BAJA!D24/1000000)*H$25</f>
        <v>0.32278616316646958</v>
      </c>
      <c r="I53" s="8">
        <f>(CB_SMI_Mixto_EXT_BAJA!E24/1000000)*I$25</f>
        <v>0.50973171760696967</v>
      </c>
      <c r="J53" s="8">
        <f>(CB_SMI_Mixto_EXT_BAJA!F24/1000000)*J$25</f>
        <v>0.71087245691431877</v>
      </c>
      <c r="K53" s="8">
        <f>(CB_SMI_Mixto_EXT_BAJA!G24/1000000)*K$25</f>
        <v>0.92426419927003745</v>
      </c>
      <c r="L53" s="8">
        <f>(CB_SMI_Mixto_EXT_BAJA!H24/1000000)*L$25</f>
        <v>1.1470393318171965</v>
      </c>
      <c r="M53" s="8">
        <f>(CB_SMI_Mixto_EXT_BAJA!I24/1000000)*M$25</f>
        <v>1.3787367335756866</v>
      </c>
      <c r="N53" s="8">
        <f>(CB_SMI_Mixto_EXT_BAJA!J24/1000000)*N$25</f>
        <v>1.6173914225059101</v>
      </c>
      <c r="O53" s="8">
        <f>(CB_SMI_Mixto_EXT_BAJA!K24/1000000)*O$25</f>
        <v>1.8605005815572127</v>
      </c>
      <c r="P53" s="8">
        <f>(CB_SMI_Mixto_EXT_BAJA!L24/1000000)*P$25</f>
        <v>2.1082137189008141</v>
      </c>
      <c r="Q53" s="8">
        <f>(CB_SMI_Mixto_EXT_BAJA!M24/1000000)*Q$25</f>
        <v>2.173082590320413</v>
      </c>
      <c r="R53" s="8">
        <f>(CB_SMI_Mixto_EXT_BAJA!N24/1000000)*R$25</f>
        <v>2.2359880137500121</v>
      </c>
      <c r="S53" s="8">
        <f>(CB_SMI_Mixto_EXT_BAJA!O24/1000000)*S$25</f>
        <v>2.293703254163538</v>
      </c>
      <c r="T53" s="8">
        <f>(CB_SMI_Mixto_EXT_BAJA!P24/1000000)*T$25</f>
        <v>2.3483646237620719</v>
      </c>
      <c r="U53" s="8">
        <f>(CB_SMI_Mixto_EXT_BAJA!Q24/1000000)*U$25</f>
        <v>2.4004620025376342</v>
      </c>
      <c r="V53" s="30">
        <f t="shared" si="6"/>
        <v>9.5233062157213624E-2</v>
      </c>
      <c r="W53" s="32">
        <f>+W52/12</f>
        <v>0.48571428571428571</v>
      </c>
      <c r="X53" s="32">
        <f>+X52/12</f>
        <v>0.2792857142857143</v>
      </c>
    </row>
    <row r="54" spans="2:24" x14ac:dyDescent="0.3">
      <c r="B54" s="80"/>
      <c r="C54" s="52" t="s">
        <v>99</v>
      </c>
      <c r="D54" s="53"/>
      <c r="E54" s="53"/>
      <c r="F54" s="8">
        <v>0</v>
      </c>
      <c r="G54" s="8">
        <f>(CB_SMI_Mixto_EXT_BAJA!C25/1000000)*G$25</f>
        <v>8.4882953672103398E-2</v>
      </c>
      <c r="H54" s="8">
        <f>(CB_SMI_Mixto_EXT_BAJA!D25/1000000)*H$25</f>
        <v>0.16994728879770488</v>
      </c>
      <c r="I54" s="8">
        <f>(CB_SMI_Mixto_EXT_BAJA!E25/1000000)*I$25</f>
        <v>0.25519293859445819</v>
      </c>
      <c r="J54" s="8">
        <f>(CB_SMI_Mixto_EXT_BAJA!F25/1000000)*J$25</f>
        <v>0.34060818881880894</v>
      </c>
      <c r="K54" s="8">
        <f>(CB_SMI_Mixto_EXT_BAJA!G25/1000000)*K$25</f>
        <v>0.42620800926224961</v>
      </c>
      <c r="L54" s="8">
        <f>(CB_SMI_Mixto_EXT_BAJA!H25/1000000)*L$25</f>
        <v>0.51196927118517421</v>
      </c>
      <c r="M54" s="8">
        <f>(CB_SMI_Mixto_EXT_BAJA!I25/1000000)*M$25</f>
        <v>0.59788516838588646</v>
      </c>
      <c r="N54" s="8">
        <f>(CB_SMI_Mixto_EXT_BAJA!J25/1000000)*N$25</f>
        <v>0.6839869198009253</v>
      </c>
      <c r="O54" s="8">
        <f>(CB_SMI_Mixto_EXT_BAJA!K25/1000000)*O$25</f>
        <v>0.77024230128808246</v>
      </c>
      <c r="P54" s="8">
        <f>(CB_SMI_Mixto_EXT_BAJA!L25/1000000)*P$25</f>
        <v>0.85663625795999976</v>
      </c>
      <c r="Q54" s="8">
        <f>(CB_SMI_Mixto_EXT_BAJA!M25/1000000)*Q$25</f>
        <v>0.86928460697999999</v>
      </c>
      <c r="R54" s="8">
        <f>(CB_SMI_Mixto_EXT_BAJA!N25/1000000)*R$25</f>
        <v>0.88214104134000004</v>
      </c>
      <c r="S54" s="8">
        <f>(CB_SMI_Mixto_EXT_BAJA!O25/1000000)*S$25</f>
        <v>0.89519185481999997</v>
      </c>
      <c r="T54" s="8">
        <f>(CB_SMI_Mixto_EXT_BAJA!P25/1000000)*T$25</f>
        <v>0.90842209517999994</v>
      </c>
      <c r="U54" s="8">
        <f>(CB_SMI_Mixto_EXT_BAJA!Q25/1000000)*U$25</f>
        <v>0.92187163506000003</v>
      </c>
      <c r="V54" s="30">
        <f t="shared" si="6"/>
        <v>3.6573234081535823E-2</v>
      </c>
    </row>
    <row r="55" spans="2:24" x14ac:dyDescent="0.3">
      <c r="B55" s="80"/>
      <c r="C55" s="52" t="s">
        <v>97</v>
      </c>
      <c r="D55" s="53"/>
      <c r="E55" s="53"/>
      <c r="F55" s="8">
        <v>0</v>
      </c>
      <c r="G55" s="8">
        <f>(CB_SMI_Mixto_EXT_BAJA!C26/1000000)*G$25</f>
        <v>0.54802570745623125</v>
      </c>
      <c r="H55" s="8">
        <f>(CB_SMI_Mixto_EXT_BAJA!D26/1000000)*H$25</f>
        <v>1.0821001858973902</v>
      </c>
      <c r="I55" s="8">
        <f>(CB_SMI_Mixto_EXT_BAJA!E26/1000000)*I$25</f>
        <v>1.6188950178705632</v>
      </c>
      <c r="J55" s="8">
        <f>(CB_SMI_Mixto_EXT_BAJA!F26/1000000)*J$25</f>
        <v>2.1343660751801252</v>
      </c>
      <c r="K55" s="8">
        <f>(CB_SMI_Mixto_EXT_BAJA!G26/1000000)*K$25</f>
        <v>2.6358963900911343</v>
      </c>
      <c r="L55" s="8">
        <f>(CB_SMI_Mixto_EXT_BAJA!H26/1000000)*L$25</f>
        <v>3.1236481167926429</v>
      </c>
      <c r="M55" s="8">
        <f>(CB_SMI_Mixto_EXT_BAJA!I26/1000000)*M$25</f>
        <v>3.5986719257812538</v>
      </c>
      <c r="N55" s="8">
        <f>(CB_SMI_Mixto_EXT_BAJA!J26/1000000)*N$25</f>
        <v>4.0904888714436947</v>
      </c>
      <c r="O55" s="8">
        <f>(CB_SMI_Mixto_EXT_BAJA!K26/1000000)*O$25</f>
        <v>4.5488574013733496</v>
      </c>
      <c r="P55" s="8">
        <f>(CB_SMI_Mixto_EXT_BAJA!L26/1000000)*P$25</f>
        <v>4.9938519834090895</v>
      </c>
      <c r="Q55" s="8">
        <f>(CB_SMI_Mixto_EXT_BAJA!M26/1000000)*Q$25</f>
        <v>5.0022178270454534</v>
      </c>
      <c r="R55" s="8">
        <f>(CB_SMI_Mixto_EXT_BAJA!N26/1000000)*R$25</f>
        <v>5.0121379672727269</v>
      </c>
      <c r="S55" s="8">
        <f>(CB_SMI_Mixto_EXT_BAJA!O26/1000000)*S$25</f>
        <v>5.0268957234090905</v>
      </c>
      <c r="T55" s="8">
        <f>(CB_SMI_Mixto_EXT_BAJA!P26/1000000)*T$25</f>
        <v>5.041696936136363</v>
      </c>
      <c r="U55" s="8">
        <f>(CB_SMI_Mixto_EXT_BAJA!Q26/1000000)*U$25</f>
        <v>5.0565417027272712</v>
      </c>
      <c r="V55" s="30">
        <f t="shared" si="6"/>
        <v>0.20060719551790504</v>
      </c>
    </row>
    <row r="56" spans="2:24" x14ac:dyDescent="0.3">
      <c r="B56" s="81"/>
      <c r="C56" s="82" t="s">
        <v>132</v>
      </c>
      <c r="D56" s="82"/>
      <c r="E56" s="82"/>
      <c r="F56" s="14">
        <f t="shared" ref="F56:T56" si="7">SUM(F47:F55)</f>
        <v>0</v>
      </c>
      <c r="G56" s="14">
        <f t="shared" si="7"/>
        <v>2.1351039631701112</v>
      </c>
      <c r="H56" s="14">
        <f t="shared" si="7"/>
        <v>4.3036830328328257</v>
      </c>
      <c r="I56" s="14">
        <f t="shared" si="7"/>
        <v>6.5206596197788143</v>
      </c>
      <c r="J56" s="14">
        <f t="shared" si="7"/>
        <v>8.7605539490555326</v>
      </c>
      <c r="K56" s="14">
        <f t="shared" si="7"/>
        <v>11.029610792881076</v>
      </c>
      <c r="L56" s="14">
        <f t="shared" si="7"/>
        <v>13.325574992601535</v>
      </c>
      <c r="M56" s="14">
        <f t="shared" si="7"/>
        <v>15.649723056143159</v>
      </c>
      <c r="N56" s="14">
        <f t="shared" si="7"/>
        <v>18.03062599116577</v>
      </c>
      <c r="O56" s="14">
        <f t="shared" si="7"/>
        <v>20.41593518761999</v>
      </c>
      <c r="P56" s="14">
        <f t="shared" si="7"/>
        <v>22.826560056474225</v>
      </c>
      <c r="Q56" s="14">
        <f t="shared" si="7"/>
        <v>23.283283813928204</v>
      </c>
      <c r="R56" s="14">
        <f t="shared" si="7"/>
        <v>23.750032365135731</v>
      </c>
      <c r="S56" s="14">
        <f t="shared" si="7"/>
        <v>24.227261823390709</v>
      </c>
      <c r="T56" s="14">
        <f t="shared" si="7"/>
        <v>24.712280934778377</v>
      </c>
      <c r="U56" s="14">
        <f>SUM(U47:U55)</f>
        <v>25.206183106607227</v>
      </c>
    </row>
    <row r="58" spans="2:24" x14ac:dyDescent="0.3">
      <c r="B58" s="42" t="s">
        <v>64</v>
      </c>
      <c r="C58" s="43"/>
      <c r="D58" s="43"/>
      <c r="E58" s="43"/>
      <c r="F58" s="33">
        <f>F45+F56</f>
        <v>-20.273545183947366</v>
      </c>
      <c r="G58" s="33">
        <f>G45+G56</f>
        <v>-17.965355152844122</v>
      </c>
      <c r="H58" s="33">
        <f t="shared" ref="H58:U58" si="8">H45+H56</f>
        <v>-16.560976460969897</v>
      </c>
      <c r="I58" s="33">
        <f t="shared" si="8"/>
        <v>-15.108277169190075</v>
      </c>
      <c r="J58" s="33">
        <f t="shared" si="8"/>
        <v>-13.63260009854409</v>
      </c>
      <c r="K58" s="33">
        <f t="shared" si="8"/>
        <v>-12.127782150641998</v>
      </c>
      <c r="L58" s="33">
        <f t="shared" si="8"/>
        <v>-10.596255355707978</v>
      </c>
      <c r="M58" s="33">
        <f t="shared" si="8"/>
        <v>-9.03644829459882</v>
      </c>
      <c r="N58" s="33">
        <f t="shared" si="8"/>
        <v>-7.4198086853283272</v>
      </c>
      <c r="O58" s="33">
        <f t="shared" si="8"/>
        <v>-5.8026891578196178</v>
      </c>
      <c r="P58" s="33">
        <f t="shared" si="8"/>
        <v>-4.1569700810958992</v>
      </c>
      <c r="Q58" s="33">
        <f t="shared" si="8"/>
        <v>13.157770132958785</v>
      </c>
      <c r="R58" s="33">
        <f t="shared" si="8"/>
        <v>13.481178637419845</v>
      </c>
      <c r="S58" s="33">
        <f t="shared" si="8"/>
        <v>13.814200950318034</v>
      </c>
      <c r="T58" s="33">
        <f t="shared" si="8"/>
        <v>14.151450368387017</v>
      </c>
      <c r="U58" s="33">
        <f t="shared" si="8"/>
        <v>14.496417161012234</v>
      </c>
    </row>
    <row r="60" spans="2:24" x14ac:dyDescent="0.3">
      <c r="B60" s="42" t="s">
        <v>156</v>
      </c>
      <c r="C60" s="43"/>
      <c r="D60" s="43"/>
      <c r="E60" s="43"/>
      <c r="F60" s="33">
        <v>0</v>
      </c>
      <c r="G60" s="33">
        <f>F61</f>
        <v>-20.273545183947366</v>
      </c>
      <c r="H60" s="33">
        <f t="shared" ref="H60:U60" si="9">G61</f>
        <v>-38.238900336791488</v>
      </c>
      <c r="I60" s="33">
        <f t="shared" si="9"/>
        <v>-54.799876797761385</v>
      </c>
      <c r="J60" s="33">
        <f t="shared" si="9"/>
        <v>-69.90815396695146</v>
      </c>
      <c r="K60" s="33">
        <f t="shared" si="9"/>
        <v>-83.540754065495548</v>
      </c>
      <c r="L60" s="33">
        <f>K61</f>
        <v>-95.668536216137539</v>
      </c>
      <c r="M60" s="33">
        <f t="shared" si="9"/>
        <v>-106.26479157184552</v>
      </c>
      <c r="N60" s="33">
        <f t="shared" si="9"/>
        <v>-115.30123986644435</v>
      </c>
      <c r="O60" s="33">
        <f t="shared" si="9"/>
        <v>-122.72104855177267</v>
      </c>
      <c r="P60" s="33">
        <f t="shared" si="9"/>
        <v>-128.5237377095923</v>
      </c>
      <c r="Q60" s="33">
        <f t="shared" si="9"/>
        <v>-132.68070779068819</v>
      </c>
      <c r="R60" s="33">
        <f t="shared" si="9"/>
        <v>-119.5229376577294</v>
      </c>
      <c r="S60" s="33">
        <f t="shared" si="9"/>
        <v>-106.04175902030956</v>
      </c>
      <c r="T60" s="33">
        <f t="shared" si="9"/>
        <v>-92.227558069991517</v>
      </c>
      <c r="U60" s="33">
        <f t="shared" si="9"/>
        <v>-78.076107701604499</v>
      </c>
    </row>
    <row r="61" spans="2:24" x14ac:dyDescent="0.3">
      <c r="B61" s="42" t="s">
        <v>109</v>
      </c>
      <c r="C61" s="43"/>
      <c r="D61" s="43"/>
      <c r="E61" s="43"/>
      <c r="F61" s="33">
        <f>F58+F60</f>
        <v>-20.273545183947366</v>
      </c>
      <c r="G61" s="33">
        <f>G58+G60</f>
        <v>-38.238900336791488</v>
      </c>
      <c r="H61" s="33">
        <f t="shared" ref="H61:U61" si="10">H58+H60</f>
        <v>-54.799876797761385</v>
      </c>
      <c r="I61" s="33">
        <f t="shared" si="10"/>
        <v>-69.90815396695146</v>
      </c>
      <c r="J61" s="33">
        <f t="shared" si="10"/>
        <v>-83.540754065495548</v>
      </c>
      <c r="K61" s="33">
        <f t="shared" si="10"/>
        <v>-95.668536216137539</v>
      </c>
      <c r="L61" s="33">
        <f t="shared" si="10"/>
        <v>-106.26479157184552</v>
      </c>
      <c r="M61" s="33">
        <f t="shared" si="10"/>
        <v>-115.30123986644435</v>
      </c>
      <c r="N61" s="33">
        <f t="shared" si="10"/>
        <v>-122.72104855177267</v>
      </c>
      <c r="O61" s="33">
        <f t="shared" si="10"/>
        <v>-128.5237377095923</v>
      </c>
      <c r="P61" s="33">
        <f t="shared" si="10"/>
        <v>-132.68070779068819</v>
      </c>
      <c r="Q61" s="33">
        <f t="shared" si="10"/>
        <v>-119.5229376577294</v>
      </c>
      <c r="R61" s="33">
        <f t="shared" si="10"/>
        <v>-106.04175902030956</v>
      </c>
      <c r="S61" s="33">
        <f t="shared" si="10"/>
        <v>-92.227558069991517</v>
      </c>
      <c r="T61" s="33">
        <f t="shared" si="10"/>
        <v>-78.076107701604499</v>
      </c>
      <c r="U61" s="33">
        <f t="shared" si="10"/>
        <v>-63.579690540592267</v>
      </c>
    </row>
    <row r="62" spans="2:24" x14ac:dyDescent="0.3"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2:24" x14ac:dyDescent="0.3">
      <c r="B63" s="89" t="s">
        <v>157</v>
      </c>
      <c r="C63" s="90"/>
      <c r="D63" s="90"/>
      <c r="E63" s="90"/>
      <c r="F63" s="35">
        <f>F58/(1+0.06)^F27</f>
        <v>-20.273545183947366</v>
      </c>
      <c r="G63" s="35">
        <f>G58/(1+0.06)^G27</f>
        <v>-16.948448257400113</v>
      </c>
      <c r="H63" s="35">
        <f t="shared" ref="H63:T63" si="11">H58/(1+0.06)^H27</f>
        <v>-14.739210093422832</v>
      </c>
      <c r="I63" s="35">
        <f t="shared" si="11"/>
        <v>-12.685200844648662</v>
      </c>
      <c r="J63" s="35">
        <f t="shared" si="11"/>
        <v>-10.798296151514787</v>
      </c>
      <c r="K63" s="35">
        <f t="shared" si="11"/>
        <v>-9.0625843308063168</v>
      </c>
      <c r="L63" s="35">
        <f t="shared" si="11"/>
        <v>-7.4699419021967106</v>
      </c>
      <c r="M63" s="35">
        <f>M58/(1+0.06)^M27</f>
        <v>-6.009754220203372</v>
      </c>
      <c r="N63" s="35">
        <f t="shared" si="11"/>
        <v>-4.6552797621645263</v>
      </c>
      <c r="O63" s="35">
        <f t="shared" si="11"/>
        <v>-3.4346027968557666</v>
      </c>
      <c r="P63" s="35">
        <f t="shared" si="11"/>
        <v>-2.3212303810763641</v>
      </c>
      <c r="Q63" s="35">
        <f t="shared" si="11"/>
        <v>6.9313491680131323</v>
      </c>
      <c r="R63" s="35">
        <f t="shared" si="11"/>
        <v>6.6997327677063954</v>
      </c>
      <c r="S63" s="35">
        <f t="shared" si="11"/>
        <v>6.4766364666078751</v>
      </c>
      <c r="T63" s="35">
        <f t="shared" si="11"/>
        <v>6.2592001453086548</v>
      </c>
      <c r="U63" s="35">
        <f>U58/(1+0.06)^U27</f>
        <v>6.0488483871374994</v>
      </c>
    </row>
    <row r="64" spans="2:24" x14ac:dyDescent="0.3">
      <c r="B64" s="89" t="s">
        <v>158</v>
      </c>
      <c r="C64" s="90"/>
      <c r="D64" s="90"/>
      <c r="E64" s="90"/>
      <c r="F64" s="35">
        <f>F63</f>
        <v>-20.273545183947366</v>
      </c>
      <c r="G64" s="35">
        <f>F64+G63</f>
        <v>-37.221993441347479</v>
      </c>
      <c r="H64" s="35">
        <f t="shared" ref="H64:U64" si="12">G64+H63</f>
        <v>-51.961203534770313</v>
      </c>
      <c r="I64" s="35">
        <f t="shared" si="12"/>
        <v>-64.646404379418982</v>
      </c>
      <c r="J64" s="35">
        <f t="shared" si="12"/>
        <v>-75.444700530933773</v>
      </c>
      <c r="K64" s="35">
        <f t="shared" si="12"/>
        <v>-84.507284861740089</v>
      </c>
      <c r="L64" s="35">
        <f t="shared" si="12"/>
        <v>-91.977226763936798</v>
      </c>
      <c r="M64" s="35">
        <f t="shared" si="12"/>
        <v>-97.986980984140175</v>
      </c>
      <c r="N64" s="35">
        <f t="shared" si="12"/>
        <v>-102.6422607463047</v>
      </c>
      <c r="O64" s="35">
        <f t="shared" si="12"/>
        <v>-106.07686354316047</v>
      </c>
      <c r="P64" s="35">
        <f t="shared" si="12"/>
        <v>-108.39809392423683</v>
      </c>
      <c r="Q64" s="35">
        <f t="shared" si="12"/>
        <v>-101.4667447562237</v>
      </c>
      <c r="R64" s="35">
        <f t="shared" si="12"/>
        <v>-94.767011988517311</v>
      </c>
      <c r="S64" s="35">
        <f t="shared" si="12"/>
        <v>-88.290375521909439</v>
      </c>
      <c r="T64" s="35">
        <f t="shared" si="12"/>
        <v>-82.031175376600785</v>
      </c>
      <c r="U64" s="35">
        <f t="shared" si="12"/>
        <v>-75.982326989463289</v>
      </c>
    </row>
    <row r="67" spans="2:20" x14ac:dyDescent="0.3">
      <c r="B67" s="91" t="s">
        <v>159</v>
      </c>
      <c r="C67" s="91"/>
      <c r="D67" s="36">
        <f>J4</f>
        <v>0.06</v>
      </c>
      <c r="H67" s="85" t="s">
        <v>160</v>
      </c>
      <c r="I67" s="85"/>
      <c r="J67" s="85" t="s">
        <v>161</v>
      </c>
      <c r="K67" s="85"/>
      <c r="L67" s="85" t="s">
        <v>162</v>
      </c>
      <c r="M67" s="85"/>
    </row>
    <row r="68" spans="2:20" x14ac:dyDescent="0.3">
      <c r="B68" s="47"/>
      <c r="C68" s="47"/>
      <c r="F68" s="86" t="s">
        <v>163</v>
      </c>
      <c r="G68" s="86"/>
      <c r="H68" s="87">
        <f>NPV(D67,G45:U45)+F45</f>
        <v>-215.30284369699297</v>
      </c>
      <c r="I68" s="87"/>
      <c r="J68" s="87">
        <f>H68*1000000/$D$77</f>
        <v>-362.57073858202352</v>
      </c>
      <c r="K68" s="87"/>
      <c r="L68" s="88">
        <f>J68*$S$4</f>
        <v>-347835.86376605008</v>
      </c>
      <c r="M68" s="88"/>
      <c r="S68" s="6"/>
      <c r="T68" s="6"/>
    </row>
    <row r="69" spans="2:20" x14ac:dyDescent="0.3">
      <c r="B69" s="70" t="s">
        <v>110</v>
      </c>
      <c r="C69" s="70"/>
      <c r="D69" s="38">
        <f>NPV(D67,G58:U58)+F58</f>
        <v>-75.98232698946326</v>
      </c>
      <c r="F69" s="95" t="s">
        <v>164</v>
      </c>
      <c r="G69" s="95"/>
      <c r="H69" s="96">
        <f>PMT(D67,15,-H68)</f>
        <v>-22.168175874481072</v>
      </c>
      <c r="I69" s="96"/>
      <c r="J69" s="96">
        <f>H69*1000000/$D$77</f>
        <v>-37.331285373724278</v>
      </c>
      <c r="K69" s="96"/>
      <c r="L69" s="97">
        <f t="shared" ref="L69" si="13">J69*$S$4</f>
        <v>-35814.141936136126</v>
      </c>
      <c r="M69" s="97"/>
    </row>
    <row r="70" spans="2:20" x14ac:dyDescent="0.3">
      <c r="B70" s="70" t="s">
        <v>111</v>
      </c>
      <c r="C70" s="70"/>
      <c r="D70" s="39">
        <f>IRR(F58:U58)</f>
        <v>-6.9121544493379705E-2</v>
      </c>
      <c r="F70" s="92" t="s">
        <v>165</v>
      </c>
      <c r="G70" s="92"/>
      <c r="H70" s="93">
        <f>H69/12</f>
        <v>-1.8473479895400893</v>
      </c>
      <c r="I70" s="93"/>
      <c r="J70" s="93">
        <f t="shared" ref="J70" si="14">J69/12</f>
        <v>-3.1109404478103566</v>
      </c>
      <c r="K70" s="93"/>
      <c r="L70" s="94">
        <f>L69/12</f>
        <v>-2984.5118280113438</v>
      </c>
      <c r="M70" s="94"/>
    </row>
    <row r="71" spans="2:20" x14ac:dyDescent="0.3">
      <c r="B71" s="70" t="s">
        <v>166</v>
      </c>
      <c r="C71" s="70"/>
      <c r="D71" s="40">
        <f>NPV(D67,G56:U56)/-(F36+NPV(D67,G36:U36)+NPV(D67,G43:U43))</f>
        <v>0.64709092697169768</v>
      </c>
      <c r="F71" s="100"/>
      <c r="G71" s="100"/>
      <c r="L71" s="41"/>
      <c r="M71" s="41"/>
    </row>
    <row r="72" spans="2:20" x14ac:dyDescent="0.3">
      <c r="B72" s="47"/>
      <c r="C72" s="47"/>
      <c r="F72" s="101" t="s">
        <v>167</v>
      </c>
      <c r="G72" s="101"/>
      <c r="H72" s="87">
        <f>NPV(D67,G56:U56)+F56</f>
        <v>139.32051670752972</v>
      </c>
      <c r="I72" s="87"/>
      <c r="J72" s="87">
        <f>H72*1000000/$D$77</f>
        <v>234.6162353218547</v>
      </c>
      <c r="K72" s="87"/>
      <c r="L72" s="88">
        <f>J72*$S$4</f>
        <v>225081.43151837453</v>
      </c>
      <c r="M72" s="88"/>
    </row>
    <row r="73" spans="2:20" x14ac:dyDescent="0.3">
      <c r="B73" s="70" t="s">
        <v>168</v>
      </c>
      <c r="C73" s="70"/>
      <c r="D73" s="4">
        <v>2527114</v>
      </c>
      <c r="F73" s="99" t="s">
        <v>169</v>
      </c>
      <c r="G73" s="99"/>
      <c r="H73" s="96">
        <f>PMT(D67,15,-H72)</f>
        <v>14.344825475889582</v>
      </c>
      <c r="I73" s="96"/>
      <c r="J73" s="96">
        <f>H73*1000000/$D$77</f>
        <v>24.156736057528224</v>
      </c>
      <c r="K73" s="96"/>
      <c r="L73" s="97">
        <f>J73*$S$4</f>
        <v>23175.006304150276</v>
      </c>
      <c r="M73" s="97"/>
    </row>
    <row r="74" spans="2:20" x14ac:dyDescent="0.3">
      <c r="B74" s="70" t="s">
        <v>170</v>
      </c>
      <c r="C74" s="70"/>
      <c r="D74" s="4">
        <v>2158536</v>
      </c>
      <c r="F74" s="103" t="s">
        <v>171</v>
      </c>
      <c r="G74" s="103"/>
      <c r="H74" s="104">
        <f>H73/12</f>
        <v>1.1954021229907985</v>
      </c>
      <c r="I74" s="104"/>
      <c r="J74" s="104">
        <f t="shared" ref="J74" si="15">J73/12</f>
        <v>2.0130613381273519</v>
      </c>
      <c r="K74" s="104"/>
      <c r="L74" s="98">
        <f>L73/12</f>
        <v>1931.2505253458564</v>
      </c>
      <c r="M74" s="98"/>
    </row>
    <row r="75" spans="2:20" x14ac:dyDescent="0.3">
      <c r="B75" s="70" t="s">
        <v>172</v>
      </c>
      <c r="C75" s="70"/>
      <c r="D75" s="4">
        <v>1173397</v>
      </c>
      <c r="F75" s="100"/>
      <c r="G75" s="100"/>
      <c r="L75" s="41"/>
      <c r="M75" s="41"/>
    </row>
    <row r="76" spans="2:20" x14ac:dyDescent="0.3">
      <c r="B76" s="70" t="s">
        <v>173</v>
      </c>
      <c r="C76" s="70"/>
      <c r="D76" s="4">
        <v>1288141</v>
      </c>
      <c r="F76" s="102" t="s">
        <v>174</v>
      </c>
      <c r="G76" s="102"/>
      <c r="H76" s="87">
        <f>H72+H68</f>
        <v>-75.982326989463246</v>
      </c>
      <c r="I76" s="87"/>
      <c r="J76" s="87">
        <f>J68+J72</f>
        <v>-127.95450326016882</v>
      </c>
      <c r="K76" s="87"/>
      <c r="L76" s="88">
        <f>J76*$S$4</f>
        <v>-122754.43224767556</v>
      </c>
      <c r="M76" s="88"/>
    </row>
    <row r="77" spans="2:20" x14ac:dyDescent="0.3">
      <c r="B77" s="70" t="s">
        <v>175</v>
      </c>
      <c r="C77" s="70"/>
      <c r="D77" s="4">
        <v>593823</v>
      </c>
      <c r="F77" s="108" t="s">
        <v>176</v>
      </c>
      <c r="G77" s="108"/>
      <c r="H77" s="96">
        <f>PMT(D67,15,-H76)</f>
        <v>-7.8233503985914901</v>
      </c>
      <c r="I77" s="96"/>
      <c r="J77" s="96">
        <f>J69+J73</f>
        <v>-13.174549316196053</v>
      </c>
      <c r="K77" s="96"/>
      <c r="L77" s="97">
        <f>J77*$S$4</f>
        <v>-12639.135631985846</v>
      </c>
      <c r="M77" s="97"/>
    </row>
    <row r="78" spans="2:20" x14ac:dyDescent="0.3">
      <c r="B78" s="47"/>
      <c r="C78" s="47"/>
      <c r="D78" s="37"/>
      <c r="F78" s="105" t="s">
        <v>177</v>
      </c>
      <c r="G78" s="105"/>
      <c r="H78" s="106">
        <f>H77/12</f>
        <v>-0.65194586654929088</v>
      </c>
      <c r="I78" s="106"/>
      <c r="J78" s="106">
        <f t="shared" ref="J78" si="16">J77/12</f>
        <v>-1.0978791096830045</v>
      </c>
      <c r="K78" s="106"/>
      <c r="L78" s="107">
        <f t="shared" ref="L78" si="17">L77/12</f>
        <v>-1053.2613026654872</v>
      </c>
      <c r="M78" s="107"/>
    </row>
    <row r="79" spans="2:20" x14ac:dyDescent="0.3">
      <c r="B79" s="83" t="s">
        <v>178</v>
      </c>
      <c r="C79" s="83"/>
      <c r="D79" s="4">
        <f>SUM(D73:D77)</f>
        <v>7741011</v>
      </c>
    </row>
  </sheetData>
  <mergeCells count="130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45:E45"/>
    <mergeCell ref="B60:E60"/>
    <mergeCell ref="B61:E61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conditionalFormatting sqref="F30:U36">
    <cfRule type="cellIs" dxfId="7" priority="9" operator="lessThan">
      <formula>0</formula>
    </cfRule>
  </conditionalFormatting>
  <conditionalFormatting sqref="F38:U43">
    <cfRule type="cellIs" dxfId="6" priority="7" operator="lessThan">
      <formula>0</formula>
    </cfRule>
  </conditionalFormatting>
  <conditionalFormatting sqref="F45:U45">
    <cfRule type="cellIs" dxfId="5" priority="5" operator="lessThan">
      <formula>0</formula>
    </cfRule>
  </conditionalFormatting>
  <conditionalFormatting sqref="F47:U56">
    <cfRule type="cellIs" dxfId="4" priority="8" operator="lessThan">
      <formula>0</formula>
    </cfRule>
  </conditionalFormatting>
  <conditionalFormatting sqref="F58:U61">
    <cfRule type="cellIs" dxfId="3" priority="3" operator="lessThan">
      <formula>0</formula>
    </cfRule>
  </conditionalFormatting>
  <conditionalFormatting sqref="F63:U64">
    <cfRule type="cellIs" dxfId="2" priority="2" operator="lessThan">
      <formula>0</formula>
    </cfRule>
  </conditionalFormatting>
  <conditionalFormatting sqref="H68:M69 H70 J70 H72:M73 H74 J74 H76:M78">
    <cfRule type="cellIs" dxfId="1" priority="4" operator="lessThan">
      <formula>0</formula>
    </cfRule>
  </conditionalFormatting>
  <conditionalFormatting sqref="L70 L74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F3480-D9CA-4F76-B8D6-B776F7BC4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Supuestos y Consideraciones</vt:lpstr>
      <vt:lpstr>CB_SMI_Mixto</vt:lpstr>
      <vt:lpstr>Flujo SMI_Mixto</vt:lpstr>
      <vt:lpstr>CB_SMI_Mixto_ALTA</vt:lpstr>
      <vt:lpstr>Flujo SMI_Mixto_ALTA</vt:lpstr>
      <vt:lpstr>CB_SMI_Mixto_MEDIA</vt:lpstr>
      <vt:lpstr>Flujo SMI_Mixto_MEDIA</vt:lpstr>
      <vt:lpstr>CB_SMI_Mixto_BAJA</vt:lpstr>
      <vt:lpstr>Flujo SMI_Mixto_BAJA</vt:lpstr>
      <vt:lpstr>CB_SMI_Mixto_MUY_BAJA</vt:lpstr>
      <vt:lpstr>Flujo SMI_Mixto_MUY_BAJA</vt:lpstr>
      <vt:lpstr>CB_SMI_Mixto_EXT_BAJA</vt:lpstr>
      <vt:lpstr>Flujo SMI_Mixto_EXT_BAJA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Sanhueza</dc:creator>
  <cp:lastModifiedBy>Nicolás Sanhueza</cp:lastModifiedBy>
  <dcterms:created xsi:type="dcterms:W3CDTF">2015-06-05T18:19:34Z</dcterms:created>
  <dcterms:modified xsi:type="dcterms:W3CDTF">2026-02-18T16:26:52Z</dcterms:modified>
</cp:coreProperties>
</file>